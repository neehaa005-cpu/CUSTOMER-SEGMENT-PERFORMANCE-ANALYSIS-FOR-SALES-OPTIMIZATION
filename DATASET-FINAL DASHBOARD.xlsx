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Neha\Desktop\PROJECTT\"/>
    </mc:Choice>
  </mc:AlternateContent>
  <xr:revisionPtr revIDLastSave="0" documentId="13_ncr:1_{77F72E4C-3C7D-4D04-95DB-A1787CB29A52}" xr6:coauthVersionLast="47" xr6:coauthVersionMax="47" xr10:uidLastSave="{00000000-0000-0000-0000-000000000000}"/>
  <bookViews>
    <workbookView xWindow="-108" yWindow="-108" windowWidth="23256" windowHeight="13896" activeTab="2" xr2:uid="{00000000-000D-0000-FFFF-FFFF00000000}"/>
  </bookViews>
  <sheets>
    <sheet name="Dataset" sheetId="1" r:id="rId1"/>
    <sheet name="Calculations" sheetId="5" r:id="rId2"/>
    <sheet name="Sales Performance Dashboard" sheetId="3" r:id="rId3"/>
  </sheets>
  <definedNames>
    <definedName name="_xlnm._FilterDatabase" localSheetId="0" hidden="1">Dataset!$A$1:$V$1165</definedName>
    <definedName name="Slicer_Customer_Segment">#N/A</definedName>
    <definedName name="Slicer_Product_Category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 i="5" l="1"/>
  <c r="W6" i="3" s="1"/>
  <c r="J15" i="5"/>
  <c r="S6" i="3" s="1"/>
  <c r="O6" i="3"/>
  <c r="K6" i="3"/>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3" i="1"/>
  <c r="C4" i="1"/>
  <c r="C5" i="1"/>
  <c r="C6" i="1"/>
  <c r="C7" i="1"/>
  <c r="C8" i="1"/>
  <c r="C9" i="1"/>
  <c r="C10" i="1"/>
  <c r="C11" i="1"/>
  <c r="C12" i="1"/>
  <c r="C13" i="1"/>
  <c r="C14" i="1"/>
  <c r="C15" i="1"/>
  <c r="C16" i="1"/>
  <c r="C2" i="1"/>
  <c r="S1137" i="1"/>
  <c r="S1139" i="1"/>
  <c r="S1141" i="1"/>
  <c r="S1142" i="1"/>
  <c r="S1143" i="1"/>
  <c r="S1144" i="1"/>
  <c r="S1146" i="1"/>
  <c r="S1148" i="1"/>
  <c r="S1150" i="1"/>
  <c r="S1152" i="1"/>
  <c r="S1153" i="1"/>
  <c r="S1154" i="1"/>
  <c r="S1155" i="1"/>
  <c r="S1157" i="1"/>
  <c r="S1158" i="1"/>
  <c r="S1159" i="1"/>
  <c r="S1160" i="1"/>
  <c r="S1162" i="1"/>
  <c r="S1163" i="1"/>
  <c r="S1165"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8" i="1"/>
  <c r="S1140" i="1"/>
  <c r="S1145" i="1"/>
  <c r="S1147" i="1"/>
  <c r="S1149" i="1"/>
  <c r="S1151" i="1"/>
  <c r="S1156" i="1"/>
  <c r="S1161" i="1"/>
  <c r="S1164" i="1"/>
  <c r="S2" i="1"/>
</calcChain>
</file>

<file path=xl/sharedStrings.xml><?xml version="1.0" encoding="utf-8"?>
<sst xmlns="http://schemas.openxmlformats.org/spreadsheetml/2006/main" count="15216" uniqueCount="907">
  <si>
    <t>Order ID</t>
  </si>
  <si>
    <t>Order Date</t>
  </si>
  <si>
    <t>Ship Date</t>
  </si>
  <si>
    <t>Customer ID</t>
  </si>
  <si>
    <t>Customer Segment</t>
  </si>
  <si>
    <t>Region</t>
  </si>
  <si>
    <t>State</t>
  </si>
  <si>
    <t>City</t>
  </si>
  <si>
    <t>Sales Channel</t>
  </si>
  <si>
    <t>Product Category</t>
  </si>
  <si>
    <t>Product Name</t>
  </si>
  <si>
    <t>Quantity Sold</t>
  </si>
  <si>
    <t>Unit Price</t>
  </si>
  <si>
    <t>Gross Sales</t>
  </si>
  <si>
    <t>Discount</t>
  </si>
  <si>
    <t>Net Sales</t>
  </si>
  <si>
    <t>Cost</t>
  </si>
  <si>
    <t>Profit</t>
  </si>
  <si>
    <t>Payment Mode</t>
  </si>
  <si>
    <t>Salesperson</t>
  </si>
  <si>
    <t>Order Priority</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</si>
  <si>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</si>
  <si>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</si>
  <si>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</si>
  <si>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</si>
  <si>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</si>
  <si>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</si>
  <si>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</si>
  <si>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</si>
  <si>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</si>
  <si>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</si>
  <si>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</si>
  <si>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</si>
  <si>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</si>
  <si>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</si>
  <si>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</si>
  <si>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</si>
  <si>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</si>
  <si>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</si>
  <si>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</si>
  <si>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</si>
  <si>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</si>
  <si>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</si>
  <si>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</si>
  <si>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</si>
  <si>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</si>
  <si>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</si>
  <si>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</si>
  <si>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</si>
  <si>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</si>
  <si>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</si>
  <si>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</si>
  <si>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</si>
  <si>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</si>
  <si>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</si>
  <si>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</si>
  <si>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</si>
  <si>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</si>
  <si>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</si>
  <si>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</si>
  <si>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</si>
  <si>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</si>
  <si>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</si>
  <si>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</si>
  <si>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</si>
  <si>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</si>
  <si>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</si>
  <si>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</si>
  <si>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</si>
  <si>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</si>
  <si>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</si>
  <si>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</si>
  <si>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</si>
  <si>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</si>
  <si>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</si>
  <si>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</si>
  <si>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</si>
  <si>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</si>
  <si>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</si>
  <si>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</si>
  <si>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</si>
  <si>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</si>
  <si>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</si>
  <si>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</si>
  <si>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</si>
  <si>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</si>
  <si>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</si>
  <si>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</si>
  <si>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</si>
  <si>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</si>
  <si>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</si>
  <si>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</si>
  <si>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</si>
  <si>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</si>
  <si>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</si>
  <si>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</si>
  <si>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</si>
  <si>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</si>
  <si>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</si>
  <si>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</si>
  <si>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</si>
  <si>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</si>
  <si>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</si>
  <si>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</si>
  <si>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</si>
  <si>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</si>
  <si>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</si>
  <si>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</si>
  <si>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</si>
  <si>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</si>
  <si>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</si>
  <si>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</si>
  <si>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</si>
  <si>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</si>
  <si>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</si>
  <si>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</si>
  <si>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</si>
  <si>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</si>
  <si>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</si>
  <si>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</si>
  <si>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</si>
  <si>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</si>
  <si>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</si>
  <si>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</si>
  <si>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</si>
  <si>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</si>
  <si>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</si>
  <si>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</si>
  <si>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</si>
  <si>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</si>
  <si>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</si>
  <si>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</si>
  <si>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</si>
  <si>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</si>
  <si>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</si>
  <si>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</si>
  <si>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</si>
  <si>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</si>
  <si>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</si>
  <si>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</si>
  <si>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</si>
  <si>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</si>
  <si>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</si>
  <si>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</si>
  <si>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</si>
  <si>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</si>
  <si>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</si>
  <si>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</si>
  <si>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</si>
  <si>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</si>
  <si>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</si>
  <si>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</si>
  <si>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</si>
  <si>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</si>
  <si>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</si>
  <si>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</si>
  <si>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</si>
  <si>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</si>
  <si>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</si>
  <si>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</si>
  <si>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</si>
  <si>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</si>
  <si>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</si>
  <si>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</si>
  <si>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</si>
  <si>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</si>
  <si>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</si>
  <si>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</si>
  <si>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</si>
  <si>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</si>
  <si>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</si>
  <si>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</si>
  <si>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</si>
  <si>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</si>
  <si>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</si>
  <si>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</si>
  <si>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</si>
  <si>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</si>
  <si>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</si>
  <si>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</si>
  <si>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</si>
  <si>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</si>
  <si>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</si>
  <si>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</si>
  <si>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</si>
  <si>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</si>
  <si>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</si>
  <si>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</si>
  <si>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</si>
  <si>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</si>
  <si>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</si>
  <si>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</si>
  <si>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</si>
  <si>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</si>
  <si>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</si>
  <si>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</si>
  <si>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</si>
  <si>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</si>
  <si>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</si>
  <si>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</si>
  <si>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</si>
  <si>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</si>
  <si>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</si>
  <si>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</si>
  <si>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</si>
  <si>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</si>
  <si>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</si>
  <si>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</si>
  <si>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</si>
  <si>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</si>
  <si>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</si>
  <si>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</si>
  <si>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</si>
  <si>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</si>
  <si>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</si>
  <si>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</si>
  <si>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</si>
  <si>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</si>
  <si>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</si>
  <si>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</si>
  <si>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</si>
  <si>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</si>
  <si>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</si>
  <si>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</si>
  <si>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</si>
  <si>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</si>
  <si>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</si>
  <si>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</si>
  <si>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</si>
  <si>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</si>
  <si>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</si>
  <si>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</si>
  <si>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</si>
  <si>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</si>
  <si>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</si>
  <si>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</si>
  <si>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</si>
  <si>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</si>
  <si>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</si>
  <si>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</si>
  <si>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</si>
  <si>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</si>
  <si>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</si>
  <si>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</si>
  <si>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</si>
  <si>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</si>
  <si>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</si>
  <si>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</si>
  <si>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</si>
  <si>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</si>
  <si>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</si>
  <si>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</si>
  <si>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</si>
  <si>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</si>
  <si>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</si>
  <si>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</si>
  <si>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</si>
  <si>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</si>
  <si>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</si>
  <si>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</si>
  <si>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</si>
  <si>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</si>
  <si>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</si>
  <si>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</si>
  <si>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</si>
  <si>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</si>
  <si>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</si>
  <si>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</si>
  <si>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</si>
  <si>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</si>
  <si>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</si>
  <si>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</si>
  <si>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</si>
  <si>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</si>
  <si>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</si>
  <si>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</si>
  <si>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</si>
  <si>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</si>
  <si>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</si>
  <si>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</si>
  <si>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</si>
  <si>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</si>
  <si>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</si>
  <si>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</si>
  <si>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</si>
  <si>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</si>
  <si>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</si>
  <si>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</si>
  <si>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</si>
  <si>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</si>
  <si>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</si>
  <si>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</si>
  <si>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</si>
  <si>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</si>
  <si>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</si>
  <si>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</si>
  <si>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</si>
  <si>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</si>
  <si>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</si>
  <si>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</si>
  <si>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</si>
  <si>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</si>
  <si>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</si>
  <si>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</si>
  <si>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</si>
  <si>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</si>
  <si>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</si>
  <si>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</si>
  <si>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</si>
  <si>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</si>
  <si>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</si>
  <si>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</si>
  <si>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</si>
  <si>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</si>
  <si>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</si>
  <si>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</si>
  <si>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</si>
  <si>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</si>
  <si>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</si>
  <si>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2024-06-14</t>
  </si>
  <si>
    <t>2024-10-03</t>
  </si>
  <si>
    <t>2024-09-29</t>
  </si>
  <si>
    <t>2024-11-07</t>
  </si>
  <si>
    <t>2024-09-11</t>
  </si>
  <si>
    <t>2024-03-18</t>
  </si>
  <si>
    <t>2024-09-20</t>
  </si>
  <si>
    <t>2024-05-09</t>
  </si>
  <si>
    <t>2024-03-23</t>
  </si>
  <si>
    <t>2024-10-04</t>
  </si>
  <si>
    <t>2024-07-21</t>
  </si>
  <si>
    <t>2024-10-07</t>
  </si>
  <si>
    <t>2024-05-12</t>
  </si>
  <si>
    <t>2024-05-07</t>
  </si>
  <si>
    <t>2024-09-17</t>
  </si>
  <si>
    <t>2024-03-24</t>
  </si>
  <si>
    <t>2024-10-10</t>
  </si>
  <si>
    <t>2024-05-18</t>
  </si>
  <si>
    <t>2024-05-17</t>
  </si>
  <si>
    <t>2024-09-13</t>
  </si>
  <si>
    <t>2024-09-19</t>
  </si>
  <si>
    <t>2024-08-30</t>
  </si>
  <si>
    <t>2024-09-07</t>
  </si>
  <si>
    <t>2024-08-18</t>
  </si>
  <si>
    <t>2024-06-10</t>
  </si>
  <si>
    <t>2024-07-03</t>
  </si>
  <si>
    <t>2024-01-15</t>
  </si>
  <si>
    <t>2024-10-11</t>
  </si>
  <si>
    <t>2024-01-12</t>
  </si>
  <si>
    <t>2024-05-08</t>
  </si>
  <si>
    <t>2024-08-23</t>
  </si>
  <si>
    <t>2024-09-12</t>
  </si>
  <si>
    <t>2024-09-10</t>
  </si>
  <si>
    <t>2024-07-12</t>
  </si>
  <si>
    <t>2024-07-26</t>
  </si>
  <si>
    <t>2024-05-14</t>
  </si>
  <si>
    <t>2024-09-09</t>
  </si>
  <si>
    <t>2024-07-19</t>
  </si>
  <si>
    <t>2024-08-03</t>
  </si>
  <si>
    <t>2024-05-13</t>
  </si>
  <si>
    <t>2024-08-25</t>
  </si>
  <si>
    <t>2024-01-20</t>
  </si>
  <si>
    <t>2024-09-04</t>
  </si>
  <si>
    <t>2024-01-27</t>
  </si>
  <si>
    <t>2024-09-22</t>
  </si>
  <si>
    <t>2024-10-25</t>
  </si>
  <si>
    <t>2024-06-09</t>
  </si>
  <si>
    <t>2024-09-02</t>
  </si>
  <si>
    <t>2024-05-15</t>
  </si>
  <si>
    <t>2024-07-07</t>
  </si>
  <si>
    <t>2024-01-07</t>
  </si>
  <si>
    <t>2024-09-01</t>
  </si>
  <si>
    <t>2024-04-29</t>
  </si>
  <si>
    <t>2024-04-15</t>
  </si>
  <si>
    <t>2024-02-20</t>
  </si>
  <si>
    <t>2024-06-16</t>
  </si>
  <si>
    <t>2024-07-23</t>
  </si>
  <si>
    <t>2024-07-18</t>
  </si>
  <si>
    <t>2024-11-22</t>
  </si>
  <si>
    <t>2024-04-22</t>
  </si>
  <si>
    <t>2024-03-25</t>
  </si>
  <si>
    <t>2024-02-18</t>
  </si>
  <si>
    <t>2024-03-12</t>
  </si>
  <si>
    <t>2024-09-24</t>
  </si>
  <si>
    <t>2024-05-10</t>
  </si>
  <si>
    <t>2024-08-19</t>
  </si>
  <si>
    <t>2024-02-13</t>
  </si>
  <si>
    <t>2024-08-22</t>
  </si>
  <si>
    <t>2024-02-19</t>
  </si>
  <si>
    <t>2024-02-25</t>
  </si>
  <si>
    <t>2024-09-26</t>
  </si>
  <si>
    <t>2024-09-23</t>
  </si>
  <si>
    <t>2024-06-08</t>
  </si>
  <si>
    <t>2024-10-20</t>
  </si>
  <si>
    <t>2024-11-13</t>
  </si>
  <si>
    <t>2024-03-26</t>
  </si>
  <si>
    <t>2024-06-15</t>
  </si>
  <si>
    <t>2024-02-04</t>
  </si>
  <si>
    <t>2024-02-17</t>
  </si>
  <si>
    <t>2024-09-18</t>
  </si>
  <si>
    <t>2024-08-24</t>
  </si>
  <si>
    <t>2024-03-20</t>
  </si>
  <si>
    <t>2024-07-20</t>
  </si>
  <si>
    <t>2024-03-27</t>
  </si>
  <si>
    <t>2024-07-01</t>
  </si>
  <si>
    <t>2024-07-09</t>
  </si>
  <si>
    <t>2024-02-21</t>
  </si>
  <si>
    <t>2024-09-27</t>
  </si>
  <si>
    <t>2024-06-23</t>
  </si>
  <si>
    <t>2024-10-19</t>
  </si>
  <si>
    <t>2024-08-07</t>
  </si>
  <si>
    <t>2024-10-28</t>
  </si>
  <si>
    <t>2024-07-04</t>
  </si>
  <si>
    <t>2024-04-19</t>
  </si>
  <si>
    <t>2024-09-05</t>
  </si>
  <si>
    <t>2024-02-03</t>
  </si>
  <si>
    <t>2024-07-27</t>
  </si>
  <si>
    <t>2024-03-19</t>
  </si>
  <si>
    <t>2024-11-20</t>
  </si>
  <si>
    <t>2024-01-10</t>
  </si>
  <si>
    <t>2024-03-08</t>
  </si>
  <si>
    <t>2024-05-11</t>
  </si>
  <si>
    <t>2024-03-17</t>
  </si>
  <si>
    <t>2024-03-28</t>
  </si>
  <si>
    <t>2024-08-26</t>
  </si>
  <si>
    <t>2024-06-05</t>
  </si>
  <si>
    <t>2024-10-27</t>
  </si>
  <si>
    <t>2024-11-23</t>
  </si>
  <si>
    <t>2024-07-25</t>
  </si>
  <si>
    <t>2024-07-15</t>
  </si>
  <si>
    <t>2024-09-15</t>
  </si>
  <si>
    <t>2024-04-09</t>
  </si>
  <si>
    <t>2024-03-30</t>
  </si>
  <si>
    <t>2024-03-01</t>
  </si>
  <si>
    <t>2024-09-16</t>
  </si>
  <si>
    <t>2024-08-21</t>
  </si>
  <si>
    <t>2024-03-09</t>
  </si>
  <si>
    <t>2024-05-27</t>
  </si>
  <si>
    <t>2024-06-20</t>
  </si>
  <si>
    <t>2024-11-24</t>
  </si>
  <si>
    <t>2024-11-08</t>
  </si>
  <si>
    <t>2024-07-22</t>
  </si>
  <si>
    <t>2024-09-25</t>
  </si>
  <si>
    <t>2024-04-20</t>
  </si>
  <si>
    <t>2024-10-12</t>
  </si>
  <si>
    <t>2024-10-14</t>
  </si>
  <si>
    <t>2024-05-25</t>
  </si>
  <si>
    <t>2024-08-15</t>
  </si>
  <si>
    <t>2024-04-06</t>
  </si>
  <si>
    <t>2024-11-25</t>
  </si>
  <si>
    <t>2024-06-11</t>
  </si>
  <si>
    <t>2024-01-22</t>
  </si>
  <si>
    <t>2024-02-05</t>
  </si>
  <si>
    <t>2024-01-14</t>
  </si>
  <si>
    <t>2024-02-02</t>
  </si>
  <si>
    <t>2024-05-20</t>
  </si>
  <si>
    <t>2024-01-25</t>
  </si>
  <si>
    <t>2024-01-30</t>
  </si>
  <si>
    <t>2024-04-08</t>
  </si>
  <si>
    <t>2024-05-16</t>
  </si>
  <si>
    <t>2024-01-16</t>
  </si>
  <si>
    <t>2024-04-17</t>
  </si>
  <si>
    <t>2024-02-23</t>
  </si>
  <si>
    <t>2024-03-03</t>
  </si>
  <si>
    <t>2024-06-21</t>
  </si>
  <si>
    <t>2024-05-06</t>
  </si>
  <si>
    <t>2024-02-24</t>
  </si>
  <si>
    <t>2024-07-29</t>
  </si>
  <si>
    <t>2024-06-06</t>
  </si>
  <si>
    <t>2024-10-08</t>
  </si>
  <si>
    <t>2024-02-06</t>
  </si>
  <si>
    <t>2024-02-28</t>
  </si>
  <si>
    <t>2024-10-24</t>
  </si>
  <si>
    <t>2024-09-30</t>
  </si>
  <si>
    <t>2024-11-16</t>
  </si>
  <si>
    <t>2024-06-19</t>
  </si>
  <si>
    <t>2024-09-14</t>
  </si>
  <si>
    <t>2024-02-09</t>
  </si>
  <si>
    <t>2024-05-23</t>
  </si>
  <si>
    <t>2024-09-03</t>
  </si>
  <si>
    <t>2024-01-02</t>
  </si>
  <si>
    <t>2024-08-02</t>
  </si>
  <si>
    <t>2024-03-02</t>
  </si>
  <si>
    <t>2024-08-13</t>
  </si>
  <si>
    <t>2024-03-14</t>
  </si>
  <si>
    <t>2024-07-10</t>
  </si>
  <si>
    <t>2024-02-27</t>
  </si>
  <si>
    <t>2024-06-29</t>
  </si>
  <si>
    <t>2024-11-04</t>
  </si>
  <si>
    <t>2024-04-25</t>
  </si>
  <si>
    <t>2024-06-22</t>
  </si>
  <si>
    <t>2024-11-14</t>
  </si>
  <si>
    <t>2024-08-20</t>
  </si>
  <si>
    <t>2024-04-30</t>
  </si>
  <si>
    <t>2024-08-08</t>
  </si>
  <si>
    <t>2024-11-03</t>
  </si>
  <si>
    <t>2024-07-08</t>
  </si>
  <si>
    <t>2024-01-11</t>
  </si>
  <si>
    <t>2024-11-01</t>
  </si>
  <si>
    <t>2024-11-27</t>
  </si>
  <si>
    <t>2024-03-31</t>
  </si>
  <si>
    <t>2024-04-27</t>
  </si>
  <si>
    <t>2024-04-10</t>
  </si>
  <si>
    <t>2024-04-05</t>
  </si>
  <si>
    <t>2024-03-05</t>
  </si>
  <si>
    <t>2024-06-03</t>
  </si>
  <si>
    <t>2024-11-28</t>
  </si>
  <si>
    <t>CUST2542</t>
  </si>
  <si>
    <t>CUST2013</t>
  </si>
  <si>
    <t>CUST4078</t>
  </si>
  <si>
    <t>CUST5070</t>
  </si>
  <si>
    <t>CUST3490</t>
  </si>
  <si>
    <t>CUST8767</t>
  </si>
  <si>
    <t>CUST2918</t>
  </si>
  <si>
    <t>CUST8053</t>
  </si>
  <si>
    <t>CUST3987</t>
  </si>
  <si>
    <t>CUST7428</t>
  </si>
  <si>
    <t>CUST3478</t>
  </si>
  <si>
    <t>CUST8996</t>
  </si>
  <si>
    <t>CUST9899</t>
  </si>
  <si>
    <t>CUST4197</t>
  </si>
  <si>
    <t>CUST6726</t>
  </si>
  <si>
    <t>CUST2389</t>
  </si>
  <si>
    <t>CUST3785</t>
  </si>
  <si>
    <t>CUST3281</t>
  </si>
  <si>
    <t>CUST6796</t>
  </si>
  <si>
    <t>CUST2971</t>
  </si>
  <si>
    <t>CUST1456</t>
  </si>
  <si>
    <t>CUST5253</t>
  </si>
  <si>
    <t>CUST3530</t>
  </si>
  <si>
    <t>CUST7616</t>
  </si>
  <si>
    <t>CUST5840</t>
  </si>
  <si>
    <t>CUST9791</t>
  </si>
  <si>
    <t>CUST4643</t>
  </si>
  <si>
    <t>CUST5290</t>
  </si>
  <si>
    <t>CUST1605</t>
  </si>
  <si>
    <t>CUST6042</t>
  </si>
  <si>
    <t>CUST1907</t>
  </si>
  <si>
    <t>CUST6389</t>
  </si>
  <si>
    <t>CUST1081</t>
  </si>
  <si>
    <t>CUST7381</t>
  </si>
  <si>
    <t>CUST9263</t>
  </si>
  <si>
    <t>CUST5006</t>
  </si>
  <si>
    <t>CUST4362</t>
  </si>
  <si>
    <t>CUST5987</t>
  </si>
  <si>
    <t>CUST2941</t>
  </si>
  <si>
    <t>CUST2479</t>
  </si>
  <si>
    <t>CUST3606</t>
  </si>
  <si>
    <t>CUST2966</t>
  </si>
  <si>
    <t>CUST5679</t>
  </si>
  <si>
    <t>CUST1810</t>
  </si>
  <si>
    <t>CUST5262</t>
  </si>
  <si>
    <t>CUST8421</t>
  </si>
  <si>
    <t>CUST4311</t>
  </si>
  <si>
    <t>CUST9247</t>
  </si>
  <si>
    <t>CUST9025</t>
  </si>
  <si>
    <t>CUST1647</t>
  </si>
  <si>
    <t>CUST5920</t>
  </si>
  <si>
    <t>CUST4846</t>
  </si>
  <si>
    <t>CUST7952</t>
  </si>
  <si>
    <t>CUST4283</t>
  </si>
  <si>
    <t>CUST1924</t>
  </si>
  <si>
    <t>CUST2300</t>
  </si>
  <si>
    <t>CUST1047</t>
  </si>
  <si>
    <t>CUST9872</t>
  </si>
  <si>
    <t>CUST2015</t>
  </si>
  <si>
    <t>CUST2070</t>
  </si>
  <si>
    <t>CUST3479</t>
  </si>
  <si>
    <t>CUST8892</t>
  </si>
  <si>
    <t>CUST7829</t>
  </si>
  <si>
    <t>CUST5609</t>
  </si>
  <si>
    <t>CUST7125</t>
  </si>
  <si>
    <t>CUST1103</t>
  </si>
  <si>
    <t>CUST6361</t>
  </si>
  <si>
    <t>CUST3532</t>
  </si>
  <si>
    <t>CUST1298</t>
  </si>
  <si>
    <t>CUST3129</t>
  </si>
  <si>
    <t>CUST2782</t>
  </si>
  <si>
    <t>CUST4638</t>
  </si>
  <si>
    <t>CUST4155</t>
  </si>
  <si>
    <t>CUST8181</t>
  </si>
  <si>
    <t>CUST8054</t>
  </si>
  <si>
    <t>CUST7190</t>
  </si>
  <si>
    <t>CUST6749</t>
  </si>
  <si>
    <t>CUST1603</t>
  </si>
  <si>
    <t>CUST8422</t>
  </si>
  <si>
    <t>CUST3895</t>
  </si>
  <si>
    <t>CUST6965</t>
  </si>
  <si>
    <t>CUST7770</t>
  </si>
  <si>
    <t>CUST3370</t>
  </si>
  <si>
    <t>CUST1006</t>
  </si>
  <si>
    <t>CUST4268</t>
  </si>
  <si>
    <t>CUST8622</t>
  </si>
  <si>
    <t>CUST9572</t>
  </si>
  <si>
    <t>CUST6383</t>
  </si>
  <si>
    <t>CUST1764</t>
  </si>
  <si>
    <t>CUST5708</t>
  </si>
  <si>
    <t>CUST7029</t>
  </si>
  <si>
    <t>CUST2489</t>
  </si>
  <si>
    <t>CUST6688</t>
  </si>
  <si>
    <t>CUST6826</t>
  </si>
  <si>
    <t>CUST4826</t>
  </si>
  <si>
    <t>CUST6297</t>
  </si>
  <si>
    <t>CUST5056</t>
  </si>
  <si>
    <t>CUST3430</t>
  </si>
  <si>
    <t>CUST9199</t>
  </si>
  <si>
    <t>CUST4745</t>
  </si>
  <si>
    <t>CUST8909</t>
  </si>
  <si>
    <t>CUST9902</t>
  </si>
  <si>
    <t>CUST7723</t>
  </si>
  <si>
    <t>CUST2231</t>
  </si>
  <si>
    <t>CUST2128</t>
  </si>
  <si>
    <t>CUST4775</t>
  </si>
  <si>
    <t>CUST2399</t>
  </si>
  <si>
    <t>CUST2179</t>
  </si>
  <si>
    <t>CUST3751</t>
  </si>
  <si>
    <t>CUST3282</t>
  </si>
  <si>
    <t>CUST6254</t>
  </si>
  <si>
    <t>CUST6414</t>
  </si>
  <si>
    <t>CUST4452</t>
  </si>
  <si>
    <t>CUST6649</t>
  </si>
  <si>
    <t>CUST1814</t>
  </si>
  <si>
    <t>CUST8501</t>
  </si>
  <si>
    <t>CUST4027</t>
  </si>
  <si>
    <t>CUST7629</t>
  </si>
  <si>
    <t>CUST1254</t>
  </si>
  <si>
    <t>CUST6994</t>
  </si>
  <si>
    <t>CUST2305</t>
  </si>
  <si>
    <t>CUST2912</t>
  </si>
  <si>
    <t>CUST1253</t>
  </si>
  <si>
    <t>CUST3576</t>
  </si>
  <si>
    <t>CUST4834</t>
  </si>
  <si>
    <t>CUST9536</t>
  </si>
  <si>
    <t>CUST9474</t>
  </si>
  <si>
    <t>CUST4352</t>
  </si>
  <si>
    <t>CUST1620</t>
  </si>
  <si>
    <t>CUST2473</t>
  </si>
  <si>
    <t>CUST8229</t>
  </si>
  <si>
    <t>CUST1206</t>
  </si>
  <si>
    <t>CUST6284</t>
  </si>
  <si>
    <t>CUST7746</t>
  </si>
  <si>
    <t>CUST9412</t>
  </si>
  <si>
    <t>CUST3657</t>
  </si>
  <si>
    <t>CUST4576</t>
  </si>
  <si>
    <t>CUST3872</t>
  </si>
  <si>
    <t>CUST9077</t>
  </si>
  <si>
    <t>CUST8303</t>
  </si>
  <si>
    <t>CUST1420</t>
  </si>
  <si>
    <t>CUST4196</t>
  </si>
  <si>
    <t>CUST9204</t>
  </si>
  <si>
    <t>CUST7369</t>
  </si>
  <si>
    <t>CUST1877</t>
  </si>
  <si>
    <t>CUST1341</t>
  </si>
  <si>
    <t>CUST5105</t>
  </si>
  <si>
    <t>CUST9746</t>
  </si>
  <si>
    <t>CUST4630</t>
  </si>
  <si>
    <t>CUST9395</t>
  </si>
  <si>
    <t>CUST1356</t>
  </si>
  <si>
    <t>CUST6774</t>
  </si>
  <si>
    <t>CUST2924</t>
  </si>
  <si>
    <t>CUST7299</t>
  </si>
  <si>
    <t>CUST6408</t>
  </si>
  <si>
    <t>CUST3526</t>
  </si>
  <si>
    <t>CUST9398</t>
  </si>
  <si>
    <t>CUST2746</t>
  </si>
  <si>
    <t>CUST5358</t>
  </si>
  <si>
    <t>CUST9035</t>
  </si>
  <si>
    <t>CUST2032</t>
  </si>
  <si>
    <t>CUST3611</t>
  </si>
  <si>
    <t>CUST7530</t>
  </si>
  <si>
    <t>CUST7317</t>
  </si>
  <si>
    <t>CUST1414</t>
  </si>
  <si>
    <t>CUST7638</t>
  </si>
  <si>
    <t>CUST7621</t>
  </si>
  <si>
    <t>CUST4793</t>
  </si>
  <si>
    <t>CUST7608</t>
  </si>
  <si>
    <t>CUST2887</t>
  </si>
  <si>
    <t>CUST3943</t>
  </si>
  <si>
    <t>CUST1775</t>
  </si>
  <si>
    <t>CUST6718</t>
  </si>
  <si>
    <t>CUST4101</t>
  </si>
  <si>
    <t>CUST3247</t>
  </si>
  <si>
    <t>CUST4944</t>
  </si>
  <si>
    <t>CUST8972</t>
  </si>
  <si>
    <t>CUST2176</t>
  </si>
  <si>
    <t>CUST9897</t>
  </si>
  <si>
    <t>CUST5854</t>
  </si>
  <si>
    <t>CUST5154</t>
  </si>
  <si>
    <t>CUST2314</t>
  </si>
  <si>
    <t>CUST9376</t>
  </si>
  <si>
    <t>CUST3694</t>
  </si>
  <si>
    <t>CUST2334</t>
  </si>
  <si>
    <t>CUST4645</t>
  </si>
  <si>
    <t>CUST4323</t>
  </si>
  <si>
    <t>CUST4139</t>
  </si>
  <si>
    <t>CUST2974</t>
  </si>
  <si>
    <t>CUST3010</t>
  </si>
  <si>
    <t>CUST4972</t>
  </si>
  <si>
    <t>CUST7239</t>
  </si>
  <si>
    <t>CUST7431</t>
  </si>
  <si>
    <t>CUST6914</t>
  </si>
  <si>
    <t>CUST1743</t>
  </si>
  <si>
    <t>CUST2560</t>
  </si>
  <si>
    <t>CUST7651</t>
  </si>
  <si>
    <t>CUST7489</t>
  </si>
  <si>
    <t>CUST4116</t>
  </si>
  <si>
    <t>CUST5519</t>
  </si>
  <si>
    <t>CUST1930</t>
  </si>
  <si>
    <t>CUST4477</t>
  </si>
  <si>
    <t>CUST7546</t>
  </si>
  <si>
    <t>CUST3559</t>
  </si>
  <si>
    <t>CUST5224</t>
  </si>
  <si>
    <t>CUST8794</t>
  </si>
  <si>
    <t>CUST6990</t>
  </si>
  <si>
    <t>CUST6305</t>
  </si>
  <si>
    <t>CUST4671</t>
  </si>
  <si>
    <t>CUST9169</t>
  </si>
  <si>
    <t>CUST1854</t>
  </si>
  <si>
    <t>CUST6761</t>
  </si>
  <si>
    <t>CUST9270</t>
  </si>
  <si>
    <t>CUST1042</t>
  </si>
  <si>
    <t>CUST5472</t>
  </si>
  <si>
    <t>CUST1678</t>
  </si>
  <si>
    <t>CUST7314</t>
  </si>
  <si>
    <t>CUST6314</t>
  </si>
  <si>
    <t>CUST7206</t>
  </si>
  <si>
    <t>CUST8754</t>
  </si>
  <si>
    <t>CUST3823</t>
  </si>
  <si>
    <t>CUST9562</t>
  </si>
  <si>
    <t>CUST3138</t>
  </si>
  <si>
    <t>CUST3923</t>
  </si>
  <si>
    <t>CUST5758</t>
  </si>
  <si>
    <t>CUST3121</t>
  </si>
  <si>
    <t>CUST1419</t>
  </si>
  <si>
    <t>CUST4280</t>
  </si>
  <si>
    <t>CUST2445</t>
  </si>
  <si>
    <t>CUST3384</t>
  </si>
  <si>
    <t>CUST9371</t>
  </si>
  <si>
    <t>CUST9011</t>
  </si>
  <si>
    <t>CUST4599</t>
  </si>
  <si>
    <t>CUST2178</t>
  </si>
  <si>
    <t>CUST4389</t>
  </si>
  <si>
    <t>CUST3185</t>
  </si>
  <si>
    <t>CUST1539</t>
  </si>
  <si>
    <t>CUST6764</t>
  </si>
  <si>
    <t>CUST9859</t>
  </si>
  <si>
    <t>CUST1820</t>
  </si>
  <si>
    <t>CUST2850</t>
  </si>
  <si>
    <t>CUST3685</t>
  </si>
  <si>
    <t>CUST9864</t>
  </si>
  <si>
    <t>CUST4930</t>
  </si>
  <si>
    <t>CUST9488</t>
  </si>
  <si>
    <t>CUST2196</t>
  </si>
  <si>
    <t>CUST7749</t>
  </si>
  <si>
    <t>CUST2095</t>
  </si>
  <si>
    <t>CUST6721</t>
  </si>
  <si>
    <t>CUST9404</t>
  </si>
  <si>
    <t>CUST7468</t>
  </si>
  <si>
    <t>CUST8788</t>
  </si>
  <si>
    <t>CUST5440</t>
  </si>
  <si>
    <t>CUST6759</t>
  </si>
  <si>
    <t>CUST8447</t>
  </si>
  <si>
    <t>CUST5846</t>
  </si>
  <si>
    <t>CUST9396</t>
  </si>
  <si>
    <t>CUST5601</t>
  </si>
  <si>
    <t>CUST5546</t>
  </si>
  <si>
    <t>CUST1876</t>
  </si>
  <si>
    <t>CUST6236</t>
  </si>
  <si>
    <t>CUST7745</t>
  </si>
  <si>
    <t>CUST6895</t>
  </si>
  <si>
    <t>CUST7463</t>
  </si>
  <si>
    <t>CUST6549</t>
  </si>
  <si>
    <t>CUST4911</t>
  </si>
  <si>
    <t>CUST4667</t>
  </si>
  <si>
    <t>CUST4773</t>
  </si>
  <si>
    <t>CUST2841</t>
  </si>
  <si>
    <t>CUST8066</t>
  </si>
  <si>
    <t>CUST4239</t>
  </si>
  <si>
    <t>CUST9810</t>
  </si>
  <si>
    <t>CUST8455</t>
  </si>
  <si>
    <t>CUST4428</t>
  </si>
  <si>
    <t>CUST9704</t>
  </si>
  <si>
    <t>CUST4349</t>
  </si>
  <si>
    <t>CUST1880</t>
  </si>
  <si>
    <t>CUST4747</t>
  </si>
  <si>
    <t>CUST4597</t>
  </si>
  <si>
    <t>CUST9668</t>
  </si>
  <si>
    <t>CUST9936</t>
  </si>
  <si>
    <t>CUST2808</t>
  </si>
  <si>
    <t>CUST6486</t>
  </si>
  <si>
    <t>CUST2307</t>
  </si>
  <si>
    <t>CUST2551</t>
  </si>
  <si>
    <t>CUST6385</t>
  </si>
  <si>
    <t>CUST3639</t>
  </si>
  <si>
    <t>CUST3888</t>
  </si>
  <si>
    <t>CUST3326</t>
  </si>
  <si>
    <t>CUST2849</t>
  </si>
  <si>
    <t>CUST8546</t>
  </si>
  <si>
    <t>CUST2466</t>
  </si>
  <si>
    <t>CUST5847</t>
  </si>
  <si>
    <t>CUST3716</t>
  </si>
  <si>
    <t>CUST7183</t>
  </si>
  <si>
    <t>Corporate</t>
  </si>
  <si>
    <t>Home Office</t>
  </si>
  <si>
    <t>Consumer</t>
  </si>
  <si>
    <t>North</t>
  </si>
  <si>
    <t>West</t>
  </si>
  <si>
    <t>South</t>
  </si>
  <si>
    <t>East</t>
  </si>
  <si>
    <t>Uttar Pradesh</t>
  </si>
  <si>
    <t>Delhi</t>
  </si>
  <si>
    <t>Maharashtra</t>
  </si>
  <si>
    <t>Tamil Nadu</t>
  </si>
  <si>
    <t>Karnataka</t>
  </si>
  <si>
    <t>Mumbai</t>
  </si>
  <si>
    <t>Noida</t>
  </si>
  <si>
    <t>Bengaluru</t>
  </si>
  <si>
    <t>Chennai</t>
  </si>
  <si>
    <t>Online</t>
  </si>
  <si>
    <t>B2B</t>
  </si>
  <si>
    <t>Retail Store</t>
  </si>
  <si>
    <t>Electronics</t>
  </si>
  <si>
    <t>Home Essentials</t>
  </si>
  <si>
    <t>Fashion</t>
  </si>
  <si>
    <t>Product-28</t>
  </si>
  <si>
    <t>Product-9</t>
  </si>
  <si>
    <t>Product-40</t>
  </si>
  <si>
    <t>Product-32</t>
  </si>
  <si>
    <t>Product-21</t>
  </si>
  <si>
    <t>Product-44</t>
  </si>
  <si>
    <t>Product-16</t>
  </si>
  <si>
    <t>Product-15</t>
  </si>
  <si>
    <t>Product-24</t>
  </si>
  <si>
    <t>Product-26</t>
  </si>
  <si>
    <t>Product-14</t>
  </si>
  <si>
    <t>Product-7</t>
  </si>
  <si>
    <t>Product-11</t>
  </si>
  <si>
    <t>Product-23</t>
  </si>
  <si>
    <t>Product-13</t>
  </si>
  <si>
    <t>Product-10</t>
  </si>
  <si>
    <t>Product-19</t>
  </si>
  <si>
    <t>Product-34</t>
  </si>
  <si>
    <t>Product-31</t>
  </si>
  <si>
    <t>Product-33</t>
  </si>
  <si>
    <t>Product-47</t>
  </si>
  <si>
    <t>Product-17</t>
  </si>
  <si>
    <t>Product-45</t>
  </si>
  <si>
    <t>Product-36</t>
  </si>
  <si>
    <t>Product-3</t>
  </si>
  <si>
    <t>Product-42</t>
  </si>
  <si>
    <t>Product-18</t>
  </si>
  <si>
    <t>Product-46</t>
  </si>
  <si>
    <t>Product-1</t>
  </si>
  <si>
    <t>Product-20</t>
  </si>
  <si>
    <t>Product-49</t>
  </si>
  <si>
    <t>Product-39</t>
  </si>
  <si>
    <t>Product-48</t>
  </si>
  <si>
    <t>Product-2</t>
  </si>
  <si>
    <t>Product-50</t>
  </si>
  <si>
    <t>Product-27</t>
  </si>
  <si>
    <t>Product-6</t>
  </si>
  <si>
    <t>Product-37</t>
  </si>
  <si>
    <t>Product-30</t>
  </si>
  <si>
    <t>Product-41</t>
  </si>
  <si>
    <t>Product-5</t>
  </si>
  <si>
    <t>Product-43</t>
  </si>
  <si>
    <t>Product-4</t>
  </si>
  <si>
    <t>Product-8</t>
  </si>
  <si>
    <t>Product-25</t>
  </si>
  <si>
    <t>Product-22</t>
  </si>
  <si>
    <t>Product-35</t>
  </si>
  <si>
    <t>Product-38</t>
  </si>
  <si>
    <t>Product-29</t>
  </si>
  <si>
    <t>Product-12</t>
  </si>
  <si>
    <t>Net Banking</t>
  </si>
  <si>
    <t>Debit Card</t>
  </si>
  <si>
    <t>Credit Card</t>
  </si>
  <si>
    <t>UPI</t>
  </si>
  <si>
    <t>Amit</t>
  </si>
  <si>
    <t>Pooja</t>
  </si>
  <si>
    <t>Rohit</t>
  </si>
  <si>
    <t>Neha</t>
  </si>
  <si>
    <t>Karan</t>
  </si>
  <si>
    <t>Low</t>
  </si>
  <si>
    <t>High</t>
  </si>
  <si>
    <t>Medium</t>
  </si>
  <si>
    <t>MONTH</t>
  </si>
  <si>
    <t>Grand Total</t>
  </si>
  <si>
    <t>Sum of Net Sales</t>
  </si>
  <si>
    <t>Customer segment</t>
  </si>
  <si>
    <t>January</t>
  </si>
  <si>
    <t>February</t>
  </si>
  <si>
    <t>March</t>
  </si>
  <si>
    <t>April</t>
  </si>
  <si>
    <t>May</t>
  </si>
  <si>
    <t>June</t>
  </si>
  <si>
    <t>July</t>
  </si>
  <si>
    <t>August</t>
  </si>
  <si>
    <t>September</t>
  </si>
  <si>
    <t>October</t>
  </si>
  <si>
    <t>November</t>
  </si>
  <si>
    <t>Month</t>
  </si>
  <si>
    <t>Sum of Net Sales2</t>
  </si>
  <si>
    <t>Sum of Quantity Sold</t>
  </si>
  <si>
    <t>Sum of Profit</t>
  </si>
  <si>
    <t>Profit Margin%</t>
  </si>
  <si>
    <t>Average order value</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</si>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</sst>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sz val="8"/>
      <name val="Calibri"/>
      <family val="2"/>
      <scheme val="minor"/>
    </font>
    <font>
      <b/>
      <sz val="14"/>
      <color theme="1" tint="4.9989318521683403E-2"/>
      <name val="Calibri"/>
      <family val="2"/>
      <scheme val="minor"/>
    </font>
    <font>
      <sz val="11"/>
      <color theme="1"/>
      <name val="Calibri"/>
      <family val="2"/>
      <scheme val="minor"/>
    </font>
    <font>
      <b/>
      <sz val="11"/>
      <color theme="1"/>
      <name val="Calibri"/>
      <family val="2"/>
      <scheme val="minor"/>
    </font>
    <font>
      <b/>
      <sz val="14"/>
      <color theme="1"/>
      <name val="Calisto MT"/>
      <family val="1"/>
    </font>
  </fonts>
  <fills count="5">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2" fontId="0" fillId="0" borderId="0" xfId="0" applyNumberFormat="1"/>
    <xf numFmtId="9" fontId="0" fillId="0" borderId="0" xfId="1" applyFont="1"/>
    <xf numFmtId="0" fontId="4" fillId="4" borderId="0" xfId="0" applyFont="1" applyFill="1"/>
    <xf numFmtId="164" fontId="5" fillId="3" borderId="0" xfId="0" applyNumberFormat="1" applyFont="1" applyFill="1" applyAlignment="1">
      <alignment horizontal="center"/>
    </xf>
    <xf numFmtId="9" fontId="5" fillId="3" borderId="0" xfId="0" applyNumberFormat="1" applyFont="1" applyFill="1" applyAlignment="1">
      <alignment horizontal="center"/>
    </xf>
    <xf numFmtId="0" fontId="5" fillId="3" borderId="0" xfId="0" applyFont="1" applyFill="1" applyAlignment="1">
      <alignment horizontal="center"/>
    </xf>
  </cellXfs>
  <cellStyles count="2">
    <cellStyle name="Normal" xfId="0" builtinId="0"/>
    <cellStyle name="Percent" xfId="1" builtinId="5"/>
  </cellStyles>
  <dxfs count="27">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theme="1" tint="4.9989318521683403E-2"/>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[DATASET-FINAL DASHBOARD.xlsx]Calculations!PivotTable2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Baskerville Old Face" panose="02020602080505020303" pitchFamily="18" charset="0"/>
              </a:rPr>
              <a:t>CUSTOMER</a:t>
            </a:r>
            <a:r>
              <a:rPr lang="en-US" sz="1400" b="1" baseline="0">
                <a:latin typeface="Baskerville Old Face" panose="02020602080505020303" pitchFamily="18" charset="0"/>
              </a:rPr>
              <a:t> SEGMENT CONTRIBUTION</a:t>
            </a:r>
            <a:endParaRPr lang="en-US" sz="1400" b="1">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19050">
            <a:solidFill>
              <a:schemeClr val="lt1"/>
            </a:solidFill>
          </a:ln>
          <a:effectLst/>
        </c:spPr>
        <c:dLbl>
          <c:idx val="0"/>
          <c:layout>
            <c:manualLayout>
              <c:x val="-3.333333333333336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dLbl>
          <c:idx val="0"/>
          <c:layout>
            <c:manualLayout>
              <c:x val="7.49999999999999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2.7777777777777267E-3"/>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65000"/>
            </a:schemeClr>
          </a:solidFill>
          <a:ln w="19050">
            <a:solidFill>
              <a:schemeClr val="lt1"/>
            </a:solidFill>
          </a:ln>
          <a:effectLst/>
        </c:spPr>
        <c:dLbl>
          <c:idx val="0"/>
          <c:layout>
            <c:manualLayout>
              <c:x val="7.49999999999999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layout>
            <c:manualLayout>
              <c:x val="2.7777777777777267E-3"/>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tint val="65000"/>
            </a:schemeClr>
          </a:solidFill>
          <a:ln w="19050">
            <a:solidFill>
              <a:schemeClr val="lt1"/>
            </a:solidFill>
          </a:ln>
          <a:effectLst/>
        </c:spPr>
        <c:dLbl>
          <c:idx val="0"/>
          <c:layout>
            <c:manualLayout>
              <c:x val="-3.333333333333336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w="19050">
            <a:solidFill>
              <a:schemeClr val="lt1"/>
            </a:solidFill>
          </a:ln>
          <a:effectLst/>
        </c:spPr>
        <c:dLbl>
          <c:idx val="0"/>
          <c:layout>
            <c:manualLayout>
              <c:x val="3.7235649546827843E-2"/>
              <c:y val="-0.14792793887775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2.7777777777777267E-3"/>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tint val="65000"/>
            </a:schemeClr>
          </a:solidFill>
          <a:ln w="19050">
            <a:solidFill>
              <a:schemeClr val="lt1"/>
            </a:solidFill>
          </a:ln>
          <a:effectLst/>
        </c:spPr>
        <c:dLbl>
          <c:idx val="0"/>
          <c:layout>
            <c:manualLayout>
              <c:x val="-3.333333333333336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Calculations!$B$3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8BB7-4AEA-A13D-A2FC8B3ECB4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BB7-4AEA-A13D-A2FC8B3ECB40}"/>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8BB7-4AEA-A13D-A2FC8B3ECB40}"/>
              </c:ext>
            </c:extLst>
          </c:dPt>
          <c:dLbls>
            <c:dLbl>
              <c:idx val="0"/>
              <c:layout>
                <c:manualLayout>
                  <c:x val="3.7235649546827843E-2"/>
                  <c:y val="-0.14792793887775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B7-4AEA-A13D-A2FC8B3ECB40}"/>
                </c:ext>
              </c:extLst>
            </c:dLbl>
            <c:dLbl>
              <c:idx val="1"/>
              <c:layout>
                <c:manualLayout>
                  <c:x val="2.7777777777777267E-3"/>
                  <c:y val="6.4814814814814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B7-4AEA-A13D-A2FC8B3ECB40}"/>
                </c:ext>
              </c:extLst>
            </c:dLbl>
            <c:dLbl>
              <c:idx val="2"/>
              <c:layout>
                <c:manualLayout>
                  <c:x val="-3.3333333333333361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B7-4AEA-A13D-A2FC8B3ECB4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Calculations!$A$4:$A$7</c:f>
              <c:strCache>
                <c:ptCount val="3"/>
                <c:pt idx="0">
                  <c:v>Consumer</c:v>
                </c:pt>
                <c:pt idx="1">
                  <c:v>Corporate</c:v>
                </c:pt>
                <c:pt idx="2">
                  <c:v>Home Office</c:v>
                </c:pt>
              </c:strCache>
            </c:strRef>
          </c:cat>
          <c:val>
            <c:numRef>
              <c:f>Calculations!$B$4:$B$7</c:f>
              <c:numCache>
                <c:formatCode>"₹"\ #,##0.00</c:formatCode>
                <c:ptCount val="3"/>
                <c:pt idx="0">
                  <c:v>4328177.570000004</c:v>
                </c:pt>
                <c:pt idx="1">
                  <c:v>4960905.8000000035</c:v>
                </c:pt>
                <c:pt idx="2">
                  <c:v>4049159.2099999981</c:v>
                </c:pt>
              </c:numCache>
            </c:numRef>
          </c:val>
          <c:extLst>
            <c:ext xmlns:c16="http://schemas.microsoft.com/office/drawing/2014/chart" uri="{C3380CC4-5D6E-409C-BE32-E72D297353CC}">
              <c16:uniqueId val="{00000006-8BB7-4AEA-A13D-A2FC8B3ECB4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3376132930513593"/>
          <c:y val="0.53286574472308612"/>
          <c:w val="0.26494097891715168"/>
          <c:h val="0.26577030276523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[DATASET-FINAL DASHBOARD.xlsx]Calculations!PivotTable3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latin typeface="Baskerville Old Face" panose="02020602080505020303" pitchFamily="18" charset="0"/>
              </a:rPr>
              <a:t>MONTHLY</a:t>
            </a:r>
            <a:r>
              <a:rPr lang="en-IN" sz="1800" b="1" baseline="0">
                <a:latin typeface="Baskerville Old Face" panose="02020602080505020303" pitchFamily="18" charset="0"/>
              </a:rPr>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dLbl>
          <c:idx val="0"/>
          <c:layout>
            <c:manualLayout>
              <c:x val="-4.6804516820142895E-2"/>
              <c:y val="-5.57796011802437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layout>
            <c:manualLayout>
              <c:x val="-4.5071016197174706E-2"/>
              <c:y val="-3.90457208261705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Calculations!$F$3</c:f>
              <c:strCache>
                <c:ptCount val="1"/>
                <c:pt idx="0">
                  <c:v>Total</c:v>
                </c:pt>
              </c:strCache>
            </c:strRef>
          </c:tx>
          <c:spPr>
            <a:ln w="28575" cap="rnd">
              <a:solidFill>
                <a:schemeClr val="accent4"/>
              </a:solidFill>
              <a:round/>
            </a:ln>
            <a:effectLst/>
          </c:spPr>
          <c:marker>
            <c:symbol val="none"/>
          </c:marker>
          <c:dPt>
            <c:idx val="1"/>
            <c:marker>
              <c:symbol val="none"/>
            </c:marker>
            <c:bubble3D val="0"/>
            <c:spPr>
              <a:ln w="28575" cap="rnd">
                <a:solidFill>
                  <a:schemeClr val="accent4"/>
                </a:solidFill>
                <a:round/>
              </a:ln>
              <a:effectLst/>
            </c:spPr>
            <c:extLst>
              <c:ext xmlns:c16="http://schemas.microsoft.com/office/drawing/2014/chart" uri="{C3380CC4-5D6E-409C-BE32-E72D297353CC}">
                <c16:uniqueId val="{00000000-E012-4068-83C1-6A20D7D77B73}"/>
              </c:ext>
            </c:extLst>
          </c:dPt>
          <c:dPt>
            <c:idx val="6"/>
            <c:marker>
              <c:symbol val="none"/>
            </c:marker>
            <c:bubble3D val="0"/>
            <c:spPr>
              <a:ln w="28575" cap="rnd">
                <a:solidFill>
                  <a:schemeClr val="accent4"/>
                </a:solidFill>
                <a:round/>
              </a:ln>
              <a:effectLst/>
            </c:spPr>
            <c:extLst>
              <c:ext xmlns:c16="http://schemas.microsoft.com/office/drawing/2014/chart" uri="{C3380CC4-5D6E-409C-BE32-E72D297353CC}">
                <c16:uniqueId val="{00000001-E012-4068-83C1-6A20D7D77B73}"/>
              </c:ext>
            </c:extLst>
          </c:dPt>
          <c:dLbls>
            <c:dLbl>
              <c:idx val="1"/>
              <c:layout>
                <c:manualLayout>
                  <c:x val="-4.6804516820142895E-2"/>
                  <c:y val="-5.5779601180243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12-4068-83C1-6A20D7D77B73}"/>
                </c:ext>
              </c:extLst>
            </c:dLbl>
            <c:dLbl>
              <c:idx val="6"/>
              <c:layout>
                <c:manualLayout>
                  <c:x val="-4.5071016197174706E-2"/>
                  <c:y val="-3.9045720826170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12-4068-83C1-6A20D7D77B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Calculations!$E$4:$E$15</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Calculations!$F$4:$F$15</c:f>
              <c:numCache>
                <c:formatCode>"₹"\ #,##0.00</c:formatCode>
                <c:ptCount val="11"/>
                <c:pt idx="0">
                  <c:v>385642.66999999993</c:v>
                </c:pt>
                <c:pt idx="1">
                  <c:v>1473255.8399999994</c:v>
                </c:pt>
                <c:pt idx="2">
                  <c:v>1564755.7000000007</c:v>
                </c:pt>
                <c:pt idx="3">
                  <c:v>599461.2100000002</c:v>
                </c:pt>
                <c:pt idx="4">
                  <c:v>1319577.0900000008</c:v>
                </c:pt>
                <c:pt idx="5">
                  <c:v>568496.12000000011</c:v>
                </c:pt>
                <c:pt idx="6">
                  <c:v>1613884.79</c:v>
                </c:pt>
                <c:pt idx="7">
                  <c:v>1435128.5200000003</c:v>
                </c:pt>
                <c:pt idx="8">
                  <c:v>1879173.9400000004</c:v>
                </c:pt>
                <c:pt idx="9">
                  <c:v>1493200.4899999998</c:v>
                </c:pt>
                <c:pt idx="10">
                  <c:v>1005666.2099999997</c:v>
                </c:pt>
              </c:numCache>
            </c:numRef>
          </c:val>
          <c:smooth val="0"/>
          <c:extLst>
            <c:ext xmlns:c16="http://schemas.microsoft.com/office/drawing/2014/chart" uri="{C3380CC4-5D6E-409C-BE32-E72D297353CC}">
              <c16:uniqueId val="{00000000-FA55-418F-B781-BB43170F2F69}"/>
            </c:ext>
          </c:extLst>
        </c:ser>
        <c:dLbls>
          <c:showLegendKey val="0"/>
          <c:showVal val="0"/>
          <c:showCatName val="0"/>
          <c:showSerName val="0"/>
          <c:showPercent val="0"/>
          <c:showBubbleSize val="0"/>
        </c:dLbls>
        <c:smooth val="0"/>
        <c:axId val="1752304719"/>
        <c:axId val="1752277839"/>
      </c:lineChart>
      <c:catAx>
        <c:axId val="175230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52277839"/>
        <c:crosses val="autoZero"/>
        <c:auto val="1"/>
        <c:lblAlgn val="ctr"/>
        <c:lblOffset val="100"/>
        <c:noMultiLvlLbl val="0"/>
      </c:catAx>
      <c:valAx>
        <c:axId val="175227783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5230471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[DATASET-FINAL DASHBOARD.xlsx]Calculations!PivotTable4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Baskerville Old Face" panose="02020602080505020303" pitchFamily="18" charset="0"/>
              </a:rPr>
              <a:t>REGION-WISE</a:t>
            </a:r>
            <a:r>
              <a:rPr lang="en-US" sz="1800" b="1" baseline="0">
                <a:latin typeface="Baskerville Old Face" panose="02020602080505020303" pitchFamily="18" charset="0"/>
              </a:rPr>
              <a:t> SALES</a:t>
            </a:r>
            <a:endParaRPr lang="en-US" sz="1800" b="1">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Calculations!$I$3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Calculations!$H$4:$H$8</c:f>
              <c:strCache>
                <c:ptCount val="4"/>
                <c:pt idx="0">
                  <c:v>East</c:v>
                </c:pt>
                <c:pt idx="1">
                  <c:v>North</c:v>
                </c:pt>
                <c:pt idx="2">
                  <c:v>South</c:v>
                </c:pt>
                <c:pt idx="3">
                  <c:v>West</c:v>
                </c:pt>
              </c:strCache>
            </c:strRef>
          </c:cat>
          <c:val>
            <c:numRef>
              <c:f>Calculations!$I$4:$I$8</c:f>
              <c:numCache>
                <c:formatCode>"₹"\ #,##0.00</c:formatCode>
                <c:ptCount val="4"/>
                <c:pt idx="0">
                  <c:v>3685501.7799999993</c:v>
                </c:pt>
                <c:pt idx="1">
                  <c:v>2726575.9300000011</c:v>
                </c:pt>
                <c:pt idx="2">
                  <c:v>3857349.6899999985</c:v>
                </c:pt>
                <c:pt idx="3">
                  <c:v>3068815.18</c:v>
                </c:pt>
              </c:numCache>
            </c:numRef>
          </c:val>
          <c:extLst>
            <c:ext xmlns:c16="http://schemas.microsoft.com/office/drawing/2014/chart" uri="{C3380CC4-5D6E-409C-BE32-E72D297353CC}">
              <c16:uniqueId val="{00000000-F033-42FB-A454-8BD49C4F19D6}"/>
            </c:ext>
          </c:extLst>
        </c:ser>
        <c:dLbls>
          <c:showLegendKey val="0"/>
          <c:showVal val="0"/>
          <c:showCatName val="0"/>
          <c:showSerName val="0"/>
          <c:showPercent val="0"/>
          <c:showBubbleSize val="0"/>
        </c:dLbls>
        <c:gapWidth val="219"/>
        <c:overlap val="-27"/>
        <c:axId val="1775853455"/>
        <c:axId val="1775835695"/>
      </c:barChart>
      <c:catAx>
        <c:axId val="177585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75835695"/>
        <c:crosses val="autoZero"/>
        <c:auto val="1"/>
        <c:lblAlgn val="ctr"/>
        <c:lblOffset val="100"/>
        <c:noMultiLvlLbl val="0"/>
      </c:catAx>
      <c:valAx>
        <c:axId val="177583569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7585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[DATASET-FINAL DASHBOARD.xlsx]Calculations!PivotTable5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askerville Old Face" panose="02020602080505020303" pitchFamily="18" charset="0"/>
              </a:rPr>
              <a:t>MONTH-ON</a:t>
            </a:r>
            <a:r>
              <a:rPr lang="en-US" sz="1600" b="1" baseline="0">
                <a:latin typeface="Baskerville Old Face" panose="02020602080505020303" pitchFamily="18" charset="0"/>
              </a:rPr>
              <a:t>-MONTH GROWTH%</a:t>
            </a:r>
            <a:endParaRPr lang="en-US" sz="1600" b="1">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layout>
            <c:manualLayout>
              <c:x val="-5.5991041433370659E-3"/>
              <c:y val="-3.92734413352970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layout>
            <c:manualLayout>
              <c:x val="-1.8663680477790219E-2"/>
              <c:y val="5.89101620029453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layout>
            <c:manualLayout>
              <c:x val="-2.9861888764464422E-2"/>
              <c:y val="6.3819342169857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layout>
            <c:manualLayout>
              <c:x val="-1.8663680477790288E-2"/>
              <c:y val="-8.83652430044182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layout>
            <c:manualLayout>
              <c:x val="-3.7327360955580441E-3"/>
              <c:y val="-3.4364261168384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layout>
            <c:manualLayout>
              <c:x val="-1.6797312430011199E-2"/>
              <c:y val="-4.4182621502209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layout>
            <c:manualLayout>
              <c:x val="-5.5991041433370659E-3"/>
              <c:y val="-3.92734413352970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layout>
            <c:manualLayout>
              <c:x val="-1.8663680477790219E-2"/>
              <c:y val="5.89101620029453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layout>
            <c:manualLayout>
              <c:x val="-2.9861888764464422E-2"/>
              <c:y val="6.3819342169857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layout>
            <c:manualLayout>
              <c:x val="-1.8663680477790288E-2"/>
              <c:y val="-8.83652430044182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layout>
            <c:manualLayout>
              <c:x val="-3.7327360955580441E-3"/>
              <c:y val="-3.4364261168384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layout>
            <c:manualLayout>
              <c:x val="-1.6797312430011199E-2"/>
              <c:y val="-4.4182621502209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solidFill>
            <a:round/>
          </a:ln>
          <a:effectLst/>
        </c:spPr>
        <c:marker>
          <c:symbol val="none"/>
        </c:marker>
        <c:dLbl>
          <c:idx val="0"/>
          <c:layout>
            <c:manualLayout>
              <c:x val="-5.5991041433370659E-3"/>
              <c:y val="-3.92734413352970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4"/>
            </a:solidFill>
            <a:round/>
          </a:ln>
          <a:effectLst/>
        </c:spPr>
        <c:marker>
          <c:symbol val="none"/>
        </c:marker>
        <c:dLbl>
          <c:idx val="0"/>
          <c:layout>
            <c:manualLayout>
              <c:x val="-1.8663680477790219E-2"/>
              <c:y val="5.89101620029453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4"/>
            </a:solidFill>
            <a:round/>
          </a:ln>
          <a:effectLst/>
        </c:spPr>
        <c:marker>
          <c:symbol val="none"/>
        </c:marker>
        <c:dLbl>
          <c:idx val="0"/>
          <c:layout>
            <c:manualLayout>
              <c:x val="-2.9861888764464422E-2"/>
              <c:y val="6.3819342169857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4"/>
            </a:solidFill>
            <a:round/>
          </a:ln>
          <a:effectLst/>
        </c:spPr>
        <c:marker>
          <c:symbol val="none"/>
        </c:marker>
        <c:dLbl>
          <c:idx val="0"/>
          <c:layout>
            <c:manualLayout>
              <c:x val="-1.8663680477790288E-2"/>
              <c:y val="-8.83652430044182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4"/>
            </a:solidFill>
            <a:round/>
          </a:ln>
          <a:effectLst/>
        </c:spPr>
        <c:marker>
          <c:symbol val="none"/>
        </c:marker>
        <c:dLbl>
          <c:idx val="0"/>
          <c:layout>
            <c:manualLayout>
              <c:x val="-3.7327360955580441E-3"/>
              <c:y val="-3.4364261168384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4"/>
            </a:solidFill>
            <a:round/>
          </a:ln>
          <a:effectLst/>
        </c:spPr>
        <c:marker>
          <c:symbol val="none"/>
        </c:marker>
        <c:dLbl>
          <c:idx val="0"/>
          <c:layout>
            <c:manualLayout>
              <c:x val="-1.6797312430011199E-2"/>
              <c:y val="-4.4182621502209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Calculations!$L$3</c:f>
              <c:strCache>
                <c:ptCount val="1"/>
                <c:pt idx="0">
                  <c:v>Total</c:v>
                </c:pt>
              </c:strCache>
            </c:strRef>
          </c:tx>
          <c:spPr>
            <a:ln w="28575" cap="rnd">
              <a:solidFill>
                <a:schemeClr val="accent4"/>
              </a:solidFill>
              <a:round/>
            </a:ln>
            <a:effectLst/>
          </c:spPr>
          <c:marker>
            <c:symbol val="none"/>
          </c:marker>
          <c:dPt>
            <c:idx val="2"/>
            <c:marker>
              <c:symbol val="none"/>
            </c:marker>
            <c:bubble3D val="0"/>
            <c:spPr>
              <a:ln w="28575" cap="rnd">
                <a:solidFill>
                  <a:schemeClr val="accent4"/>
                </a:solidFill>
                <a:round/>
              </a:ln>
              <a:effectLst/>
            </c:spPr>
            <c:extLst>
              <c:ext xmlns:c16="http://schemas.microsoft.com/office/drawing/2014/chart" uri="{C3380CC4-5D6E-409C-BE32-E72D297353CC}">
                <c16:uniqueId val="{00000000-5F78-453E-8E14-218C9ABE4DDA}"/>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1-5F78-453E-8E14-218C9ABE4DDA}"/>
              </c:ext>
            </c:extLst>
          </c:dPt>
          <c:dPt>
            <c:idx val="5"/>
            <c:marker>
              <c:symbol val="none"/>
            </c:marker>
            <c:bubble3D val="0"/>
            <c:spPr>
              <a:ln w="28575" cap="rnd">
                <a:solidFill>
                  <a:schemeClr val="accent4"/>
                </a:solidFill>
                <a:round/>
              </a:ln>
              <a:effectLst/>
            </c:spPr>
            <c:extLst>
              <c:ext xmlns:c16="http://schemas.microsoft.com/office/drawing/2014/chart" uri="{C3380CC4-5D6E-409C-BE32-E72D297353CC}">
                <c16:uniqueId val="{00000002-5F78-453E-8E14-218C9ABE4DDA}"/>
              </c:ext>
            </c:extLst>
          </c:dPt>
          <c:dPt>
            <c:idx val="7"/>
            <c:marker>
              <c:symbol val="none"/>
            </c:marker>
            <c:bubble3D val="0"/>
            <c:spPr>
              <a:ln w="28575" cap="rnd">
                <a:solidFill>
                  <a:schemeClr val="accent4"/>
                </a:solidFill>
                <a:round/>
              </a:ln>
              <a:effectLst/>
            </c:spPr>
            <c:extLst>
              <c:ext xmlns:c16="http://schemas.microsoft.com/office/drawing/2014/chart" uri="{C3380CC4-5D6E-409C-BE32-E72D297353CC}">
                <c16:uniqueId val="{00000003-5F78-453E-8E14-218C9ABE4DDA}"/>
              </c:ext>
            </c:extLst>
          </c:dPt>
          <c:dPt>
            <c:idx val="8"/>
            <c:marker>
              <c:symbol val="none"/>
            </c:marker>
            <c:bubble3D val="0"/>
            <c:spPr>
              <a:ln w="28575" cap="rnd">
                <a:solidFill>
                  <a:schemeClr val="accent4"/>
                </a:solidFill>
                <a:round/>
              </a:ln>
              <a:effectLst/>
            </c:spPr>
            <c:extLst>
              <c:ext xmlns:c16="http://schemas.microsoft.com/office/drawing/2014/chart" uri="{C3380CC4-5D6E-409C-BE32-E72D297353CC}">
                <c16:uniqueId val="{00000004-5F78-453E-8E14-218C9ABE4DDA}"/>
              </c:ext>
            </c:extLst>
          </c:dPt>
          <c:dPt>
            <c:idx val="9"/>
            <c:marker>
              <c:symbol val="none"/>
            </c:marker>
            <c:bubble3D val="0"/>
            <c:spPr>
              <a:ln w="28575" cap="rnd">
                <a:solidFill>
                  <a:schemeClr val="accent4"/>
                </a:solidFill>
                <a:round/>
              </a:ln>
              <a:effectLst/>
            </c:spPr>
            <c:extLst>
              <c:ext xmlns:c16="http://schemas.microsoft.com/office/drawing/2014/chart" uri="{C3380CC4-5D6E-409C-BE32-E72D297353CC}">
                <c16:uniqueId val="{00000005-5F78-453E-8E14-218C9ABE4DDA}"/>
              </c:ext>
            </c:extLst>
          </c:dPt>
          <c:dLbls>
            <c:dLbl>
              <c:idx val="2"/>
              <c:layout>
                <c:manualLayout>
                  <c:x val="-5.5991041433370659E-3"/>
                  <c:y val="-3.9273441335297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78-453E-8E14-218C9ABE4DDA}"/>
                </c:ext>
              </c:extLst>
            </c:dLbl>
            <c:dLbl>
              <c:idx val="3"/>
              <c:layout>
                <c:manualLayout>
                  <c:x val="-1.8663680477790219E-2"/>
                  <c:y val="5.8910162002945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8-453E-8E14-218C9ABE4DDA}"/>
                </c:ext>
              </c:extLst>
            </c:dLbl>
            <c:dLbl>
              <c:idx val="5"/>
              <c:layout>
                <c:manualLayout>
                  <c:x val="-2.9861888764464422E-2"/>
                  <c:y val="6.3819342169857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8-453E-8E14-218C9ABE4DDA}"/>
                </c:ext>
              </c:extLst>
            </c:dLbl>
            <c:dLbl>
              <c:idx val="7"/>
              <c:layout>
                <c:manualLayout>
                  <c:x val="-1.8663680477790288E-2"/>
                  <c:y val="-8.83652430044182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8-453E-8E14-218C9ABE4DDA}"/>
                </c:ext>
              </c:extLst>
            </c:dLbl>
            <c:dLbl>
              <c:idx val="8"/>
              <c:layout>
                <c:manualLayout>
                  <c:x val="-3.7327360955580441E-3"/>
                  <c:y val="-3.4364261168384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8-453E-8E14-218C9ABE4DDA}"/>
                </c:ext>
              </c:extLst>
            </c:dLbl>
            <c:dLbl>
              <c:idx val="9"/>
              <c:layout>
                <c:manualLayout>
                  <c:x val="-1.6797312430011199E-2"/>
                  <c:y val="-4.4182621502209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8-453E-8E14-218C9ABE4DD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Calculations!$K$4:$K$15</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Calculations!$L$4:$L$15</c:f>
              <c:numCache>
                <c:formatCode>0.00%</c:formatCode>
                <c:ptCount val="11"/>
                <c:pt idx="1">
                  <c:v>2.8202614871430063</c:v>
                </c:pt>
                <c:pt idx="2">
                  <c:v>6.2107244047986468E-2</c:v>
                </c:pt>
                <c:pt idx="3">
                  <c:v>-0.61689789019461638</c:v>
                </c:pt>
                <c:pt idx="4">
                  <c:v>1.2012718554383199</c:v>
                </c:pt>
                <c:pt idx="5">
                  <c:v>-0.56918309335000672</c:v>
                </c:pt>
                <c:pt idx="6">
                  <c:v>1.838866851017382</c:v>
                </c:pt>
                <c:pt idx="7">
                  <c:v>-0.11076148130747288</c:v>
                </c:pt>
                <c:pt idx="8">
                  <c:v>0.3094116058678843</c:v>
                </c:pt>
                <c:pt idx="9">
                  <c:v>-0.20539527596897209</c:v>
                </c:pt>
                <c:pt idx="10">
                  <c:v>-0.32650289312455294</c:v>
                </c:pt>
              </c:numCache>
            </c:numRef>
          </c:val>
          <c:smooth val="0"/>
          <c:extLst>
            <c:ext xmlns:c16="http://schemas.microsoft.com/office/drawing/2014/chart" uri="{C3380CC4-5D6E-409C-BE32-E72D297353CC}">
              <c16:uniqueId val="{00000006-5F78-453E-8E14-218C9ABE4DDA}"/>
            </c:ext>
          </c:extLst>
        </c:ser>
        <c:dLbls>
          <c:showLegendKey val="0"/>
          <c:showVal val="0"/>
          <c:showCatName val="0"/>
          <c:showSerName val="0"/>
          <c:showPercent val="0"/>
          <c:showBubbleSize val="0"/>
        </c:dLbls>
        <c:smooth val="0"/>
        <c:axId val="1752327759"/>
        <c:axId val="1752336399"/>
      </c:lineChart>
      <c:catAx>
        <c:axId val="175232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52336399"/>
        <c:crosses val="autoZero"/>
        <c:auto val="1"/>
        <c:lblAlgn val="ctr"/>
        <c:lblOffset val="100"/>
        <c:noMultiLvlLbl val="0"/>
      </c:catAx>
      <c:valAx>
        <c:axId val="17523363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5232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[DATASET-FINAL DASHBOARD.xlsx]Calculations!PivotTable6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askerville Old Face" panose="02020602080505020303" pitchFamily="18" charset="0"/>
              </a:rPr>
              <a:t>PRODUCT</a:t>
            </a:r>
            <a:r>
              <a:rPr lang="en-US" sz="1600" b="1" baseline="0">
                <a:latin typeface="Baskerville Old Face" panose="02020602080505020303" pitchFamily="18" charset="0"/>
              </a:rPr>
              <a:t> 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Calculations!$A$10:$A$13</c:f>
              <c:strCache>
                <c:ptCount val="3"/>
                <c:pt idx="0">
                  <c:v>Electronics</c:v>
                </c:pt>
                <c:pt idx="1">
                  <c:v>Fashion</c:v>
                </c:pt>
                <c:pt idx="2">
                  <c:v>Home Essentials</c:v>
                </c:pt>
              </c:strCache>
            </c:strRef>
          </c:cat>
          <c:val>
            <c:numRef>
              <c:f>Calculations!$B$10:$B$13</c:f>
              <c:numCache>
                <c:formatCode>"₹"\ #,##0.00</c:formatCode>
                <c:ptCount val="3"/>
                <c:pt idx="0">
                  <c:v>4216627.7300000023</c:v>
                </c:pt>
                <c:pt idx="1">
                  <c:v>3956510.7300000004</c:v>
                </c:pt>
                <c:pt idx="2">
                  <c:v>5165104.1200000029</c:v>
                </c:pt>
              </c:numCache>
            </c:numRef>
          </c:val>
          <c:extLst>
            <c:ext xmlns:c16="http://schemas.microsoft.com/office/drawing/2014/chart" uri="{C3380CC4-5D6E-409C-BE32-E72D297353CC}">
              <c16:uniqueId val="{00000000-D260-4F04-866F-060873F2E99A}"/>
            </c:ext>
          </c:extLst>
        </c:ser>
        <c:dLbls>
          <c:showLegendKey val="0"/>
          <c:showVal val="0"/>
          <c:showCatName val="0"/>
          <c:showSerName val="0"/>
          <c:showPercent val="0"/>
          <c:showBubbleSize val="0"/>
        </c:dLbls>
        <c:gapWidth val="219"/>
        <c:overlap val="-27"/>
        <c:axId val="1775863535"/>
        <c:axId val="1775833295"/>
      </c:barChart>
      <c:catAx>
        <c:axId val="177586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75833295"/>
        <c:crosses val="autoZero"/>
        <c:auto val="1"/>
        <c:lblAlgn val="ctr"/>
        <c:lblOffset val="100"/>
        <c:noMultiLvlLbl val="0"/>
      </c:catAx>
      <c:valAx>
        <c:axId val="177583329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crossAx val="177586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220337</xdr:colOff>
      <xdr:row>5</xdr:row>
      <xdr:rowOff>14691</xdr:rowOff>
    </xdr:from>
    <xdr:to>
      <xdr:col>12</xdr:col>
      <xdr:colOff>394772</xdr:colOff>
      <xdr:row>6</xdr:row>
      <xdr:rowOff>165253</xdr:rowOff>
    </xdr:to>
    <xdr:sp macro="" textlink="">
      <xdr:nvSpPr>
        <xdr:cNvPr id="9" name="Rectangle 8">
          <a:extLst>
            <a:ext uri="{FF2B5EF4-FFF2-40B4-BE49-F238E27FC236}">
              <a16:creationId xmlns:a16="http://schemas.microsoft.com/office/drawing/2014/main" id="{F32CDF41-A69B-D506-20B0-42F7A0E9BBE2}"/>
            </a:ext>
          </a:extLst>
        </xdr:cNvPr>
        <xdr:cNvSpPr/>
      </xdr:nvSpPr>
      <xdr:spPr>
        <a:xfrm>
          <a:off x="4461831" y="749149"/>
          <a:ext cx="1533182" cy="33417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 SALES</a:t>
          </a:r>
        </a:p>
      </xdr:txBody>
    </xdr:sp>
    <xdr:clientData/>
  </xdr:twoCellAnchor>
  <xdr:twoCellAnchor>
    <xdr:from>
      <xdr:col>14</xdr:col>
      <xdr:colOff>45904</xdr:colOff>
      <xdr:row>5</xdr:row>
      <xdr:rowOff>45903</xdr:rowOff>
    </xdr:from>
    <xdr:to>
      <xdr:col>16</xdr:col>
      <xdr:colOff>569205</xdr:colOff>
      <xdr:row>6</xdr:row>
      <xdr:rowOff>146891</xdr:rowOff>
    </xdr:to>
    <xdr:sp macro="" textlink="">
      <xdr:nvSpPr>
        <xdr:cNvPr id="10" name="Rectangle 9">
          <a:extLst>
            <a:ext uri="{FF2B5EF4-FFF2-40B4-BE49-F238E27FC236}">
              <a16:creationId xmlns:a16="http://schemas.microsoft.com/office/drawing/2014/main" id="{DF2D662A-C3B9-7DD5-745D-2F175AB05BFE}"/>
            </a:ext>
          </a:extLst>
        </xdr:cNvPr>
        <xdr:cNvSpPr/>
      </xdr:nvSpPr>
      <xdr:spPr>
        <a:xfrm>
          <a:off x="8675784" y="963975"/>
          <a:ext cx="1735156" cy="284603"/>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 PROFIT</a:t>
          </a:r>
        </a:p>
      </xdr:txBody>
    </xdr:sp>
    <xdr:clientData/>
  </xdr:twoCellAnchor>
  <xdr:twoCellAnchor>
    <xdr:from>
      <xdr:col>18</xdr:col>
      <xdr:colOff>156072</xdr:colOff>
      <xdr:row>5</xdr:row>
      <xdr:rowOff>46075</xdr:rowOff>
    </xdr:from>
    <xdr:to>
      <xdr:col>20</xdr:col>
      <xdr:colOff>394772</xdr:colOff>
      <xdr:row>6</xdr:row>
      <xdr:rowOff>128529</xdr:rowOff>
    </xdr:to>
    <xdr:sp macro="" textlink="">
      <xdr:nvSpPr>
        <xdr:cNvPr id="12" name="Rectangle 11">
          <a:extLst>
            <a:ext uri="{FF2B5EF4-FFF2-40B4-BE49-F238E27FC236}">
              <a16:creationId xmlns:a16="http://schemas.microsoft.com/office/drawing/2014/main" id="{A3A42973-BE38-2770-9BC5-B84D536F40B4}"/>
            </a:ext>
          </a:extLst>
        </xdr:cNvPr>
        <xdr:cNvSpPr/>
      </xdr:nvSpPr>
      <xdr:spPr>
        <a:xfrm>
          <a:off x="11209662" y="964147"/>
          <a:ext cx="1450556" cy="266069"/>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 PROFIT MARGIN%</a:t>
          </a:r>
        </a:p>
      </xdr:txBody>
    </xdr:sp>
    <xdr:clientData/>
  </xdr:twoCellAnchor>
  <xdr:twoCellAnchor>
    <xdr:from>
      <xdr:col>22</xdr:col>
      <xdr:colOff>18359</xdr:colOff>
      <xdr:row>5</xdr:row>
      <xdr:rowOff>36721</xdr:rowOff>
    </xdr:from>
    <xdr:to>
      <xdr:col>25</xdr:col>
      <xdr:colOff>9181</xdr:colOff>
      <xdr:row>6</xdr:row>
      <xdr:rowOff>137710</xdr:rowOff>
    </xdr:to>
    <xdr:sp macro="" textlink="">
      <xdr:nvSpPr>
        <xdr:cNvPr id="14" name="Rectangle 13">
          <a:extLst>
            <a:ext uri="{FF2B5EF4-FFF2-40B4-BE49-F238E27FC236}">
              <a16:creationId xmlns:a16="http://schemas.microsoft.com/office/drawing/2014/main" id="{6AEF34F9-4E6C-8377-804A-9C9288170117}"/>
            </a:ext>
          </a:extLst>
        </xdr:cNvPr>
        <xdr:cNvSpPr/>
      </xdr:nvSpPr>
      <xdr:spPr>
        <a:xfrm>
          <a:off x="13495660" y="954793"/>
          <a:ext cx="1808605" cy="284604"/>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AVERAGE</a:t>
          </a:r>
          <a:r>
            <a:rPr lang="en-IN" sz="1200" b="1" baseline="0">
              <a:solidFill>
                <a:schemeClr val="tx1"/>
              </a:solidFill>
            </a:rPr>
            <a:t> ORDER VALUE </a:t>
          </a:r>
          <a:endParaRPr lang="en-IN" sz="1200" b="1">
            <a:solidFill>
              <a:schemeClr val="tx1"/>
            </a:solidFill>
          </a:endParaRPr>
        </a:p>
      </xdr:txBody>
    </xdr:sp>
    <xdr:clientData/>
  </xdr:twoCellAnchor>
  <xdr:twoCellAnchor>
    <xdr:from>
      <xdr:col>0</xdr:col>
      <xdr:colOff>0</xdr:colOff>
      <xdr:row>0</xdr:row>
      <xdr:rowOff>9181</xdr:rowOff>
    </xdr:from>
    <xdr:to>
      <xdr:col>28</xdr:col>
      <xdr:colOff>422313</xdr:colOff>
      <xdr:row>3</xdr:row>
      <xdr:rowOff>165253</xdr:rowOff>
    </xdr:to>
    <xdr:sp macro="" textlink="">
      <xdr:nvSpPr>
        <xdr:cNvPr id="2" name="Rectangle 1">
          <a:extLst>
            <a:ext uri="{FF2B5EF4-FFF2-40B4-BE49-F238E27FC236}">
              <a16:creationId xmlns:a16="http://schemas.microsoft.com/office/drawing/2014/main" id="{3C6D7398-01F6-AAF6-9BD8-36D48E2A8AC9}"/>
            </a:ext>
          </a:extLst>
        </xdr:cNvPr>
        <xdr:cNvSpPr/>
      </xdr:nvSpPr>
      <xdr:spPr>
        <a:xfrm>
          <a:off x="0" y="9181"/>
          <a:ext cx="17388289" cy="706915"/>
        </a:xfrm>
        <a:prstGeom prst="rect">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rgbClr val="002060"/>
              </a:solidFill>
              <a:latin typeface="Baskerville Old Face" panose="02020602080505020303" pitchFamily="18" charset="0"/>
            </a:rPr>
            <a:t>BUSINESS</a:t>
          </a:r>
          <a:r>
            <a:rPr lang="en-IN" sz="3200" b="1" baseline="0">
              <a:solidFill>
                <a:srgbClr val="002060"/>
              </a:solidFill>
              <a:latin typeface="Baskerville Old Face" panose="02020602080505020303" pitchFamily="18" charset="0"/>
            </a:rPr>
            <a:t> PERFORMANCE ANALYSIS DASHBOARD</a:t>
          </a:r>
          <a:endParaRPr lang="en-IN" sz="3200" b="1">
            <a:solidFill>
              <a:srgbClr val="002060"/>
            </a:solidFill>
            <a:latin typeface="Baskerville Old Face" panose="02020602080505020303" pitchFamily="18" charset="0"/>
          </a:endParaRPr>
        </a:p>
      </xdr:txBody>
    </xdr:sp>
    <xdr:clientData/>
  </xdr:twoCellAnchor>
  <xdr:twoCellAnchor>
    <xdr:from>
      <xdr:col>0</xdr:col>
      <xdr:colOff>1</xdr:colOff>
      <xdr:row>18</xdr:row>
      <xdr:rowOff>36722</xdr:rowOff>
    </xdr:from>
    <xdr:to>
      <xdr:col>6</xdr:col>
      <xdr:colOff>550845</xdr:colOff>
      <xdr:row>34</xdr:row>
      <xdr:rowOff>110167</xdr:rowOff>
    </xdr:to>
    <xdr:graphicFrame macro="">
      <xdr:nvGraphicFramePr>
        <xdr:cNvPr id="7" name="Chart 6">
          <a:extLst>
            <a:ext uri="{FF2B5EF4-FFF2-40B4-BE49-F238E27FC236}">
              <a16:creationId xmlns:a16="http://schemas.microsoft.com/office/drawing/2014/main" id="{2D37724E-8709-4FFC-A9C6-5C6312FF8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550844</xdr:colOff>
      <xdr:row>8</xdr:row>
      <xdr:rowOff>91809</xdr:rowOff>
    </xdr:from>
    <xdr:to>
      <xdr:col>18</xdr:col>
      <xdr:colOff>560024</xdr:colOff>
      <xdr:row>20</xdr:row>
      <xdr:rowOff>165254</xdr:rowOff>
    </xdr:to>
    <xdr:graphicFrame macro="">
      <xdr:nvGraphicFramePr>
        <xdr:cNvPr id="8" name="Chart 7">
          <a:extLst>
            <a:ext uri="{FF2B5EF4-FFF2-40B4-BE49-F238E27FC236}">
              <a16:creationId xmlns:a16="http://schemas.microsoft.com/office/drawing/2014/main" id="{A244D104-507B-4844-A50A-3028EF3C9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560025</xdr:colOff>
      <xdr:row>8</xdr:row>
      <xdr:rowOff>91806</xdr:rowOff>
    </xdr:from>
    <xdr:to>
      <xdr:col>29</xdr:col>
      <xdr:colOff>201976</xdr:colOff>
      <xdr:row>20</xdr:row>
      <xdr:rowOff>156072</xdr:rowOff>
    </xdr:to>
    <xdr:graphicFrame macro="">
      <xdr:nvGraphicFramePr>
        <xdr:cNvPr id="16" name="Chart 15">
          <a:extLst>
            <a:ext uri="{FF2B5EF4-FFF2-40B4-BE49-F238E27FC236}">
              <a16:creationId xmlns:a16="http://schemas.microsoft.com/office/drawing/2014/main" id="{84E4FD7D-D24B-423C-8CE5-5A2EBE8EF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569206</xdr:colOff>
      <xdr:row>20</xdr:row>
      <xdr:rowOff>165253</xdr:rowOff>
    </xdr:from>
    <xdr:to>
      <xdr:col>19</xdr:col>
      <xdr:colOff>321326</xdr:colOff>
      <xdr:row>34</xdr:row>
      <xdr:rowOff>110169</xdr:rowOff>
    </xdr:to>
    <xdr:graphicFrame macro="">
      <xdr:nvGraphicFramePr>
        <xdr:cNvPr id="17" name="Chart 16">
          <a:extLst>
            <a:ext uri="{FF2B5EF4-FFF2-40B4-BE49-F238E27FC236}">
              <a16:creationId xmlns:a16="http://schemas.microsoft.com/office/drawing/2014/main" id="{62F53E6D-0010-4A1A-84C4-D2BE8E390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330505</xdr:colOff>
      <xdr:row>20</xdr:row>
      <xdr:rowOff>137711</xdr:rowOff>
    </xdr:from>
    <xdr:to>
      <xdr:col>29</xdr:col>
      <xdr:colOff>211156</xdr:colOff>
      <xdr:row>34</xdr:row>
      <xdr:rowOff>110168</xdr:rowOff>
    </xdr:to>
    <xdr:graphicFrame macro="">
      <xdr:nvGraphicFramePr>
        <xdr:cNvPr id="18" name="Chart 17">
          <a:extLst>
            <a:ext uri="{FF2B5EF4-FFF2-40B4-BE49-F238E27FC236}">
              <a16:creationId xmlns:a16="http://schemas.microsoft.com/office/drawing/2014/main" id="{BA083FAD-9DCB-45D0-BC0A-4A03D68D4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146890</xdr:rowOff>
    </xdr:from>
    <xdr:to>
      <xdr:col>2</xdr:col>
      <xdr:colOff>165253</xdr:colOff>
      <xdr:row>18</xdr:row>
      <xdr:rowOff>36723</xdr:rowOff>
    </xdr:to>
    <mc:AlternateContent xmlns:mc="http://schemas.openxmlformats.org/markup-compatibility/2006" xmlns:a14="http://schemas.microsoft.com/office/drawing/2010/main">
      <mc:Choice Requires="a14">
        <xdr:graphicFrame macro="">
          <xdr:nvGraphicFramePr>
            <xdr:cNvPr id="19" name="Product Category 1">
              <a:extLst>
                <a:ext uri="{FF2B5EF4-FFF2-40B4-BE49-F238E27FC236}">
                  <a16:creationId xmlns:a16="http://schemas.microsoft.com/office/drawing/2014/main" id="{66E511C5-B9B9-4C61-9C3A-59380DC2219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1248577"/>
              <a:ext cx="1377108" cy="209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146892</xdr:colOff>
      <xdr:row>6</xdr:row>
      <xdr:rowOff>119349</xdr:rowOff>
    </xdr:from>
    <xdr:to>
      <xdr:col>4</xdr:col>
      <xdr:colOff>321325</xdr:colOff>
      <xdr:row>18</xdr:row>
      <xdr:rowOff>45903</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CE4AF9F3-899E-41D0-AFE4-E0F60452C7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8747" y="1221036"/>
              <a:ext cx="1386289" cy="2129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348866</xdr:colOff>
      <xdr:row>6</xdr:row>
      <xdr:rowOff>128529</xdr:rowOff>
    </xdr:from>
    <xdr:to>
      <xdr:col>6</xdr:col>
      <xdr:colOff>560024</xdr:colOff>
      <xdr:row>18</xdr:row>
      <xdr:rowOff>36723</xdr:rowOff>
    </xdr:to>
    <mc:AlternateContent xmlns:mc="http://schemas.openxmlformats.org/markup-compatibility/2006" xmlns:a14="http://schemas.microsoft.com/office/drawing/2010/main">
      <mc:Choice Requires="a14">
        <xdr:graphicFrame macro="">
          <xdr:nvGraphicFramePr>
            <xdr:cNvPr id="21" name="Customer Segment">
              <a:extLst>
                <a:ext uri="{FF2B5EF4-FFF2-40B4-BE49-F238E27FC236}">
                  <a16:creationId xmlns:a16="http://schemas.microsoft.com/office/drawing/2014/main" id="{A8D7C815-97B8-42E3-8505-8F17F3215B3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772577" y="1230216"/>
              <a:ext cx="1524001" cy="2111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116.87929178241" createdVersion="8" refreshedVersion="8" minRefreshableVersion="3" recordCount="1164" xr:uid="{DC379797-806B-4F48-9156-E6F050F8648F}">
  <cacheSource type="worksheet">
    <worksheetSource name="Table1"/>
  </cacheSource>
  <cacheFields count="22">
    <cacheField name="Order ID" numFmtId="0">
      <sharedItems/>
    </cacheField>
    <cacheField name="Order Date" numFmtId="14">
      <sharedItems containsSemiMixedTypes="0" containsNonDate="0" containsDate="1" containsString="0" minDate="2024-01-01T00:00:00" maxDate="2024-11-25T00:00:00"/>
    </cacheField>
    <cacheField name="MONTH" numFmtId="0">
      <sharedItems count="11">
        <s v="June"/>
        <s v="February"/>
        <s v="October"/>
        <s v="September"/>
        <s v="November"/>
        <s v="July"/>
        <s v="April"/>
        <s v="May"/>
        <s v="March"/>
        <s v="August"/>
        <s v="January"/>
      </sharedItems>
    </cacheField>
    <cacheField name="Ship Date" numFmtId="0">
      <sharedItems/>
    </cacheField>
    <cacheField name="Customer ID" numFmtId="0">
      <sharedItems/>
    </cacheField>
    <cacheField name="Customer Segment" numFmtId="0">
      <sharedItems count="3">
        <s v="Corporate"/>
        <s v="Home Office"/>
        <s v="Consumer"/>
      </sharedItems>
    </cacheField>
    <cacheField name="Region" numFmtId="0">
      <sharedItems count="4">
        <s v="North"/>
        <s v="West"/>
        <s v="South"/>
        <s v="East"/>
      </sharedItems>
    </cacheField>
    <cacheField name="State" numFmtId="0">
      <sharedItems/>
    </cacheField>
    <cacheField name="City" numFmtId="0">
      <sharedItems/>
    </cacheField>
    <cacheField name="Sales Channel" numFmtId="0">
      <sharedItems/>
    </cacheField>
    <cacheField name="Product Category" numFmtId="0">
      <sharedItems count="3">
        <s v="Electronics"/>
        <s v="Home Essentials"/>
        <s v="Fashion"/>
      </sharedItems>
    </cacheField>
    <cacheField name="Product Name" numFmtId="0">
      <sharedItems/>
    </cacheField>
    <cacheField name="Quantity Sold" numFmtId="0">
      <sharedItems containsSemiMixedTypes="0" containsString="0" containsNumber="1" minValue="0.83" maxValue="14.28"/>
    </cacheField>
    <cacheField name="Unit Price" numFmtId="0">
      <sharedItems containsSemiMixedTypes="0" containsString="0" containsNumber="1" minValue="322.49" maxValue="3973.05"/>
    </cacheField>
    <cacheField name="Gross Sales" numFmtId="0">
      <sharedItems containsSemiMixedTypes="0" containsString="0" containsNumber="1" minValue="379.86" maxValue="47806.45"/>
    </cacheField>
    <cacheField name="Discount" numFmtId="0">
      <sharedItems containsSemiMixedTypes="0" containsString="0" containsNumber="1" minValue="0" maxValue="0.17"/>
    </cacheField>
    <cacheField name="Net Sales" numFmtId="0">
      <sharedItems containsSemiMixedTypes="0" containsString="0" containsNumber="1" minValue="302.64" maxValue="42496.6"/>
    </cacheField>
    <cacheField name="Cost" numFmtId="0">
      <sharedItems containsSemiMixedTypes="0" containsString="0" containsNumber="1" minValue="260.63" maxValue="31280.05"/>
    </cacheField>
    <cacheField name="Profit" numFmtId="0">
      <sharedItems containsSemiMixedTypes="0" containsString="0" containsNumber="1" minValue="-1173.1599999999999" maxValue="16715.129999999997"/>
    </cacheField>
    <cacheField name="Payment Mode" numFmtId="0">
      <sharedItems/>
    </cacheField>
    <cacheField name="Salesperson" numFmtId="0">
      <sharedItems/>
    </cacheField>
    <cacheField name="Order Priority" numFmtId="0">
      <sharedItems/>
    </cacheField>
  </cacheFields>
  <extLst>
    <ext xmlns:x14="http://schemas.microsoft.com/office/spreadsheetml/2009/9/main" uri="{725AE2AE-9491-48be-B2B4-4EB974FC3084}">
      <x14:pivotCacheDefinition pivotCacheId="1796629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4">
  <r>
    <s v="ORD00001"/>
    <d v="2024-06-14T00:00:00"/>
    <x v="0"/>
    <s v="2024-06-16"/>
    <s v="CUST2542"/>
    <x v="0"/>
    <x v="0"/>
    <s v="Uttar Pradesh"/>
    <s v="Mumbai"/>
    <s v="Online"/>
    <x v="0"/>
    <s v="Product-28"/>
    <n v="7"/>
    <n v="2417.9"/>
    <n v="16925.3"/>
    <n v="0"/>
    <n v="16925.3"/>
    <n v="13630.26"/>
    <n v="3295.0399999999991"/>
    <s v="Net Banking"/>
    <s v="Amit"/>
    <s v="Low"/>
  </r>
  <r>
    <s v="ORD00002"/>
    <d v="2024-02-16T00:00:00"/>
    <x v="1"/>
    <s v="2024-02-21"/>
    <s v="CUST2013"/>
    <x v="1"/>
    <x v="1"/>
    <s v="Delhi"/>
    <s v="Mumbai"/>
    <s v="Online"/>
    <x v="1"/>
    <s v="Product-9"/>
    <n v="7"/>
    <n v="583.24"/>
    <n v="4082.68"/>
    <n v="0"/>
    <n v="4082.68"/>
    <n v="3416.64"/>
    <n v="666.04"/>
    <s v="Debit Card"/>
    <s v="Pooja"/>
    <s v="Low"/>
  </r>
  <r>
    <s v="ORD00003"/>
    <d v="2024-10-03T00:00:00"/>
    <x v="2"/>
    <s v="2024-10-04"/>
    <s v="CUST4078"/>
    <x v="0"/>
    <x v="0"/>
    <s v="Uttar Pradesh"/>
    <s v="Delhi"/>
    <s v="B2B"/>
    <x v="0"/>
    <s v="Product-40"/>
    <n v="10"/>
    <n v="1356.29"/>
    <n v="13562.9"/>
    <n v="0.05"/>
    <n v="12884.75"/>
    <n v="8062.81"/>
    <n v="4821.9399999999996"/>
    <s v="Credit Card"/>
    <s v="Pooja"/>
    <s v="High"/>
  </r>
  <r>
    <s v="ORD00004"/>
    <d v="2024-09-29T00:00:00"/>
    <x v="3"/>
    <s v="2024-10-03"/>
    <s v="CUST5070"/>
    <x v="2"/>
    <x v="2"/>
    <s v="Delhi"/>
    <s v="Noida"/>
    <s v="Retail Store"/>
    <x v="1"/>
    <s v="Product-32"/>
    <n v="6"/>
    <n v="1843.37"/>
    <n v="11060.22"/>
    <n v="0.15"/>
    <n v="9401.19"/>
    <n v="6490.54"/>
    <n v="2910.6500000000005"/>
    <s v="Debit Card"/>
    <s v="Pooja"/>
    <s v="Medium"/>
  </r>
  <r>
    <s v="ORD00005"/>
    <d v="2024-11-07T00:00:00"/>
    <x v="4"/>
    <s v="2024-11-08"/>
    <s v="CUST3490"/>
    <x v="0"/>
    <x v="1"/>
    <s v="Delhi"/>
    <s v="Delhi"/>
    <s v="B2B"/>
    <x v="1"/>
    <s v="Product-21"/>
    <n v="2"/>
    <n v="1986.99"/>
    <n v="3973.98"/>
    <n v="0.05"/>
    <n v="3775.28"/>
    <n v="2979.77"/>
    <n v="795.51000000000022"/>
    <s v="Debit Card"/>
    <s v="Rohit"/>
    <s v="High"/>
  </r>
  <r>
    <s v="ORD00006"/>
    <d v="2024-09-11T00:00:00"/>
    <x v="3"/>
    <s v="2024-09-16"/>
    <s v="CUST8767"/>
    <x v="1"/>
    <x v="0"/>
    <s v="Delhi"/>
    <s v="Bengaluru"/>
    <s v="B2B"/>
    <x v="1"/>
    <s v="Product-44"/>
    <n v="8"/>
    <n v="613.16999999999996"/>
    <n v="4905.3599999999997"/>
    <n v="0"/>
    <n v="4905.3599999999997"/>
    <n v="4101.72"/>
    <n v="803.63999999999942"/>
    <s v="Net Banking"/>
    <s v="Rohit"/>
    <s v="High"/>
  </r>
  <r>
    <s v="ORD00007"/>
    <d v="2024-07-16T00:00:00"/>
    <x v="5"/>
    <s v="2024-07-22"/>
    <s v="CUST2918"/>
    <x v="0"/>
    <x v="0"/>
    <s v="Maharashtra"/>
    <s v="Bengaluru"/>
    <s v="Online"/>
    <x v="1"/>
    <s v="Product-16"/>
    <n v="6"/>
    <n v="469.95"/>
    <n v="2819.7"/>
    <n v="0.15"/>
    <n v="2396.7399999999998"/>
    <n v="1651.03"/>
    <n v="745.70999999999981"/>
    <s v="Net Banking"/>
    <s v="Pooja"/>
    <s v="Medium"/>
  </r>
  <r>
    <s v="ORD00008"/>
    <d v="2024-02-11T00:00:00"/>
    <x v="1"/>
    <s v="2024-02-13"/>
    <s v="CUST8053"/>
    <x v="1"/>
    <x v="3"/>
    <s v="Tamil Nadu"/>
    <s v="Bengaluru"/>
    <s v="B2B"/>
    <x v="2"/>
    <s v="Product-15"/>
    <n v="8"/>
    <n v="1645.1"/>
    <n v="13160.8"/>
    <n v="0.1"/>
    <n v="11844.72"/>
    <n v="9722.69"/>
    <n v="2122.0299999999988"/>
    <s v="Credit Card"/>
    <s v="Amit"/>
    <s v="Low"/>
  </r>
  <r>
    <s v="ORD00010"/>
    <d v="2024-09-20T00:00:00"/>
    <x v="3"/>
    <s v="2024-09-25"/>
    <s v="CUST7428"/>
    <x v="0"/>
    <x v="1"/>
    <s v="Tamil Nadu"/>
    <s v="Delhi"/>
    <s v="Retail Store"/>
    <x v="1"/>
    <s v="Product-26"/>
    <n v="11"/>
    <n v="2496.2199999999998"/>
    <n v="27458.42"/>
    <n v="0"/>
    <n v="27458.42"/>
    <n v="19609.73"/>
    <n v="7848.6899999999987"/>
    <s v="UPI"/>
    <s v="Neha"/>
    <s v="Low"/>
  </r>
  <r>
    <s v="ORD00011"/>
    <d v="2024-04-16T00:00:00"/>
    <x v="6"/>
    <s v="2024-04-20"/>
    <s v="CUST3478"/>
    <x v="1"/>
    <x v="0"/>
    <s v="Karnataka"/>
    <s v="Noida"/>
    <s v="Online"/>
    <x v="0"/>
    <s v="Product-14"/>
    <n v="3"/>
    <n v="740.78"/>
    <n v="2222.34"/>
    <n v="0"/>
    <n v="2222.34"/>
    <n v="1390.28"/>
    <n v="832.06000000000017"/>
    <s v="Net Banking"/>
    <s v="Neha"/>
    <s v="High"/>
  </r>
  <r>
    <s v="ORD00012"/>
    <d v="2024-05-09T00:00:00"/>
    <x v="7"/>
    <s v="2024-05-12"/>
    <s v="CUST8996"/>
    <x v="0"/>
    <x v="1"/>
    <s v="Tamil Nadu"/>
    <s v="Bengaluru"/>
    <s v="Online"/>
    <x v="0"/>
    <s v="Product-7"/>
    <n v="10"/>
    <n v="1528.91"/>
    <n v="15289.1"/>
    <n v="0"/>
    <n v="15289.1"/>
    <n v="9614.3700000000008"/>
    <n v="5674.73"/>
    <s v="Debit Card"/>
    <s v="Rohit"/>
    <s v="Medium"/>
  </r>
  <r>
    <s v="ORD00013"/>
    <d v="2024-03-23T00:00:00"/>
    <x v="8"/>
    <s v="2024-03-28"/>
    <s v="CUST9899"/>
    <x v="2"/>
    <x v="3"/>
    <s v="Delhi"/>
    <s v="Bengaluru"/>
    <s v="B2B"/>
    <x v="2"/>
    <s v="Product-11"/>
    <n v="1"/>
    <n v="1036.17"/>
    <n v="1036.17"/>
    <n v="0.1"/>
    <n v="932.55"/>
    <n v="593.71"/>
    <n v="338.83999999999992"/>
    <s v="Debit Card"/>
    <s v="Neha"/>
    <s v="High"/>
  </r>
  <r>
    <s v="ORD00014"/>
    <d v="2024-10-04T00:00:00"/>
    <x v="2"/>
    <s v="2024-10-11"/>
    <s v="CUST4197"/>
    <x v="2"/>
    <x v="1"/>
    <s v="Maharashtra"/>
    <s v="Mumbai"/>
    <s v="B2B"/>
    <x v="2"/>
    <s v="Product-23"/>
    <n v="9"/>
    <n v="1421.96"/>
    <n v="12797.64"/>
    <n v="0.05"/>
    <n v="12157.76"/>
    <n v="9158.5300000000007"/>
    <n v="2999.2299999999996"/>
    <s v="UPI"/>
    <s v="Amit"/>
    <s v="Medium"/>
  </r>
  <r>
    <s v="ORD00015"/>
    <d v="2024-08-29T00:00:00"/>
    <x v="9"/>
    <s v="2024-09-01"/>
    <s v="CUST6726"/>
    <x v="0"/>
    <x v="0"/>
    <s v="Maharashtra"/>
    <s v="Delhi"/>
    <s v="Online"/>
    <x v="2"/>
    <s v="Product-13"/>
    <n v="4"/>
    <n v="2546.8200000000002"/>
    <n v="10187.280000000001"/>
    <n v="0.1"/>
    <n v="9168.5499999999993"/>
    <n v="6526.24"/>
    <n v="2642.3099999999995"/>
    <s v="Debit Card"/>
    <s v="Neha"/>
    <s v="Medium"/>
  </r>
  <r>
    <s v="ORD00016"/>
    <d v="2024-11-15T00:00:00"/>
    <x v="4"/>
    <s v="2024-11-20"/>
    <s v="CUST2389"/>
    <x v="1"/>
    <x v="0"/>
    <s v="Tamil Nadu"/>
    <s v="Mumbai"/>
    <s v="Retail Store"/>
    <x v="0"/>
    <s v="Product-28"/>
    <n v="1"/>
    <n v="1886.37"/>
    <n v="1886.37"/>
    <n v="0.1"/>
    <n v="1697.73"/>
    <n v="1358.03"/>
    <n v="339.70000000000005"/>
    <s v="Debit Card"/>
    <s v="Amit"/>
    <s v="High"/>
  </r>
  <r>
    <s v="ORD00017"/>
    <d v="2024-07-21T00:00:00"/>
    <x v="5"/>
    <s v="2024-07-25"/>
    <s v="CUST3785"/>
    <x v="2"/>
    <x v="0"/>
    <s v="Maharashtra"/>
    <s v="Noida"/>
    <s v="Retail Store"/>
    <x v="1"/>
    <s v="Product-10"/>
    <n v="7"/>
    <n v="2704.39"/>
    <n v="18930.73"/>
    <n v="0"/>
    <n v="18930.73"/>
    <n v="14788.68"/>
    <n v="4142.0499999999993"/>
    <s v="Net Banking"/>
    <s v="Rohit"/>
    <s v="Low"/>
  </r>
  <r>
    <s v="ORD00018"/>
    <d v="2024-10-07T00:00:00"/>
    <x v="2"/>
    <s v="2024-10-12"/>
    <s v="CUST3281"/>
    <x v="0"/>
    <x v="2"/>
    <s v="Maharashtra"/>
    <s v="Delhi"/>
    <s v="Retail Store"/>
    <x v="0"/>
    <s v="Product-19"/>
    <n v="3"/>
    <n v="466.33"/>
    <n v="1398.99"/>
    <n v="0"/>
    <n v="1398.99"/>
    <n v="1023.56"/>
    <n v="375.43000000000006"/>
    <s v="Credit Card"/>
    <s v="Karan"/>
    <s v="Medium"/>
  </r>
  <r>
    <s v="ORD00019"/>
    <d v="2024-05-12T00:00:00"/>
    <x v="7"/>
    <s v="2024-05-17"/>
    <s v="CUST6796"/>
    <x v="0"/>
    <x v="1"/>
    <s v="Uttar Pradesh"/>
    <s v="Mumbai"/>
    <s v="B2B"/>
    <x v="0"/>
    <s v="Product-34"/>
    <n v="7"/>
    <n v="2986"/>
    <n v="20902"/>
    <n v="0"/>
    <n v="20902"/>
    <n v="17296.490000000002"/>
    <n v="3605.5099999999984"/>
    <s v="UPI"/>
    <s v="Pooja"/>
    <s v="Low"/>
  </r>
  <r>
    <s v="ORD00020"/>
    <d v="2024-11-07T00:00:00"/>
    <x v="4"/>
    <s v="2024-11-08"/>
    <s v="CUST2971"/>
    <x v="1"/>
    <x v="0"/>
    <s v="Karnataka"/>
    <s v="Noida"/>
    <s v="B2B"/>
    <x v="1"/>
    <s v="Product-31"/>
    <n v="3"/>
    <n v="934.27"/>
    <n v="2802.81"/>
    <n v="0.15"/>
    <n v="2382.39"/>
    <n v="1798.17"/>
    <n v="584.2199999999998"/>
    <s v="UPI"/>
    <s v="Karan"/>
    <s v="Low"/>
  </r>
  <r>
    <s v="ORD00021"/>
    <d v="2024-05-07T00:00:00"/>
    <x v="7"/>
    <s v="2024-05-09"/>
    <s v="CUST1456"/>
    <x v="2"/>
    <x v="1"/>
    <s v="Karnataka"/>
    <s v="Noida"/>
    <s v="B2B"/>
    <x v="1"/>
    <s v="Product-33"/>
    <n v="5"/>
    <n v="530.82000000000005"/>
    <n v="2654.1"/>
    <n v="0"/>
    <n v="2654.1"/>
    <n v="1929.34"/>
    <n v="724.76"/>
    <s v="Credit Card"/>
    <s v="Rohit"/>
    <s v="Medium"/>
  </r>
  <r>
    <s v="ORD00023"/>
    <d v="2024-05-03T00:00:00"/>
    <x v="7"/>
    <s v="2024-05-07"/>
    <s v="CUST3530"/>
    <x v="1"/>
    <x v="3"/>
    <s v="Maharashtra"/>
    <s v="Bengaluru"/>
    <s v="Online"/>
    <x v="2"/>
    <s v="Product-15"/>
    <n v="2"/>
    <n v="1059.3399999999999"/>
    <n v="2118.6799999999998"/>
    <n v="0.1"/>
    <n v="1906.81"/>
    <n v="1517.79"/>
    <n v="389.02"/>
    <s v="UPI"/>
    <s v="Pooja"/>
    <s v="Medium"/>
  </r>
  <r>
    <s v="ORD00024"/>
    <d v="2024-03-24T00:00:00"/>
    <x v="8"/>
    <s v="2024-03-30"/>
    <s v="CUST7616"/>
    <x v="0"/>
    <x v="1"/>
    <s v="Maharashtra"/>
    <s v="Bengaluru"/>
    <s v="Retail Store"/>
    <x v="0"/>
    <s v="Product-47"/>
    <n v="4"/>
    <n v="900.54"/>
    <n v="3602.16"/>
    <n v="0.15"/>
    <n v="3061.84"/>
    <n v="2598.0300000000002"/>
    <n v="463.80999999999995"/>
    <s v="Debit Card"/>
    <s v="Amit"/>
    <s v="Medium"/>
  </r>
  <r>
    <s v="ORD00025"/>
    <d v="2024-10-10T00:00:00"/>
    <x v="2"/>
    <s v="2024-10-14"/>
    <s v="CUST5840"/>
    <x v="1"/>
    <x v="0"/>
    <s v="Delhi"/>
    <s v="Mumbai"/>
    <s v="Online"/>
    <x v="0"/>
    <s v="Product-17"/>
    <n v="8"/>
    <n v="2579.77"/>
    <n v="20638.16"/>
    <n v="0.15"/>
    <n v="17542.439999999999"/>
    <n v="11979.28"/>
    <n v="5563.159999999998"/>
    <s v="Debit Card"/>
    <s v="Amit"/>
    <s v="Low"/>
  </r>
  <r>
    <s v="ORD00026"/>
    <d v="2024-05-18T00:00:00"/>
    <x v="7"/>
    <s v="2024-05-25"/>
    <s v="CUST9791"/>
    <x v="1"/>
    <x v="1"/>
    <s v="Karnataka"/>
    <s v="Delhi"/>
    <s v="Retail Store"/>
    <x v="0"/>
    <s v="Product-45"/>
    <n v="3"/>
    <n v="2941.31"/>
    <n v="8823.93"/>
    <n v="0.1"/>
    <n v="7941.54"/>
    <n v="5570.89"/>
    <n v="2370.6499999999996"/>
    <s v="Credit Card"/>
    <s v="Pooja"/>
    <s v="Low"/>
  </r>
  <r>
    <s v="ORD00027"/>
    <d v="2024-05-17T00:00:00"/>
    <x v="7"/>
    <s v="2024-05-18"/>
    <s v="CUST4643"/>
    <x v="2"/>
    <x v="3"/>
    <s v="Delhi"/>
    <s v="Chennai"/>
    <s v="Online"/>
    <x v="2"/>
    <s v="Product-36"/>
    <n v="11"/>
    <n v="674.55"/>
    <n v="7420.05"/>
    <n v="0.1"/>
    <n v="6678.05"/>
    <n v="4146.6400000000003"/>
    <n v="2531.41"/>
    <s v="Net Banking"/>
    <s v="Rohit"/>
    <s v="High"/>
  </r>
  <r>
    <s v="ORD00028"/>
    <d v="2024-03-07T00:00:00"/>
    <x v="8"/>
    <s v="2024-03-08"/>
    <s v="CUST5290"/>
    <x v="2"/>
    <x v="2"/>
    <s v="Maharashtra"/>
    <s v="Bengaluru"/>
    <s v="B2B"/>
    <x v="2"/>
    <s v="Product-34"/>
    <n v="9"/>
    <n v="2599.56"/>
    <n v="23396.04"/>
    <n v="0"/>
    <n v="23396.04"/>
    <n v="19706.560000000001"/>
    <n v="3689.4799999999996"/>
    <s v="Credit Card"/>
    <s v="Rohit"/>
    <s v="Medium"/>
  </r>
  <r>
    <s v="ORD00030"/>
    <d v="2024-08-09T00:00:00"/>
    <x v="9"/>
    <s v="2024-08-15"/>
    <s v="CUST6042"/>
    <x v="1"/>
    <x v="2"/>
    <s v="Maharashtra"/>
    <s v="Bengaluru"/>
    <s v="Online"/>
    <x v="1"/>
    <s v="Product-47"/>
    <n v="8"/>
    <n v="2092.31"/>
    <n v="16738.48"/>
    <n v="0.15"/>
    <n v="14227.71"/>
    <n v="11987.96"/>
    <n v="2239.75"/>
    <s v="Credit Card"/>
    <s v="Pooja"/>
    <s v="Medium"/>
  </r>
  <r>
    <s v="ORD00031"/>
    <d v="2024-01-28T00:00:00"/>
    <x v="10"/>
    <s v="2024-02-04"/>
    <s v="CUST1907"/>
    <x v="2"/>
    <x v="1"/>
    <s v="Uttar Pradesh"/>
    <s v="Bengaluru"/>
    <s v="B2B"/>
    <x v="0"/>
    <s v="Product-45"/>
    <n v="3"/>
    <n v="444.19"/>
    <n v="1332.57"/>
    <n v="0.1"/>
    <n v="1199.31"/>
    <n v="848.73"/>
    <n v="350.57999999999993"/>
    <s v="Debit Card"/>
    <s v="Amit"/>
    <s v="Medium"/>
  </r>
  <r>
    <s v="ORD00032"/>
    <d v="2024-04-04T00:00:00"/>
    <x v="6"/>
    <s v="2024-04-06"/>
    <s v="CUST6389"/>
    <x v="1"/>
    <x v="3"/>
    <s v="Maharashtra"/>
    <s v="Delhi"/>
    <s v="Retail Store"/>
    <x v="0"/>
    <s v="Product-23"/>
    <n v="5"/>
    <n v="1782.06"/>
    <n v="8910.2999999999993"/>
    <n v="0.1"/>
    <n v="8019.27"/>
    <n v="5541.6"/>
    <n v="2477.67"/>
    <s v="Credit Card"/>
    <s v="Amit"/>
    <s v="Medium"/>
  </r>
  <r>
    <s v="ORD00033"/>
    <d v="2024-07-14T00:00:00"/>
    <x v="5"/>
    <s v="2024-07-15"/>
    <s v="CUST1081"/>
    <x v="2"/>
    <x v="3"/>
    <s v="Delhi"/>
    <s v="Mumbai"/>
    <s v="Retail Store"/>
    <x v="1"/>
    <s v="Product-3"/>
    <n v="8"/>
    <n v="1264.68"/>
    <n v="10117.44"/>
    <n v="0.05"/>
    <n v="9611.57"/>
    <n v="6363.29"/>
    <n v="3248.2799999999997"/>
    <s v="Net Banking"/>
    <s v="Amit"/>
    <s v="Medium"/>
  </r>
  <r>
    <s v="ORD00034"/>
    <d v="2024-06-04T00:00:00"/>
    <x v="0"/>
    <s v="2024-06-10"/>
    <s v="CUST7381"/>
    <x v="0"/>
    <x v="1"/>
    <s v="Maharashtra"/>
    <s v="Bengaluru"/>
    <s v="B2B"/>
    <x v="1"/>
    <s v="Product-42"/>
    <n v="4"/>
    <n v="661.9"/>
    <n v="2647.6"/>
    <n v="0.05"/>
    <n v="2515.2199999999998"/>
    <n v="1922.6"/>
    <n v="592.61999999999989"/>
    <s v="Credit Card"/>
    <s v="Amit"/>
    <s v="High"/>
  </r>
  <r>
    <s v="ORD00035"/>
    <d v="2024-09-19T00:00:00"/>
    <x v="3"/>
    <s v="2024-09-25"/>
    <s v="CUST9263"/>
    <x v="1"/>
    <x v="0"/>
    <s v="Uttar Pradesh"/>
    <s v="Mumbai"/>
    <s v="Online"/>
    <x v="0"/>
    <s v="Product-3"/>
    <n v="7"/>
    <n v="2674.94"/>
    <n v="18724.580000000002"/>
    <n v="0.05"/>
    <n v="17788.349999999999"/>
    <n v="14719.36"/>
    <n v="3068.989999999998"/>
    <s v="Credit Card"/>
    <s v="Rohit"/>
    <s v="Low"/>
  </r>
  <r>
    <s v="ORD00036"/>
    <d v="2024-07-11T00:00:00"/>
    <x v="5"/>
    <s v="2024-07-18"/>
    <s v="CUST5006"/>
    <x v="0"/>
    <x v="3"/>
    <s v="Delhi"/>
    <s v="Chennai"/>
    <s v="Online"/>
    <x v="1"/>
    <s v="Product-33"/>
    <n v="8"/>
    <n v="2131.4299999999998"/>
    <n v="17051.439999999999"/>
    <n v="0"/>
    <n v="17051.439999999999"/>
    <n v="12900.38"/>
    <n v="4151.0599999999995"/>
    <s v="UPI"/>
    <s v="Karan"/>
    <s v="Low"/>
  </r>
  <r>
    <s v="ORD00037"/>
    <d v="2024-08-30T00:00:00"/>
    <x v="9"/>
    <s v="2024-09-02"/>
    <s v="CUST4362"/>
    <x v="2"/>
    <x v="1"/>
    <s v="Tamil Nadu"/>
    <s v="Chennai"/>
    <s v="Online"/>
    <x v="2"/>
    <s v="Product-44"/>
    <n v="2"/>
    <n v="3023.01"/>
    <n v="6046.02"/>
    <n v="0.05"/>
    <n v="5743.72"/>
    <n v="4493.51"/>
    <n v="1250.21"/>
    <s v="Debit Card"/>
    <s v="Amit"/>
    <s v="High"/>
  </r>
  <r>
    <s v="ORD00038"/>
    <d v="2024-11-19T00:00:00"/>
    <x v="4"/>
    <s v="2024-11-25"/>
    <s v="CUST5987"/>
    <x v="1"/>
    <x v="2"/>
    <s v="Delhi"/>
    <s v="Chennai"/>
    <s v="Online"/>
    <x v="2"/>
    <s v="Product-18"/>
    <n v="4"/>
    <n v="640.16"/>
    <n v="2560.64"/>
    <n v="0.05"/>
    <n v="2432.61"/>
    <n v="1661.33"/>
    <n v="771.2800000000002"/>
    <s v="UPI"/>
    <s v="Neha"/>
    <s v="High"/>
  </r>
  <r>
    <s v="ORD00039"/>
    <d v="2024-09-07T00:00:00"/>
    <x v="3"/>
    <s v="2024-09-10"/>
    <s v="CUST2941"/>
    <x v="1"/>
    <x v="2"/>
    <s v="Karnataka"/>
    <s v="Delhi"/>
    <s v="Retail Store"/>
    <x v="0"/>
    <s v="Product-19"/>
    <n v="12"/>
    <n v="2001.26"/>
    <n v="24015.119999999999"/>
    <n v="0.15"/>
    <n v="20412.849999999999"/>
    <n v="14625.28"/>
    <n v="5787.5699999999979"/>
    <s v="Net Banking"/>
    <s v="Amit"/>
    <s v="High"/>
  </r>
  <r>
    <s v="ORD00040"/>
    <d v="2024-08-18T00:00:00"/>
    <x v="9"/>
    <s v="2024-08-21"/>
    <s v="CUST2479"/>
    <x v="2"/>
    <x v="3"/>
    <s v="Karnataka"/>
    <s v="Mumbai"/>
    <s v="B2B"/>
    <x v="1"/>
    <s v="Product-33"/>
    <n v="7"/>
    <n v="1050.5"/>
    <n v="7353.5"/>
    <n v="0.05"/>
    <n v="6985.82"/>
    <n v="4321.8"/>
    <n v="2664.0199999999995"/>
    <s v="Debit Card"/>
    <s v="Amit"/>
    <s v="High"/>
  </r>
  <r>
    <s v="ORD00041"/>
    <d v="2024-07-05T00:00:00"/>
    <x v="5"/>
    <s v="2024-07-07"/>
    <s v="CUST3606"/>
    <x v="2"/>
    <x v="1"/>
    <s v="Tamil Nadu"/>
    <s v="Chennai"/>
    <s v="Retail Store"/>
    <x v="1"/>
    <s v="Product-10"/>
    <n v="8"/>
    <n v="3182.89"/>
    <n v="25463.119999999999"/>
    <n v="0.15"/>
    <n v="21643.65"/>
    <n v="15118.53"/>
    <n v="6525.1200000000008"/>
    <s v="Net Banking"/>
    <s v="Rohit"/>
    <s v="Medium"/>
  </r>
  <r>
    <s v="ORD00042"/>
    <d v="2024-06-10T00:00:00"/>
    <x v="0"/>
    <s v="2024-06-11"/>
    <s v="CUST2966"/>
    <x v="2"/>
    <x v="0"/>
    <s v="Karnataka"/>
    <s v="Bengaluru"/>
    <s v="Retail Store"/>
    <x v="0"/>
    <s v="Product-26"/>
    <n v="6"/>
    <n v="405.4"/>
    <n v="2432.4"/>
    <n v="0.1"/>
    <n v="2189.16"/>
    <n v="1772.73"/>
    <n v="416.42999999999984"/>
    <s v="Net Banking"/>
    <s v="Karan"/>
    <s v="Low"/>
  </r>
  <r>
    <s v="ORD00043"/>
    <d v="2024-07-03T00:00:00"/>
    <x v="5"/>
    <s v="2024-07-07"/>
    <s v="CUST5679"/>
    <x v="1"/>
    <x v="2"/>
    <s v="Maharashtra"/>
    <s v="Bengaluru"/>
    <s v="Retail Store"/>
    <x v="1"/>
    <s v="Product-21"/>
    <n v="5"/>
    <n v="3048.19"/>
    <n v="15240.95"/>
    <n v="0.1"/>
    <n v="13716.86"/>
    <n v="8578.9"/>
    <n v="5137.9600000000009"/>
    <s v="Credit Card"/>
    <s v="Rohit"/>
    <s v="Medium"/>
  </r>
  <r>
    <s v="ORD00044"/>
    <d v="2024-01-15T00:00:00"/>
    <x v="10"/>
    <s v="2024-01-22"/>
    <s v="CUST1810"/>
    <x v="1"/>
    <x v="1"/>
    <s v="Tamil Nadu"/>
    <s v="Noida"/>
    <s v="Online"/>
    <x v="1"/>
    <s v="Product-19"/>
    <n v="11"/>
    <n v="1640.13"/>
    <n v="18041.43"/>
    <n v="0.05"/>
    <n v="17139.36"/>
    <n v="13366.87"/>
    <n v="3772.49"/>
    <s v="Net Banking"/>
    <s v="Amit"/>
    <s v="High"/>
  </r>
  <r>
    <s v="ORD00045"/>
    <d v="2024-03-06T00:00:00"/>
    <x v="8"/>
    <s v="2024-03-08"/>
    <s v="CUST5262"/>
    <x v="0"/>
    <x v="2"/>
    <s v="Karnataka"/>
    <s v="Chennai"/>
    <s v="B2B"/>
    <x v="1"/>
    <s v="Product-26"/>
    <n v="8"/>
    <n v="1686.09"/>
    <n v="13488.72"/>
    <n v="0.1"/>
    <n v="12139.85"/>
    <n v="8187.64"/>
    <n v="3952.21"/>
    <s v="UPI"/>
    <s v="Neha"/>
    <s v="High"/>
  </r>
  <r>
    <s v="ORD00046"/>
    <d v="2024-03-23T00:00:00"/>
    <x v="8"/>
    <s v="2024-03-24"/>
    <s v="CUST8421"/>
    <x v="0"/>
    <x v="1"/>
    <s v="Tamil Nadu"/>
    <s v="Mumbai"/>
    <s v="B2B"/>
    <x v="0"/>
    <s v="Product-16"/>
    <n v="4"/>
    <n v="1951.87"/>
    <n v="7807.48"/>
    <n v="0.15"/>
    <n v="6636.36"/>
    <n v="4894.96"/>
    <n v="1741.3999999999996"/>
    <s v="UPI"/>
    <s v="Neha"/>
    <s v="Medium"/>
  </r>
  <r>
    <s v="ORD00047"/>
    <d v="2024-10-11T00:00:00"/>
    <x v="2"/>
    <s v="2024-10-12"/>
    <s v="CUST4311"/>
    <x v="2"/>
    <x v="1"/>
    <s v="Tamil Nadu"/>
    <s v="Chennai"/>
    <s v="B2B"/>
    <x v="1"/>
    <s v="Product-14"/>
    <n v="6"/>
    <n v="1141.29"/>
    <n v="6847.74"/>
    <n v="0.1"/>
    <n v="6162.97"/>
    <n v="4944.79"/>
    <n v="1218.1800000000003"/>
    <s v="Net Banking"/>
    <s v="Rohit"/>
    <s v="Medium"/>
  </r>
  <r>
    <s v="ORD00048"/>
    <d v="2024-02-01T00:00:00"/>
    <x v="1"/>
    <s v="2024-02-05"/>
    <s v="CUST9247"/>
    <x v="1"/>
    <x v="2"/>
    <s v="Delhi"/>
    <s v="Bengaluru"/>
    <s v="Online"/>
    <x v="2"/>
    <s v="Product-26"/>
    <n v="5"/>
    <n v="2180.27"/>
    <n v="10901.35"/>
    <n v="0.1"/>
    <n v="9811.2199999999993"/>
    <n v="6195.48"/>
    <n v="3615.74"/>
    <s v="Net Banking"/>
    <s v="Pooja"/>
    <s v="Medium"/>
  </r>
  <r>
    <s v="ORD00049"/>
    <d v="2024-01-12T00:00:00"/>
    <x v="10"/>
    <s v="2024-01-14"/>
    <s v="CUST9025"/>
    <x v="2"/>
    <x v="0"/>
    <s v="Tamil Nadu"/>
    <s v="Noida"/>
    <s v="Retail Store"/>
    <x v="2"/>
    <s v="Product-16"/>
    <n v="1"/>
    <n v="1718.12"/>
    <n v="1718.12"/>
    <n v="0.15"/>
    <n v="1460.4"/>
    <n v="1229.76"/>
    <n v="230.6400000000001"/>
    <s v="UPI"/>
    <s v="Neha"/>
    <s v="Low"/>
  </r>
  <r>
    <s v="ORD00050"/>
    <d v="2024-03-18T00:00:00"/>
    <x v="8"/>
    <s v="2024-03-23"/>
    <s v="CUST1647"/>
    <x v="2"/>
    <x v="2"/>
    <s v="Maharashtra"/>
    <s v="Noida"/>
    <s v="Online"/>
    <x v="1"/>
    <s v="Product-46"/>
    <n v="11"/>
    <n v="737.56"/>
    <n v="8113.16"/>
    <n v="0.15"/>
    <n v="6896.19"/>
    <n v="4284.26"/>
    <n v="2611.9299999999994"/>
    <s v="Debit Card"/>
    <s v="Neha"/>
    <s v="High"/>
  </r>
  <r>
    <s v="ORD00051"/>
    <d v="2024-05-08T00:00:00"/>
    <x v="7"/>
    <s v="2024-05-13"/>
    <s v="CUST5920"/>
    <x v="1"/>
    <x v="2"/>
    <s v="Tamil Nadu"/>
    <s v="Bengaluru"/>
    <s v="Online"/>
    <x v="1"/>
    <s v="Product-1"/>
    <n v="11"/>
    <n v="1756.03"/>
    <n v="19316.330000000002"/>
    <n v="0"/>
    <n v="19316.330000000002"/>
    <n v="12070.03"/>
    <n v="7246.3000000000011"/>
    <s v="UPI"/>
    <s v="Karan"/>
    <s v="Medium"/>
  </r>
  <r>
    <s v="ORD00052"/>
    <d v="2024-08-23T00:00:00"/>
    <x v="9"/>
    <s v="2024-08-26"/>
    <s v="CUST4846"/>
    <x v="1"/>
    <x v="2"/>
    <s v="Delhi"/>
    <s v="Chennai"/>
    <s v="B2B"/>
    <x v="1"/>
    <s v="Product-20"/>
    <n v="6"/>
    <n v="2398.1799999999998"/>
    <n v="14389.08"/>
    <n v="0.05"/>
    <n v="13669.63"/>
    <n v="9826.09"/>
    <n v="3843.5399999999991"/>
    <s v="UPI"/>
    <s v="Amit"/>
    <s v="Low"/>
  </r>
  <r>
    <s v="ORD00053"/>
    <d v="2024-09-12T00:00:00"/>
    <x v="3"/>
    <s v="2024-09-18"/>
    <s v="CUST7952"/>
    <x v="0"/>
    <x v="2"/>
    <s v="Tamil Nadu"/>
    <s v="Delhi"/>
    <s v="B2B"/>
    <x v="2"/>
    <s v="Product-46"/>
    <n v="11"/>
    <n v="1702.05"/>
    <n v="18722.55"/>
    <n v="0.1"/>
    <n v="16850.29"/>
    <n v="11069.97"/>
    <n v="5780.3200000000015"/>
    <s v="Net Banking"/>
    <s v="Rohit"/>
    <s v="High"/>
  </r>
  <r>
    <s v="ORD00054"/>
    <d v="2024-07-21T00:00:00"/>
    <x v="5"/>
    <s v="2024-07-23"/>
    <s v="CUST4283"/>
    <x v="0"/>
    <x v="2"/>
    <s v="Maharashtra"/>
    <s v="Chennai"/>
    <s v="Online"/>
    <x v="2"/>
    <s v="Product-49"/>
    <n v="1"/>
    <n v="2870.9"/>
    <n v="2870.9"/>
    <n v="0"/>
    <n v="2870.9"/>
    <n v="1869.83"/>
    <n v="1001.0700000000002"/>
    <s v="Debit Card"/>
    <s v="Amit"/>
    <s v="High"/>
  </r>
  <r>
    <s v="ORD00055"/>
    <d v="2024-09-10T00:00:00"/>
    <x v="3"/>
    <s v="2024-09-15"/>
    <s v="CUST1924"/>
    <x v="1"/>
    <x v="2"/>
    <s v="Tamil Nadu"/>
    <s v="Delhi"/>
    <s v="Online"/>
    <x v="0"/>
    <s v="Product-39"/>
    <n v="3"/>
    <n v="3179.08"/>
    <n v="9537.24"/>
    <n v="0.15"/>
    <n v="8106.65"/>
    <n v="5709.17"/>
    <n v="2397.4799999999996"/>
    <s v="Credit Card"/>
    <s v="Pooja"/>
    <s v="Low"/>
  </r>
  <r>
    <s v="ORD00056"/>
    <d v="2024-01-31T00:00:00"/>
    <x v="10"/>
    <s v="2024-02-02"/>
    <s v="CUST2300"/>
    <x v="2"/>
    <x v="3"/>
    <s v="Maharashtra"/>
    <s v="Mumbai"/>
    <s v="B2B"/>
    <x v="1"/>
    <s v="Product-48"/>
    <n v="7"/>
    <n v="1793.89"/>
    <n v="12557.23"/>
    <n v="0.1"/>
    <n v="11301.51"/>
    <n v="8851.1299999999992"/>
    <n v="2450.380000000001"/>
    <s v="Net Banking"/>
    <s v="Amit"/>
    <s v="Medium"/>
  </r>
  <r>
    <s v="ORD00057"/>
    <d v="2024-07-12T00:00:00"/>
    <x v="5"/>
    <s v="2024-07-19"/>
    <s v="CUST1047"/>
    <x v="2"/>
    <x v="3"/>
    <s v="Delhi"/>
    <s v="Bengaluru"/>
    <s v="Retail Store"/>
    <x v="0"/>
    <s v="Product-36"/>
    <n v="6"/>
    <n v="3453.45"/>
    <n v="20720.7"/>
    <n v="0.15"/>
    <n v="17612.599999999999"/>
    <n v="11312.84"/>
    <n v="6299.7599999999984"/>
    <s v="Credit Card"/>
    <s v="Pooja"/>
    <s v="Medium"/>
  </r>
  <r>
    <s v="ORD00058"/>
    <d v="2024-06-07T00:00:00"/>
    <x v="0"/>
    <s v="2024-06-14"/>
    <s v="CUST9872"/>
    <x v="0"/>
    <x v="2"/>
    <s v="Karnataka"/>
    <s v="Bengaluru"/>
    <s v="B2B"/>
    <x v="2"/>
    <s v="Product-2"/>
    <n v="7"/>
    <n v="672.06"/>
    <n v="4704.42"/>
    <n v="0.15"/>
    <n v="3998.76"/>
    <n v="2594.91"/>
    <n v="1403.8500000000004"/>
    <s v="Net Banking"/>
    <s v="Neha"/>
    <s v="High"/>
  </r>
  <r>
    <s v="ORD00059"/>
    <d v="2024-07-26T00:00:00"/>
    <x v="5"/>
    <s v="2024-07-27"/>
    <s v="CUST2015"/>
    <x v="0"/>
    <x v="2"/>
    <s v="Delhi"/>
    <s v="Noida"/>
    <s v="Retail Store"/>
    <x v="2"/>
    <s v="Product-18"/>
    <n v="7"/>
    <n v="508.05"/>
    <n v="3556.35"/>
    <n v="0"/>
    <n v="3556.35"/>
    <n v="2848.05"/>
    <n v="708.29999999999973"/>
    <s v="Debit Card"/>
    <s v="Karan"/>
    <s v="Low"/>
  </r>
  <r>
    <s v="ORD00060"/>
    <d v="2024-05-14T00:00:00"/>
    <x v="7"/>
    <s v="2024-05-20"/>
    <s v="CUST2070"/>
    <x v="2"/>
    <x v="2"/>
    <s v="Delhi"/>
    <s v="Chennai"/>
    <s v="B2B"/>
    <x v="2"/>
    <s v="Product-50"/>
    <n v="12"/>
    <n v="2537.69"/>
    <n v="30452.28"/>
    <n v="0.1"/>
    <n v="27407.05"/>
    <n v="18481.98"/>
    <n v="8925.07"/>
    <s v="Net Banking"/>
    <s v="Rohit"/>
    <s v="Medium"/>
  </r>
  <r>
    <s v="ORD00061"/>
    <d v="2024-09-09T00:00:00"/>
    <x v="3"/>
    <s v="2024-09-11"/>
    <s v="CUST3479"/>
    <x v="1"/>
    <x v="2"/>
    <s v="Karnataka"/>
    <s v="Bengaluru"/>
    <s v="Retail Store"/>
    <x v="2"/>
    <s v="Product-39"/>
    <n v="8"/>
    <n v="967.11"/>
    <n v="7736.88"/>
    <n v="0.1"/>
    <n v="6963.19"/>
    <n v="5610.16"/>
    <n v="1353.0299999999997"/>
    <s v="UPI"/>
    <s v="Karan"/>
    <s v="Low"/>
  </r>
  <r>
    <s v="ORD00062"/>
    <d v="2024-07-19T00:00:00"/>
    <x v="5"/>
    <s v="2024-07-26"/>
    <s v="CUST8892"/>
    <x v="1"/>
    <x v="3"/>
    <s v="Maharashtra"/>
    <s v="Chennai"/>
    <s v="Online"/>
    <x v="0"/>
    <s v="Product-17"/>
    <n v="3"/>
    <n v="1166.6500000000001"/>
    <n v="3499.95"/>
    <n v="0"/>
    <n v="3499.95"/>
    <n v="2668.31"/>
    <n v="831.63999999999987"/>
    <s v="UPI"/>
    <s v="Neha"/>
    <s v="Low"/>
  </r>
  <r>
    <s v="ORD00063"/>
    <d v="2024-08-03T00:00:00"/>
    <x v="9"/>
    <s v="2024-08-07"/>
    <s v="CUST7829"/>
    <x v="0"/>
    <x v="2"/>
    <s v="Uttar Pradesh"/>
    <s v="Delhi"/>
    <s v="Retail Store"/>
    <x v="2"/>
    <s v="Product-18"/>
    <n v="12"/>
    <n v="3413.56"/>
    <n v="40962.720000000001"/>
    <n v="0.05"/>
    <n v="38914.58"/>
    <n v="25627.16"/>
    <n v="13287.420000000002"/>
    <s v="Debit Card"/>
    <s v="Rohit"/>
    <s v="Medium"/>
  </r>
  <r>
    <s v="ORD00064"/>
    <d v="2024-05-13T00:00:00"/>
    <x v="7"/>
    <s v="2024-05-15"/>
    <s v="CUST5609"/>
    <x v="1"/>
    <x v="2"/>
    <s v="Karnataka"/>
    <s v="Delhi"/>
    <s v="Retail Store"/>
    <x v="2"/>
    <s v="Product-16"/>
    <n v="8"/>
    <n v="1167.03"/>
    <n v="9336.24"/>
    <n v="0.05"/>
    <n v="8869.43"/>
    <n v="5843.85"/>
    <n v="3025.58"/>
    <s v="Credit Card"/>
    <s v="Amit"/>
    <s v="High"/>
  </r>
  <r>
    <s v="ORD00065"/>
    <d v="2024-08-25T00:00:00"/>
    <x v="9"/>
    <s v="2024-08-26"/>
    <s v="CUST7125"/>
    <x v="2"/>
    <x v="3"/>
    <s v="Maharashtra"/>
    <s v="Delhi"/>
    <s v="Online"/>
    <x v="0"/>
    <s v="Product-39"/>
    <n v="2"/>
    <n v="413.93"/>
    <n v="827.86"/>
    <n v="0.05"/>
    <n v="786.47"/>
    <n v="637.15"/>
    <n v="149.32000000000005"/>
    <s v="Credit Card"/>
    <s v="Amit"/>
    <s v="Medium"/>
  </r>
  <r>
    <s v="ORD00066"/>
    <d v="2024-09-19T00:00:00"/>
    <x v="3"/>
    <s v="2024-09-26"/>
    <s v="CUST1103"/>
    <x v="2"/>
    <x v="3"/>
    <s v="Maharashtra"/>
    <s v="Delhi"/>
    <s v="Retail Store"/>
    <x v="2"/>
    <s v="Product-10"/>
    <n v="3"/>
    <n v="1792.25"/>
    <n v="5376.75"/>
    <n v="0.1"/>
    <n v="4839.07"/>
    <n v="3841.01"/>
    <n v="998.05999999999949"/>
    <s v="UPI"/>
    <s v="Neha"/>
    <s v="Medium"/>
  </r>
  <r>
    <s v="ORD00067"/>
    <d v="2024-01-20T00:00:00"/>
    <x v="10"/>
    <s v="2024-01-25"/>
    <s v="CUST6361"/>
    <x v="0"/>
    <x v="3"/>
    <s v="Maharashtra"/>
    <s v="Noida"/>
    <s v="Retail Store"/>
    <x v="0"/>
    <s v="Product-14"/>
    <n v="12"/>
    <n v="2420.09"/>
    <n v="29041.08"/>
    <n v="0.05"/>
    <n v="27589.03"/>
    <n v="22172.92"/>
    <n v="5416.1100000000006"/>
    <s v="UPI"/>
    <s v="Pooja"/>
    <s v="High"/>
  </r>
  <r>
    <s v="ORD00068"/>
    <d v="2024-09-04T00:00:00"/>
    <x v="3"/>
    <s v="2024-09-05"/>
    <s v="CUST3532"/>
    <x v="1"/>
    <x v="0"/>
    <s v="Maharashtra"/>
    <s v="Chennai"/>
    <s v="B2B"/>
    <x v="2"/>
    <s v="Product-27"/>
    <n v="7"/>
    <n v="714.3"/>
    <n v="5000.1000000000004"/>
    <n v="0.15"/>
    <n v="4250.09"/>
    <n v="3255.6"/>
    <n v="994.49000000000024"/>
    <s v="Debit Card"/>
    <s v="Rohit"/>
    <s v="Medium"/>
  </r>
  <r>
    <s v="ORD00069"/>
    <d v="2024-01-27T00:00:00"/>
    <x v="10"/>
    <s v="2024-01-30"/>
    <s v="CUST1298"/>
    <x v="0"/>
    <x v="2"/>
    <s v="Tamil Nadu"/>
    <s v="Chennai"/>
    <s v="Online"/>
    <x v="0"/>
    <s v="Product-28"/>
    <n v="12"/>
    <n v="2156.21"/>
    <n v="25874.52"/>
    <n v="0.1"/>
    <n v="23287.07"/>
    <n v="16382.92"/>
    <n v="6904.15"/>
    <s v="Credit Card"/>
    <s v="Pooja"/>
    <s v="Low"/>
  </r>
  <r>
    <s v="ORD00070"/>
    <d v="2024-02-16T00:00:00"/>
    <x v="1"/>
    <s v="2024-02-20"/>
    <s v="CUST3129"/>
    <x v="2"/>
    <x v="0"/>
    <s v="Uttar Pradesh"/>
    <s v="Mumbai"/>
    <s v="B2B"/>
    <x v="2"/>
    <s v="Product-6"/>
    <n v="10"/>
    <n v="3136.8"/>
    <n v="31368"/>
    <n v="0.15"/>
    <n v="26662.799999999999"/>
    <n v="21150.63"/>
    <n v="5512.1699999999983"/>
    <s v="Debit Card"/>
    <s v="Karan"/>
    <s v="Low"/>
  </r>
  <r>
    <s v="ORD00071"/>
    <d v="2024-03-15T00:00:00"/>
    <x v="8"/>
    <s v="2024-03-18"/>
    <s v="CUST2782"/>
    <x v="0"/>
    <x v="1"/>
    <s v="Maharashtra"/>
    <s v="Bengaluru"/>
    <s v="Online"/>
    <x v="0"/>
    <s v="Product-31"/>
    <n v="5"/>
    <n v="901.63"/>
    <n v="4508.1499999999996"/>
    <n v="0.05"/>
    <n v="4282.74"/>
    <n v="3560.56"/>
    <n v="722.17999999999984"/>
    <s v="Debit Card"/>
    <s v="Amit"/>
    <s v="High"/>
  </r>
  <r>
    <s v="ORD00072"/>
    <d v="2024-11-21T00:00:00"/>
    <x v="4"/>
    <s v="2024-11-25"/>
    <s v="CUST4638"/>
    <x v="1"/>
    <x v="1"/>
    <s v="Uttar Pradesh"/>
    <s v="Mumbai"/>
    <s v="Retail Store"/>
    <x v="0"/>
    <s v="Product-37"/>
    <n v="2"/>
    <n v="3203.08"/>
    <n v="6406.16"/>
    <n v="0.05"/>
    <n v="6085.85"/>
    <n v="4625.74"/>
    <n v="1460.1100000000006"/>
    <s v="Credit Card"/>
    <s v="Amit"/>
    <s v="Medium"/>
  </r>
  <r>
    <s v="ORD00073"/>
    <d v="2024-09-22T00:00:00"/>
    <x v="3"/>
    <s v="2024-09-24"/>
    <s v="CUST4155"/>
    <x v="2"/>
    <x v="0"/>
    <s v="Karnataka"/>
    <s v="Delhi"/>
    <s v="Retail Store"/>
    <x v="1"/>
    <s v="Product-30"/>
    <n v="7"/>
    <n v="1513.54"/>
    <n v="10594.78"/>
    <n v="0.05"/>
    <n v="10065.040000000001"/>
    <n v="6660.69"/>
    <n v="3404.3500000000013"/>
    <s v="Debit Card"/>
    <s v="Pooja"/>
    <s v="Medium"/>
  </r>
  <r>
    <s v="ORD00074"/>
    <d v="2024-10-25T00:00:00"/>
    <x v="2"/>
    <s v="2024-10-27"/>
    <s v="CUST8181"/>
    <x v="2"/>
    <x v="0"/>
    <s v="Delhi"/>
    <s v="Noida"/>
    <s v="Retail Store"/>
    <x v="2"/>
    <s v="Product-16"/>
    <n v="7"/>
    <n v="1606.56"/>
    <n v="11245.92"/>
    <n v="0.1"/>
    <n v="10121.33"/>
    <n v="7203.32"/>
    <n v="2918.01"/>
    <s v="Net Banking"/>
    <s v="Karan"/>
    <s v="Medium"/>
  </r>
  <r>
    <s v="ORD00075"/>
    <d v="2024-04-01T00:00:00"/>
    <x v="6"/>
    <s v="2024-04-08"/>
    <s v="CUST8054"/>
    <x v="0"/>
    <x v="0"/>
    <s v="Tamil Nadu"/>
    <s v="Noida"/>
    <s v="B2B"/>
    <x v="1"/>
    <s v="Product-3"/>
    <n v="8"/>
    <n v="1641.06"/>
    <n v="13128.48"/>
    <n v="0"/>
    <n v="13128.48"/>
    <n v="8298.7000000000007"/>
    <n v="4829.7799999999988"/>
    <s v="UPI"/>
    <s v="Neha"/>
    <s v="Low"/>
  </r>
  <r>
    <s v="ORD00076"/>
    <d v="2024-06-09T00:00:00"/>
    <x v="0"/>
    <s v="2024-06-16"/>
    <s v="CUST7190"/>
    <x v="1"/>
    <x v="2"/>
    <s v="Delhi"/>
    <s v="Delhi"/>
    <s v="B2B"/>
    <x v="1"/>
    <s v="Product-45"/>
    <n v="12"/>
    <n v="1985.59"/>
    <n v="23827.08"/>
    <n v="0"/>
    <n v="23827.08"/>
    <n v="18776.09"/>
    <n v="5050.9900000000016"/>
    <s v="UPI"/>
    <s v="Neha"/>
    <s v="Low"/>
  </r>
  <r>
    <s v="ORD00077"/>
    <d v="2024-09-08T00:00:00"/>
    <x v="3"/>
    <s v="2024-09-11"/>
    <s v="CUST6749"/>
    <x v="1"/>
    <x v="3"/>
    <s v="Maharashtra"/>
    <s v="Bengaluru"/>
    <s v="B2B"/>
    <x v="2"/>
    <s v="Product-30"/>
    <n v="3"/>
    <n v="2527.02"/>
    <n v="7581.06"/>
    <n v="0.05"/>
    <n v="7202.01"/>
    <n v="4439.17"/>
    <n v="2762.84"/>
    <s v="Credit Card"/>
    <s v="Rohit"/>
    <s v="High"/>
  </r>
  <r>
    <s v="ORD00078"/>
    <d v="2024-09-02T00:00:00"/>
    <x v="3"/>
    <s v="2024-09-04"/>
    <s v="CUST1603"/>
    <x v="2"/>
    <x v="2"/>
    <s v="Tamil Nadu"/>
    <s v="Mumbai"/>
    <s v="B2B"/>
    <x v="2"/>
    <s v="Product-44"/>
    <n v="10"/>
    <n v="1214.8900000000001"/>
    <n v="12148.9"/>
    <n v="0.05"/>
    <n v="11541.45"/>
    <n v="7845.52"/>
    <n v="3695.9300000000003"/>
    <s v="Debit Card"/>
    <s v="Pooja"/>
    <s v="Low"/>
  </r>
  <r>
    <s v="ORD00079"/>
    <d v="2024-05-15T00:00:00"/>
    <x v="7"/>
    <s v="2024-05-16"/>
    <s v="CUST8422"/>
    <x v="1"/>
    <x v="0"/>
    <s v="Karnataka"/>
    <s v="Noida"/>
    <s v="B2B"/>
    <x v="2"/>
    <s v="Product-48"/>
    <n v="9"/>
    <n v="550.57000000000005"/>
    <n v="4955.13"/>
    <n v="0.1"/>
    <n v="4459.62"/>
    <n v="3752.94"/>
    <n v="706.67999999999984"/>
    <s v="Debit Card"/>
    <s v="Rohit"/>
    <s v="Medium"/>
  </r>
  <r>
    <s v="ORD00080"/>
    <d v="2024-07-07T00:00:00"/>
    <x v="5"/>
    <s v="2024-07-12"/>
    <s v="CUST3895"/>
    <x v="1"/>
    <x v="0"/>
    <s v="Karnataka"/>
    <s v="Noida"/>
    <s v="Retail Store"/>
    <x v="2"/>
    <s v="Product-41"/>
    <n v="3"/>
    <n v="1516.78"/>
    <n v="4550.34"/>
    <n v="0"/>
    <n v="4550.34"/>
    <n v="3233.34"/>
    <n v="1317"/>
    <s v="Debit Card"/>
    <s v="Amit"/>
    <s v="High"/>
  </r>
  <r>
    <s v="ORD00081"/>
    <d v="2024-01-18T00:00:00"/>
    <x v="10"/>
    <s v="2024-01-20"/>
    <s v="CUST6965"/>
    <x v="2"/>
    <x v="2"/>
    <s v="Tamil Nadu"/>
    <s v="Mumbai"/>
    <s v="B2B"/>
    <x v="1"/>
    <s v="Product-3"/>
    <n v="3"/>
    <n v="1302.01"/>
    <n v="3906.03"/>
    <n v="0.15"/>
    <n v="3320.13"/>
    <n v="2338.77"/>
    <n v="981.36000000000013"/>
    <s v="UPI"/>
    <s v="Amit"/>
    <s v="Low"/>
  </r>
  <r>
    <s v="ORD00082"/>
    <d v="2024-10-17T00:00:00"/>
    <x v="2"/>
    <s v="2024-10-20"/>
    <s v="CUST7770"/>
    <x v="1"/>
    <x v="3"/>
    <s v="Uttar Pradesh"/>
    <s v="Mumbai"/>
    <s v="Online"/>
    <x v="2"/>
    <s v="Product-40"/>
    <n v="5"/>
    <n v="729.72"/>
    <n v="3648.6"/>
    <n v="0.1"/>
    <n v="3283.74"/>
    <n v="2408.7199999999998"/>
    <n v="875.02"/>
    <s v="Net Banking"/>
    <s v="Neha"/>
    <s v="Low"/>
  </r>
  <r>
    <s v="ORD00083"/>
    <d v="2024-01-08T00:00:00"/>
    <x v="10"/>
    <s v="2024-01-15"/>
    <s v="CUST3370"/>
    <x v="1"/>
    <x v="3"/>
    <s v="Tamil Nadu"/>
    <s v="Bengaluru"/>
    <s v="Online"/>
    <x v="0"/>
    <s v="Product-42"/>
    <n v="4"/>
    <n v="2593.17"/>
    <n v="10372.68"/>
    <n v="0.15"/>
    <n v="8816.7800000000007"/>
    <n v="5501.24"/>
    <n v="3315.5400000000009"/>
    <s v="Debit Card"/>
    <s v="Karan"/>
    <s v="High"/>
  </r>
  <r>
    <s v="ORD00084"/>
    <d v="2024-10-23T00:00:00"/>
    <x v="2"/>
    <s v="2024-10-27"/>
    <s v="CUST1006"/>
    <x v="2"/>
    <x v="0"/>
    <s v="Uttar Pradesh"/>
    <s v="Delhi"/>
    <s v="Retail Store"/>
    <x v="0"/>
    <s v="Product-16"/>
    <n v="10"/>
    <n v="3305.19"/>
    <n v="33051.9"/>
    <n v="0.15"/>
    <n v="28094.12"/>
    <n v="18601.8"/>
    <n v="9492.32"/>
    <s v="Credit Card"/>
    <s v="Amit"/>
    <s v="Low"/>
  </r>
  <r>
    <s v="ORD00085"/>
    <d v="2024-01-07T00:00:00"/>
    <x v="10"/>
    <s v="2024-01-12"/>
    <s v="CUST4268"/>
    <x v="1"/>
    <x v="1"/>
    <s v="Uttar Pradesh"/>
    <s v="Mumbai"/>
    <s v="B2B"/>
    <x v="2"/>
    <s v="Product-5"/>
    <n v="9"/>
    <n v="2436.08"/>
    <n v="21924.720000000001"/>
    <n v="0.05"/>
    <n v="20828.48"/>
    <n v="13237.89"/>
    <n v="7590.59"/>
    <s v="Debit Card"/>
    <s v="Amit"/>
    <s v="High"/>
  </r>
  <r>
    <s v="ORD00086"/>
    <d v="2024-09-01T00:00:00"/>
    <x v="3"/>
    <s v="2024-09-07"/>
    <s v="CUST8622"/>
    <x v="2"/>
    <x v="1"/>
    <s v="Maharashtra"/>
    <s v="Mumbai"/>
    <s v="Online"/>
    <x v="2"/>
    <s v="Product-15"/>
    <n v="9"/>
    <n v="419.68"/>
    <n v="3777.12"/>
    <n v="0.15"/>
    <n v="3210.55"/>
    <n v="2524.4499999999998"/>
    <n v="686.10000000000036"/>
    <s v="UPI"/>
    <s v="Amit"/>
    <s v="Medium"/>
  </r>
  <r>
    <s v="ORD00087"/>
    <d v="2024-05-14T00:00:00"/>
    <x v="7"/>
    <s v="2024-05-20"/>
    <s v="CUST9572"/>
    <x v="0"/>
    <x v="3"/>
    <s v="Maharashtra"/>
    <s v="Delhi"/>
    <s v="B2B"/>
    <x v="0"/>
    <s v="Product-11"/>
    <n v="1"/>
    <n v="1224.56"/>
    <n v="1224.56"/>
    <n v="0.15"/>
    <n v="1040.8800000000001"/>
    <n v="802.97"/>
    <n v="237.91000000000008"/>
    <s v="Debit Card"/>
    <s v="Neha"/>
    <s v="High"/>
  </r>
  <r>
    <s v="ORD00088"/>
    <d v="2024-04-13T00:00:00"/>
    <x v="6"/>
    <s v="2024-04-15"/>
    <s v="CUST6383"/>
    <x v="1"/>
    <x v="2"/>
    <s v="Tamil Nadu"/>
    <s v="Noida"/>
    <s v="Retail Store"/>
    <x v="2"/>
    <s v="Product-34"/>
    <n v="12"/>
    <n v="3236.37"/>
    <n v="38836.44"/>
    <n v="0.05"/>
    <n v="36894.620000000003"/>
    <n v="30255.11"/>
    <n v="6639.510000000002"/>
    <s v="UPI"/>
    <s v="Amit"/>
    <s v="Medium"/>
  </r>
  <r>
    <s v="ORD00090"/>
    <d v="2024-01-15T00:00:00"/>
    <x v="10"/>
    <s v="2024-01-16"/>
    <s v="CUST1764"/>
    <x v="2"/>
    <x v="3"/>
    <s v="Maharashtra"/>
    <s v="Noida"/>
    <s v="B2B"/>
    <x v="0"/>
    <s v="Product-49"/>
    <n v="1"/>
    <n v="829.05"/>
    <n v="829.05"/>
    <n v="0"/>
    <n v="829.05"/>
    <n v="641.89"/>
    <n v="187.15999999999997"/>
    <s v="Net Banking"/>
    <s v="Amit"/>
    <s v="Low"/>
  </r>
  <r>
    <s v="ORD00091"/>
    <d v="2024-04-15T00:00:00"/>
    <x v="6"/>
    <s v="2024-04-17"/>
    <s v="CUST5708"/>
    <x v="0"/>
    <x v="0"/>
    <s v="Maharashtra"/>
    <s v="Delhi"/>
    <s v="B2B"/>
    <x v="0"/>
    <s v="Product-19"/>
    <n v="2"/>
    <n v="504.97"/>
    <n v="1009.94"/>
    <n v="0"/>
    <n v="1009.94"/>
    <n v="814.28"/>
    <n v="195.66000000000008"/>
    <s v="Debit Card"/>
    <s v="Rohit"/>
    <s v="Medium"/>
  </r>
  <r>
    <s v="ORD00092"/>
    <d v="2024-05-13T00:00:00"/>
    <x v="7"/>
    <s v="2024-05-14"/>
    <s v="CUST7029"/>
    <x v="0"/>
    <x v="1"/>
    <s v="Karnataka"/>
    <s v="Noida"/>
    <s v="B2B"/>
    <x v="0"/>
    <s v="Product-27"/>
    <n v="6"/>
    <n v="1195.78"/>
    <n v="7174.68"/>
    <n v="0.1"/>
    <n v="6457.21"/>
    <n v="3952.47"/>
    <n v="2504.7400000000002"/>
    <s v="UPI"/>
    <s v="Pooja"/>
    <s v="High"/>
  </r>
  <r>
    <s v="ORD00093"/>
    <d v="2024-02-20T00:00:00"/>
    <x v="1"/>
    <s v="2024-02-23"/>
    <s v="CUST2489"/>
    <x v="1"/>
    <x v="3"/>
    <s v="Maharashtra"/>
    <s v="Chennai"/>
    <s v="Online"/>
    <x v="1"/>
    <s v="Product-13"/>
    <n v="8"/>
    <n v="2584.44"/>
    <n v="20675.52"/>
    <n v="0.05"/>
    <n v="19641.740000000002"/>
    <n v="15293.01"/>
    <n v="4348.7300000000014"/>
    <s v="Debit Card"/>
    <s v="Amit"/>
    <s v="Low"/>
  </r>
  <r>
    <s v="ORD00094"/>
    <d v="2024-06-27T00:00:00"/>
    <x v="0"/>
    <s v="2024-07-01"/>
    <s v="CUST6688"/>
    <x v="1"/>
    <x v="3"/>
    <s v="Uttar Pradesh"/>
    <s v="Mumbai"/>
    <s v="Retail Store"/>
    <x v="0"/>
    <s v="Product-45"/>
    <n v="2"/>
    <n v="1923.6"/>
    <n v="3847.2"/>
    <n v="0.05"/>
    <n v="3654.84"/>
    <n v="3076.6"/>
    <n v="578.24000000000024"/>
    <s v="Credit Card"/>
    <s v="Pooja"/>
    <s v="Low"/>
  </r>
  <r>
    <s v="ORD00095"/>
    <d v="2024-02-26T00:00:00"/>
    <x v="1"/>
    <s v="2024-03-03"/>
    <s v="CUST6826"/>
    <x v="2"/>
    <x v="1"/>
    <s v="Tamil Nadu"/>
    <s v="Delhi"/>
    <s v="Retail Store"/>
    <x v="1"/>
    <s v="Product-2"/>
    <n v="2"/>
    <n v="1919.9"/>
    <n v="3839.8"/>
    <n v="0"/>
    <n v="3839.8"/>
    <n v="2906.66"/>
    <n v="933.14000000000033"/>
    <s v="Debit Card"/>
    <s v="Neha"/>
    <s v="Medium"/>
  </r>
  <r>
    <s v="ORD00096"/>
    <d v="2024-05-14T00:00:00"/>
    <x v="7"/>
    <s v="2024-05-18"/>
    <s v="CUST4826"/>
    <x v="0"/>
    <x v="2"/>
    <s v="Uttar Pradesh"/>
    <s v="Noida"/>
    <s v="B2B"/>
    <x v="1"/>
    <s v="Product-42"/>
    <n v="9"/>
    <n v="1953.69"/>
    <n v="17583.21"/>
    <n v="0.15"/>
    <n v="14945.73"/>
    <n v="12638.15"/>
    <n v="2307.58"/>
    <s v="UPI"/>
    <s v="Rohit"/>
    <s v="High"/>
  </r>
  <r>
    <s v="ORD00097"/>
    <d v="2024-06-16T00:00:00"/>
    <x v="0"/>
    <s v="2024-06-21"/>
    <s v="CUST6297"/>
    <x v="2"/>
    <x v="1"/>
    <s v="Tamil Nadu"/>
    <s v="Bengaluru"/>
    <s v="B2B"/>
    <x v="0"/>
    <s v="Product-9"/>
    <n v="3"/>
    <n v="3090.79"/>
    <n v="9272.3700000000008"/>
    <n v="0.15"/>
    <n v="7881.51"/>
    <n v="6033.49"/>
    <n v="1848.0200000000004"/>
    <s v="Debit Card"/>
    <s v="Pooja"/>
    <s v="High"/>
  </r>
  <r>
    <s v="ORD00098"/>
    <d v="2024-05-01T00:00:00"/>
    <x v="7"/>
    <s v="2024-05-06"/>
    <s v="CUST5056"/>
    <x v="1"/>
    <x v="3"/>
    <s v="Uttar Pradesh"/>
    <s v="Noida"/>
    <s v="Retail Store"/>
    <x v="0"/>
    <s v="Product-16"/>
    <n v="4"/>
    <n v="1229.2"/>
    <n v="4916.8"/>
    <n v="0.05"/>
    <n v="4670.96"/>
    <n v="3647.24"/>
    <n v="1023.7200000000003"/>
    <s v="Debit Card"/>
    <s v="Neha"/>
    <s v="Medium"/>
  </r>
  <r>
    <s v="ORD00099"/>
    <d v="2024-02-22T00:00:00"/>
    <x v="1"/>
    <s v="2024-02-24"/>
    <s v="CUST3430"/>
    <x v="0"/>
    <x v="3"/>
    <s v="Tamil Nadu"/>
    <s v="Bengaluru"/>
    <s v="Online"/>
    <x v="0"/>
    <s v="Product-41"/>
    <n v="11"/>
    <n v="715.08"/>
    <n v="7865.88"/>
    <n v="0.15"/>
    <n v="6686"/>
    <n v="4263.93"/>
    <n v="2422.0699999999997"/>
    <s v="UPI"/>
    <s v="Rohit"/>
    <s v="Low"/>
  </r>
  <r>
    <s v="ORD00100"/>
    <d v="2024-07-17T00:00:00"/>
    <x v="5"/>
    <s v="2024-07-21"/>
    <s v="CUST9199"/>
    <x v="1"/>
    <x v="3"/>
    <s v="Tamil Nadu"/>
    <s v="Delhi"/>
    <s v="Online"/>
    <x v="2"/>
    <s v="Product-39"/>
    <n v="1"/>
    <n v="439.11"/>
    <n v="439.11"/>
    <n v="0.15"/>
    <n v="373.24"/>
    <n v="288.64999999999998"/>
    <n v="84.590000000000032"/>
    <s v="Net Banking"/>
    <s v="Amit"/>
    <s v="High"/>
  </r>
  <r>
    <s v="ORD00101"/>
    <d v="2024-05-04T00:00:00"/>
    <x v="7"/>
    <s v="2024-05-11"/>
    <s v="CUST4745"/>
    <x v="1"/>
    <x v="2"/>
    <s v="Delhi"/>
    <s v="Chennai"/>
    <s v="Retail Store"/>
    <x v="2"/>
    <s v="Product-17"/>
    <n v="7"/>
    <n v="2573.6"/>
    <n v="18015.2"/>
    <n v="0.15"/>
    <n v="15312.92"/>
    <n v="12426.41"/>
    <n v="2886.51"/>
    <s v="UPI"/>
    <s v="Pooja"/>
    <s v="Low"/>
  </r>
  <r>
    <s v="ORD00102"/>
    <d v="2024-07-23T00:00:00"/>
    <x v="5"/>
    <s v="2024-07-29"/>
    <s v="CUST8909"/>
    <x v="0"/>
    <x v="0"/>
    <s v="Uttar Pradesh"/>
    <s v="Chennai"/>
    <s v="B2B"/>
    <x v="1"/>
    <s v="Product-43"/>
    <n v="12"/>
    <n v="2351.81"/>
    <n v="28221.72"/>
    <n v="0.1"/>
    <n v="25399.55"/>
    <n v="20633.59"/>
    <n v="4765.9599999999991"/>
    <s v="Credit Card"/>
    <s v="Rohit"/>
    <s v="Low"/>
  </r>
  <r>
    <s v="ORD00103"/>
    <d v="2024-07-18T00:00:00"/>
    <x v="5"/>
    <s v="2024-07-25"/>
    <s v="CUST9902"/>
    <x v="2"/>
    <x v="2"/>
    <s v="Maharashtra"/>
    <s v="Noida"/>
    <s v="Retail Store"/>
    <x v="0"/>
    <s v="Product-37"/>
    <n v="8"/>
    <n v="3215.4"/>
    <n v="25723.200000000001"/>
    <n v="0"/>
    <n v="25723.200000000001"/>
    <n v="15679.23"/>
    <n v="10043.970000000001"/>
    <s v="Net Banking"/>
    <s v="Karan"/>
    <s v="Low"/>
  </r>
  <r>
    <s v="ORD00104"/>
    <d v="2024-08-31T00:00:00"/>
    <x v="9"/>
    <s v="2024-09-05"/>
    <s v="CUST7723"/>
    <x v="1"/>
    <x v="1"/>
    <s v="Maharashtra"/>
    <s v="Mumbai"/>
    <s v="Retail Store"/>
    <x v="1"/>
    <s v="Product-49"/>
    <n v="1"/>
    <n v="2381.71"/>
    <n v="2381.71"/>
    <n v="0.1"/>
    <n v="2143.54"/>
    <n v="1565.69"/>
    <n v="577.84999999999991"/>
    <s v="UPI"/>
    <s v="Karan"/>
    <s v="Medium"/>
  </r>
  <r>
    <s v="ORD00105"/>
    <d v="2024-11-22T00:00:00"/>
    <x v="4"/>
    <s v="2024-11-23"/>
    <s v="CUST2231"/>
    <x v="0"/>
    <x v="1"/>
    <s v="Karnataka"/>
    <s v="Noida"/>
    <s v="Retail Store"/>
    <x v="0"/>
    <s v="Product-15"/>
    <n v="5"/>
    <n v="1250.51"/>
    <n v="6252.55"/>
    <n v="0.15"/>
    <n v="5314.67"/>
    <n v="3270.52"/>
    <n v="2044.15"/>
    <s v="Debit Card"/>
    <s v="Pooja"/>
    <s v="High"/>
  </r>
  <r>
    <s v="ORD00106"/>
    <d v="2024-04-22T00:00:00"/>
    <x v="6"/>
    <s v="2024-04-29"/>
    <s v="CUST2128"/>
    <x v="1"/>
    <x v="2"/>
    <s v="Tamil Nadu"/>
    <s v="Noida"/>
    <s v="B2B"/>
    <x v="0"/>
    <s v="Product-10"/>
    <n v="7"/>
    <n v="1832.56"/>
    <n v="12827.92"/>
    <n v="0.05"/>
    <n v="12186.52"/>
    <n v="7705.84"/>
    <n v="4480.68"/>
    <s v="Debit Card"/>
    <s v="Pooja"/>
    <s v="Medium"/>
  </r>
  <r>
    <s v="ORD00107"/>
    <d v="2024-05-30T00:00:00"/>
    <x v="7"/>
    <s v="2024-06-06"/>
    <s v="CUST4775"/>
    <x v="0"/>
    <x v="1"/>
    <s v="Karnataka"/>
    <s v="Chennai"/>
    <s v="B2B"/>
    <x v="0"/>
    <s v="Product-31"/>
    <n v="9"/>
    <n v="2413.7800000000002"/>
    <n v="21724.02"/>
    <n v="0.15"/>
    <n v="18465.419999999998"/>
    <n v="12716.89"/>
    <n v="5748.5299999999988"/>
    <s v="UPI"/>
    <s v="Rohit"/>
    <s v="Medium"/>
  </r>
  <r>
    <s v="ORD00108"/>
    <d v="2024-05-05T00:00:00"/>
    <x v="7"/>
    <s v="2024-05-11"/>
    <s v="CUST2399"/>
    <x v="1"/>
    <x v="3"/>
    <s v="Maharashtra"/>
    <s v="Bengaluru"/>
    <s v="Retail Store"/>
    <x v="0"/>
    <s v="Product-6"/>
    <n v="5"/>
    <n v="1392.99"/>
    <n v="6964.95"/>
    <n v="0.15"/>
    <n v="5920.21"/>
    <n v="4186.32"/>
    <n v="1733.8900000000003"/>
    <s v="Debit Card"/>
    <s v="Neha"/>
    <s v="High"/>
  </r>
  <r>
    <s v="ORD00109"/>
    <d v="2024-06-25T00:00:00"/>
    <x v="0"/>
    <s v="2024-07-01"/>
    <s v="CUST2179"/>
    <x v="1"/>
    <x v="3"/>
    <s v="Karnataka"/>
    <s v="Noida"/>
    <s v="Online"/>
    <x v="1"/>
    <s v="Product-10"/>
    <n v="10"/>
    <n v="446.46"/>
    <n v="4464.6000000000004"/>
    <n v="0"/>
    <n v="4464.6000000000004"/>
    <n v="2912.87"/>
    <n v="1551.7300000000005"/>
    <s v="Credit Card"/>
    <s v="Neha"/>
    <s v="Medium"/>
  </r>
  <r>
    <s v="ORD00110"/>
    <d v="2024-06-26T00:00:00"/>
    <x v="0"/>
    <s v="2024-07-03"/>
    <s v="CUST3751"/>
    <x v="1"/>
    <x v="0"/>
    <s v="Uttar Pradesh"/>
    <s v="Bengaluru"/>
    <s v="Online"/>
    <x v="2"/>
    <s v="Product-45"/>
    <n v="3"/>
    <n v="1046.48"/>
    <n v="3139.44"/>
    <n v="0.15"/>
    <n v="2668.52"/>
    <n v="2129.2600000000002"/>
    <n v="539.25999999999976"/>
    <s v="Credit Card"/>
    <s v="Karan"/>
    <s v="Low"/>
  </r>
  <r>
    <s v="ORD00111"/>
    <d v="2024-08-12T00:00:00"/>
    <x v="9"/>
    <s v="2024-08-18"/>
    <s v="CUST3282"/>
    <x v="0"/>
    <x v="1"/>
    <s v="Uttar Pradesh"/>
    <s v="Delhi"/>
    <s v="Retail Store"/>
    <x v="2"/>
    <s v="Product-10"/>
    <n v="2"/>
    <n v="2120.6999999999998"/>
    <n v="4241.3999999999996"/>
    <n v="0.1"/>
    <n v="3817.26"/>
    <n v="2690.25"/>
    <n v="1127.0100000000002"/>
    <s v="Net Banking"/>
    <s v="Neha"/>
    <s v="Medium"/>
  </r>
  <r>
    <s v="ORD00112"/>
    <d v="2024-03-25T00:00:00"/>
    <x v="8"/>
    <s v="2024-03-30"/>
    <s v="CUST6254"/>
    <x v="0"/>
    <x v="1"/>
    <s v="Karnataka"/>
    <s v="Chennai"/>
    <s v="Retail Store"/>
    <x v="2"/>
    <s v="Product-27"/>
    <n v="10"/>
    <n v="3074.92"/>
    <n v="30749.200000000001"/>
    <n v="0"/>
    <n v="30749.200000000001"/>
    <n v="19682.240000000002"/>
    <n v="11066.96"/>
    <s v="UPI"/>
    <s v="Neha"/>
    <s v="High"/>
  </r>
  <r>
    <s v="ORD00113"/>
    <d v="2024-07-03T00:00:00"/>
    <x v="5"/>
    <s v="2024-07-09"/>
    <s v="CUST6414"/>
    <x v="2"/>
    <x v="1"/>
    <s v="Tamil Nadu"/>
    <s v="Mumbai"/>
    <s v="Online"/>
    <x v="0"/>
    <s v="Product-46"/>
    <n v="11"/>
    <n v="488.44"/>
    <n v="5372.84"/>
    <n v="0"/>
    <n v="5372.84"/>
    <n v="4140.5600000000004"/>
    <n v="1232.2799999999997"/>
    <s v="Net Banking"/>
    <s v="Neha"/>
    <s v="Medium"/>
  </r>
  <r>
    <s v="ORD00114"/>
    <d v="2024-02-18T00:00:00"/>
    <x v="1"/>
    <s v="2024-02-25"/>
    <s v="CUST4452"/>
    <x v="0"/>
    <x v="1"/>
    <s v="Karnataka"/>
    <s v="Chennai"/>
    <s v="Retail Store"/>
    <x v="1"/>
    <s v="Product-4"/>
    <n v="11"/>
    <n v="1535.09"/>
    <n v="16885.990000000002"/>
    <n v="0.15"/>
    <n v="14353.09"/>
    <n v="11405.41"/>
    <n v="2947.6800000000003"/>
    <s v="Debit Card"/>
    <s v="Rohit"/>
    <s v="Medium"/>
  </r>
  <r>
    <s v="ORD00115"/>
    <d v="2024-09-09T00:00:00"/>
    <x v="3"/>
    <s v="2024-09-13"/>
    <s v="CUST6649"/>
    <x v="2"/>
    <x v="1"/>
    <s v="Delhi"/>
    <s v="Bengaluru"/>
    <s v="Online"/>
    <x v="2"/>
    <s v="Product-46"/>
    <n v="6"/>
    <n v="1961.62"/>
    <n v="11769.72"/>
    <n v="0.1"/>
    <n v="10592.75"/>
    <n v="8667.42"/>
    <n v="1925.33"/>
    <s v="Debit Card"/>
    <s v="Neha"/>
    <s v="High"/>
  </r>
  <r>
    <s v="ORD00116"/>
    <d v="2024-11-21T00:00:00"/>
    <x v="4"/>
    <s v="2024-11-22"/>
    <s v="CUST1814"/>
    <x v="0"/>
    <x v="3"/>
    <s v="Delhi"/>
    <s v="Delhi"/>
    <s v="Online"/>
    <x v="0"/>
    <s v="Product-31"/>
    <n v="1"/>
    <n v="1636.52"/>
    <n v="1636.52"/>
    <n v="0.15"/>
    <n v="1391.04"/>
    <n v="1024.29"/>
    <n v="366.75"/>
    <s v="UPI"/>
    <s v="Karan"/>
    <s v="High"/>
  </r>
  <r>
    <s v="ORD00117"/>
    <d v="2024-11-09T00:00:00"/>
    <x v="4"/>
    <s v="2024-11-13"/>
    <s v="CUST8501"/>
    <x v="1"/>
    <x v="2"/>
    <s v="Delhi"/>
    <s v="Mumbai"/>
    <s v="Online"/>
    <x v="2"/>
    <s v="Product-50"/>
    <n v="10"/>
    <n v="855.86"/>
    <n v="8558.6"/>
    <n v="0"/>
    <n v="8558.6"/>
    <n v="5589.84"/>
    <n v="2968.76"/>
    <s v="UPI"/>
    <s v="Amit"/>
    <s v="Medium"/>
  </r>
  <r>
    <s v="ORD00118"/>
    <d v="2024-03-12T00:00:00"/>
    <x v="8"/>
    <s v="2024-03-19"/>
    <s v="CUST4027"/>
    <x v="0"/>
    <x v="0"/>
    <s v="Karnataka"/>
    <s v="Delhi"/>
    <s v="Retail Store"/>
    <x v="1"/>
    <s v="Product-42"/>
    <n v="5"/>
    <n v="2142.5100000000002"/>
    <n v="10712.55"/>
    <n v="0.1"/>
    <n v="9641.2999999999993"/>
    <n v="7863.57"/>
    <n v="1777.7299999999996"/>
    <s v="UPI"/>
    <s v="Pooja"/>
    <s v="High"/>
  </r>
  <r>
    <s v="ORD00119"/>
    <d v="2024-09-24T00:00:00"/>
    <x v="3"/>
    <s v="2024-09-25"/>
    <s v="CUST7629"/>
    <x v="0"/>
    <x v="0"/>
    <s v="Delhi"/>
    <s v="Chennai"/>
    <s v="B2B"/>
    <x v="1"/>
    <s v="Product-43"/>
    <n v="2"/>
    <n v="2798.71"/>
    <n v="5597.42"/>
    <n v="0.15"/>
    <n v="4757.8100000000004"/>
    <n v="3539"/>
    <n v="1218.8100000000004"/>
    <s v="Credit Card"/>
    <s v="Pooja"/>
    <s v="Medium"/>
  </r>
  <r>
    <s v="ORD00120"/>
    <d v="2024-10-07T00:00:00"/>
    <x v="2"/>
    <s v="2024-10-08"/>
    <s v="CUST1254"/>
    <x v="0"/>
    <x v="0"/>
    <s v="Delhi"/>
    <s v="Delhi"/>
    <s v="Online"/>
    <x v="0"/>
    <s v="Product-8"/>
    <n v="2"/>
    <n v="2397.9699999999998"/>
    <n v="4795.9399999999996"/>
    <n v="0.05"/>
    <n v="4556.1400000000003"/>
    <n v="3754"/>
    <n v="802.14000000000033"/>
    <s v="Credit Card"/>
    <s v="Pooja"/>
    <s v="Low"/>
  </r>
  <r>
    <s v="ORD00121"/>
    <d v="2024-05-21T00:00:00"/>
    <x v="7"/>
    <s v="2024-05-27"/>
    <s v="CUST6994"/>
    <x v="1"/>
    <x v="2"/>
    <s v="Delhi"/>
    <s v="Bengaluru"/>
    <s v="B2B"/>
    <x v="1"/>
    <s v="Product-46"/>
    <n v="10"/>
    <n v="1151.04"/>
    <n v="11510.4"/>
    <n v="0.05"/>
    <n v="10934.88"/>
    <n v="9083.61"/>
    <n v="1851.2699999999986"/>
    <s v="Net Banking"/>
    <s v="Pooja"/>
    <s v="High"/>
  </r>
  <r>
    <s v="ORD00122"/>
    <d v="2024-05-10T00:00:00"/>
    <x v="7"/>
    <s v="2024-05-11"/>
    <s v="CUST2305"/>
    <x v="0"/>
    <x v="3"/>
    <s v="Karnataka"/>
    <s v="Noida"/>
    <s v="Online"/>
    <x v="2"/>
    <s v="Product-39"/>
    <n v="12"/>
    <n v="499.1"/>
    <n v="5989.2"/>
    <n v="0"/>
    <n v="5989.2"/>
    <n v="3615.57"/>
    <n v="2373.6299999999997"/>
    <s v="UPI"/>
    <s v="Rohit"/>
    <s v="Medium"/>
  </r>
  <r>
    <s v="ORD00123"/>
    <d v="2024-10-21T00:00:00"/>
    <x v="2"/>
    <s v="2024-10-27"/>
    <s v="CUST2912"/>
    <x v="0"/>
    <x v="2"/>
    <s v="Tamil Nadu"/>
    <s v="Chennai"/>
    <s v="Retail Store"/>
    <x v="2"/>
    <s v="Product-18"/>
    <n v="8"/>
    <n v="1856.39"/>
    <n v="14851.12"/>
    <n v="0.05"/>
    <n v="14108.56"/>
    <n v="8976.24"/>
    <n v="5132.32"/>
    <s v="Debit Card"/>
    <s v="Rohit"/>
    <s v="Medium"/>
  </r>
  <r>
    <s v="ORD00124"/>
    <d v="2024-02-01T00:00:00"/>
    <x v="1"/>
    <s v="2024-02-06"/>
    <s v="CUST1253"/>
    <x v="2"/>
    <x v="3"/>
    <s v="Uttar Pradesh"/>
    <s v="Chennai"/>
    <s v="Online"/>
    <x v="2"/>
    <s v="Product-25"/>
    <n v="11"/>
    <n v="2580.12"/>
    <n v="28381.32"/>
    <n v="0.1"/>
    <n v="25543.19"/>
    <n v="20878.740000000002"/>
    <n v="4664.4499999999971"/>
    <s v="Net Banking"/>
    <s v="Karan"/>
    <s v="Low"/>
  </r>
  <r>
    <s v="ORD00125"/>
    <d v="2024-08-19T00:00:00"/>
    <x v="9"/>
    <s v="2024-08-22"/>
    <s v="CUST3576"/>
    <x v="1"/>
    <x v="0"/>
    <s v="Karnataka"/>
    <s v="Mumbai"/>
    <s v="B2B"/>
    <x v="0"/>
    <s v="Product-18"/>
    <n v="12"/>
    <n v="405.22"/>
    <n v="4862.6400000000003"/>
    <n v="0.1"/>
    <n v="4376.38"/>
    <n v="2919.07"/>
    <n v="1457.31"/>
    <s v="Net Banking"/>
    <s v="Rohit"/>
    <s v="High"/>
  </r>
  <r>
    <s v="ORD00126"/>
    <d v="2024-02-13T00:00:00"/>
    <x v="1"/>
    <s v="2024-02-18"/>
    <s v="CUST4834"/>
    <x v="0"/>
    <x v="0"/>
    <s v="Tamil Nadu"/>
    <s v="Chennai"/>
    <s v="B2B"/>
    <x v="0"/>
    <s v="Product-17"/>
    <n v="9"/>
    <n v="1902.76"/>
    <n v="17124.84"/>
    <n v="0.15"/>
    <n v="14556.11"/>
    <n v="9463.0400000000009"/>
    <n v="5093.07"/>
    <s v="UPI"/>
    <s v="Pooja"/>
    <s v="Medium"/>
  </r>
  <r>
    <s v="ORD00127"/>
    <d v="2024-10-03T00:00:00"/>
    <x v="2"/>
    <s v="2024-10-04"/>
    <s v="CUST9536"/>
    <x v="0"/>
    <x v="3"/>
    <s v="Tamil Nadu"/>
    <s v="Noida"/>
    <s v="B2B"/>
    <x v="0"/>
    <s v="Product-13"/>
    <n v="9"/>
    <n v="2900.38"/>
    <n v="26103.42"/>
    <n v="0"/>
    <n v="26103.42"/>
    <n v="17181.7"/>
    <n v="8921.7199999999975"/>
    <s v="Credit Card"/>
    <s v="Neha"/>
    <s v="Low"/>
  </r>
  <r>
    <s v="ORD00128"/>
    <d v="2024-04-02T00:00:00"/>
    <x v="6"/>
    <s v="2024-04-09"/>
    <s v="CUST9474"/>
    <x v="2"/>
    <x v="2"/>
    <s v="Delhi"/>
    <s v="Chennai"/>
    <s v="Retail Store"/>
    <x v="0"/>
    <s v="Product-24"/>
    <n v="12"/>
    <n v="1298.3699999999999"/>
    <n v="15580.44"/>
    <n v="0.1"/>
    <n v="14022.4"/>
    <n v="9824.41"/>
    <n v="4197.99"/>
    <s v="Net Banking"/>
    <s v="Amit"/>
    <s v="Low"/>
  </r>
  <r>
    <s v="ORD00130"/>
    <d v="2024-08-16T00:00:00"/>
    <x v="9"/>
    <s v="2024-08-23"/>
    <s v="CUST1620"/>
    <x v="0"/>
    <x v="2"/>
    <s v="Maharashtra"/>
    <s v="Chennai"/>
    <s v="Online"/>
    <x v="0"/>
    <s v="Product-4"/>
    <n v="10"/>
    <n v="2938.38"/>
    <n v="29383.8"/>
    <n v="0.05"/>
    <n v="27914.61"/>
    <n v="18521.310000000001"/>
    <n v="9393.2999999999993"/>
    <s v="UPI"/>
    <s v="Karan"/>
    <s v="Medium"/>
  </r>
  <r>
    <s v="ORD00131"/>
    <d v="2024-08-22T00:00:00"/>
    <x v="9"/>
    <s v="2024-08-26"/>
    <s v="CUST2473"/>
    <x v="0"/>
    <x v="3"/>
    <s v="Uttar Pradesh"/>
    <s v="Mumbai"/>
    <s v="B2B"/>
    <x v="0"/>
    <s v="Product-43"/>
    <n v="2"/>
    <n v="3075.21"/>
    <n v="6150.42"/>
    <n v="0.15"/>
    <n v="5227.8599999999997"/>
    <n v="4341.9399999999996"/>
    <n v="885.92000000000007"/>
    <s v="Net Banking"/>
    <s v="Neha"/>
    <s v="Medium"/>
  </r>
  <r>
    <s v="ORD00133"/>
    <d v="2024-03-15T00:00:00"/>
    <x v="8"/>
    <s v="2024-03-18"/>
    <s v="CUST8229"/>
    <x v="1"/>
    <x v="0"/>
    <s v="Tamil Nadu"/>
    <s v="Bengaluru"/>
    <s v="Retail Store"/>
    <x v="2"/>
    <s v="Product-25"/>
    <n v="1"/>
    <n v="3312.08"/>
    <n v="3312.08"/>
    <n v="0.1"/>
    <n v="2980.87"/>
    <n v="2228.04"/>
    <n v="752.82999999999993"/>
    <s v="UPI"/>
    <s v="Rohit"/>
    <s v="Medium"/>
  </r>
  <r>
    <s v="ORD00134"/>
    <d v="2024-07-13T00:00:00"/>
    <x v="5"/>
    <s v="2024-07-15"/>
    <s v="CUST1206"/>
    <x v="0"/>
    <x v="2"/>
    <s v="Delhi"/>
    <s v="Mumbai"/>
    <s v="Online"/>
    <x v="0"/>
    <s v="Product-40"/>
    <n v="8"/>
    <n v="1139.22"/>
    <n v="9113.76"/>
    <n v="0.05"/>
    <n v="8658.07"/>
    <n v="7173.86"/>
    <n v="1484.21"/>
    <s v="Debit Card"/>
    <s v="Neha"/>
    <s v="Medium"/>
  </r>
  <r>
    <s v="ORD00137"/>
    <d v="2024-02-25T00:00:00"/>
    <x v="1"/>
    <s v="2024-02-28"/>
    <s v="CUST9412"/>
    <x v="2"/>
    <x v="2"/>
    <s v="Uttar Pradesh"/>
    <s v="Chennai"/>
    <s v="Retail Store"/>
    <x v="0"/>
    <s v="Product-17"/>
    <n v="8"/>
    <n v="3199.82"/>
    <n v="25598.560000000001"/>
    <n v="0"/>
    <n v="25598.560000000001"/>
    <n v="16340.64"/>
    <n v="9257.9200000000019"/>
    <s v="Credit Card"/>
    <s v="Rohit"/>
    <s v="Medium"/>
  </r>
  <r>
    <s v="ORD00138"/>
    <d v="2024-05-13T00:00:00"/>
    <x v="7"/>
    <s v="2024-05-15"/>
    <s v="CUST3657"/>
    <x v="2"/>
    <x v="3"/>
    <s v="Maharashtra"/>
    <s v="Delhi"/>
    <s v="Retail Store"/>
    <x v="1"/>
    <s v="Product-22"/>
    <n v="4"/>
    <n v="702.45"/>
    <n v="2809.8"/>
    <n v="0.1"/>
    <n v="2528.8200000000002"/>
    <n v="1780.06"/>
    <n v="748.76000000000022"/>
    <s v="Credit Card"/>
    <s v="Pooja"/>
    <s v="Low"/>
  </r>
  <r>
    <s v="ORD00139"/>
    <d v="2024-09-26T00:00:00"/>
    <x v="3"/>
    <s v="2024-09-29"/>
    <s v="CUST4576"/>
    <x v="0"/>
    <x v="2"/>
    <s v="Maharashtra"/>
    <s v="Mumbai"/>
    <s v="B2B"/>
    <x v="0"/>
    <s v="Product-46"/>
    <n v="3"/>
    <n v="1516.31"/>
    <n v="4548.93"/>
    <n v="0"/>
    <n v="4548.93"/>
    <n v="3766.49"/>
    <n v="782.44000000000051"/>
    <s v="Credit Card"/>
    <s v="Neha"/>
    <s v="High"/>
  </r>
  <r>
    <s v="ORD00140"/>
    <d v="2024-02-10T00:00:00"/>
    <x v="1"/>
    <s v="2024-02-17"/>
    <s v="CUST3872"/>
    <x v="2"/>
    <x v="2"/>
    <s v="Uttar Pradesh"/>
    <s v="Mumbai"/>
    <s v="B2B"/>
    <x v="2"/>
    <s v="Product-13"/>
    <n v="2"/>
    <n v="3156.91"/>
    <n v="6313.82"/>
    <n v="0.15"/>
    <n v="5366.75"/>
    <n v="4241.45"/>
    <n v="1125.3000000000002"/>
    <s v="UPI"/>
    <s v="Amit"/>
    <s v="High"/>
  </r>
  <r>
    <s v="ORD00141"/>
    <d v="2024-09-23T00:00:00"/>
    <x v="3"/>
    <s v="2024-09-27"/>
    <s v="CUST9077"/>
    <x v="2"/>
    <x v="0"/>
    <s v="Tamil Nadu"/>
    <s v="Chennai"/>
    <s v="Online"/>
    <x v="1"/>
    <s v="Product-18"/>
    <n v="12"/>
    <n v="3240.37"/>
    <n v="38884.44"/>
    <n v="0.1"/>
    <n v="34996"/>
    <n v="23930.43"/>
    <n v="11065.57"/>
    <s v="Credit Card"/>
    <s v="Neha"/>
    <s v="High"/>
  </r>
  <r>
    <s v="ORD00142"/>
    <d v="2024-07-06T00:00:00"/>
    <x v="5"/>
    <s v="2024-07-07"/>
    <s v="CUST8303"/>
    <x v="1"/>
    <x v="0"/>
    <s v="Delhi"/>
    <s v="Bengaluru"/>
    <s v="B2B"/>
    <x v="0"/>
    <s v="Product-21"/>
    <n v="3"/>
    <n v="2577"/>
    <n v="7731"/>
    <n v="0"/>
    <n v="7731"/>
    <n v="5326.96"/>
    <n v="2404.04"/>
    <s v="Net Banking"/>
    <s v="Karan"/>
    <s v="Low"/>
  </r>
  <r>
    <s v="ORD00143"/>
    <d v="2024-05-29T00:00:00"/>
    <x v="7"/>
    <s v="2024-06-05"/>
    <s v="CUST1420"/>
    <x v="1"/>
    <x v="2"/>
    <s v="Delhi"/>
    <s v="Mumbai"/>
    <s v="Online"/>
    <x v="0"/>
    <s v="Product-40"/>
    <n v="2"/>
    <n v="3357.56"/>
    <n v="6715.12"/>
    <n v="0.15"/>
    <n v="5707.85"/>
    <n v="4061.76"/>
    <n v="1646.0900000000001"/>
    <s v="Credit Card"/>
    <s v="Neha"/>
    <s v="Low"/>
  </r>
  <r>
    <s v="ORD00144"/>
    <d v="2024-06-08T00:00:00"/>
    <x v="0"/>
    <s v="2024-06-11"/>
    <s v="CUST4196"/>
    <x v="0"/>
    <x v="0"/>
    <s v="Uttar Pradesh"/>
    <s v="Noida"/>
    <s v="Retail Store"/>
    <x v="1"/>
    <s v="Product-16"/>
    <n v="9"/>
    <n v="2933.18"/>
    <n v="26398.62"/>
    <n v="0"/>
    <n v="26398.62"/>
    <n v="15967.54"/>
    <n v="10431.079999999998"/>
    <s v="Net Banking"/>
    <s v="Amit"/>
    <s v="Medium"/>
  </r>
  <r>
    <s v="ORD00145"/>
    <d v="2024-02-18T00:00:00"/>
    <x v="1"/>
    <s v="2024-02-24"/>
    <s v="CUST9204"/>
    <x v="0"/>
    <x v="0"/>
    <s v="Delhi"/>
    <s v="Delhi"/>
    <s v="Retail Store"/>
    <x v="0"/>
    <s v="Product-35"/>
    <n v="3"/>
    <n v="540.03"/>
    <n v="1620.09"/>
    <n v="0"/>
    <n v="1620.09"/>
    <n v="1160.33"/>
    <n v="459.76"/>
    <s v="Credit Card"/>
    <s v="Neha"/>
    <s v="Low"/>
  </r>
  <r>
    <s v="ORD00146"/>
    <d v="2024-10-20T00:00:00"/>
    <x v="2"/>
    <s v="2024-10-24"/>
    <s v="CUST7369"/>
    <x v="1"/>
    <x v="1"/>
    <s v="Uttar Pradesh"/>
    <s v="Noida"/>
    <s v="B2B"/>
    <x v="0"/>
    <s v="Product-26"/>
    <n v="12"/>
    <n v="1629.5"/>
    <n v="19554"/>
    <n v="0"/>
    <n v="19554"/>
    <n v="16315.76"/>
    <n v="3238.24"/>
    <s v="UPI"/>
    <s v="Rohit"/>
    <s v="Medium"/>
  </r>
  <r>
    <s v="ORD00147"/>
    <d v="2024-07-24T00:00:00"/>
    <x v="5"/>
    <s v="2024-07-26"/>
    <s v="CUST1877"/>
    <x v="0"/>
    <x v="2"/>
    <s v="Karnataka"/>
    <s v="Mumbai"/>
    <s v="Retail Store"/>
    <x v="1"/>
    <s v="Product-41"/>
    <n v="6"/>
    <n v="2618.14"/>
    <n v="15708.84"/>
    <n v="0.1"/>
    <n v="14137.96"/>
    <n v="11363.54"/>
    <n v="2774.4199999999983"/>
    <s v="UPI"/>
    <s v="Rohit"/>
    <s v="Low"/>
  </r>
  <r>
    <s v="ORD00148"/>
    <d v="2024-09-28T00:00:00"/>
    <x v="3"/>
    <s v="2024-09-30"/>
    <s v="CUST1341"/>
    <x v="2"/>
    <x v="2"/>
    <s v="Tamil Nadu"/>
    <s v="Chennai"/>
    <s v="Retail Store"/>
    <x v="1"/>
    <s v="Product-3"/>
    <n v="2"/>
    <n v="1405.49"/>
    <n v="2810.98"/>
    <n v="0.05"/>
    <n v="2670.43"/>
    <n v="1939.25"/>
    <n v="731.17999999999984"/>
    <s v="UPI"/>
    <s v="Amit"/>
    <s v="High"/>
  </r>
  <r>
    <s v="ORD00149"/>
    <d v="2024-11-13T00:00:00"/>
    <x v="4"/>
    <s v="2024-11-16"/>
    <s v="CUST5105"/>
    <x v="2"/>
    <x v="0"/>
    <s v="Tamil Nadu"/>
    <s v="Mumbai"/>
    <s v="Online"/>
    <x v="2"/>
    <s v="Product-8"/>
    <n v="11"/>
    <n v="2332.7600000000002"/>
    <n v="25660.36"/>
    <n v="0"/>
    <n v="25660.36"/>
    <n v="19381.64"/>
    <n v="6278.7200000000012"/>
    <s v="Debit Card"/>
    <s v="Rohit"/>
    <s v="High"/>
  </r>
  <r>
    <s v="ORD00150"/>
    <d v="2024-03-26T00:00:00"/>
    <x v="8"/>
    <s v="2024-03-27"/>
    <s v="CUST9746"/>
    <x v="2"/>
    <x v="1"/>
    <s v="Delhi"/>
    <s v="Noida"/>
    <s v="Online"/>
    <x v="2"/>
    <s v="Product-27"/>
    <n v="1"/>
    <n v="2242.3000000000002"/>
    <n v="2242.3000000000002"/>
    <n v="0.1"/>
    <n v="2018.07"/>
    <n v="1253.46"/>
    <n v="764.6099999999999"/>
    <s v="Debit Card"/>
    <s v="Rohit"/>
    <s v="Low"/>
  </r>
  <r>
    <s v="ORD00151"/>
    <d v="2024-02-14T00:00:00"/>
    <x v="1"/>
    <s v="2024-02-20"/>
    <s v="CUST4630"/>
    <x v="1"/>
    <x v="1"/>
    <s v="Maharashtra"/>
    <s v="Noida"/>
    <s v="B2B"/>
    <x v="2"/>
    <s v="Product-30"/>
    <n v="9"/>
    <n v="1290.22"/>
    <n v="11611.98"/>
    <n v="0.15"/>
    <n v="9870.18"/>
    <n v="7427.19"/>
    <n v="2442.9900000000007"/>
    <s v="Debit Card"/>
    <s v="Karan"/>
    <s v="Medium"/>
  </r>
  <r>
    <s v="ORD00152"/>
    <d v="2024-08-28T00:00:00"/>
    <x v="9"/>
    <s v="2024-09-04"/>
    <s v="CUST9395"/>
    <x v="1"/>
    <x v="1"/>
    <s v="Uttar Pradesh"/>
    <s v="Chennai"/>
    <s v="Online"/>
    <x v="2"/>
    <s v="Product-11"/>
    <n v="5"/>
    <n v="495.98"/>
    <n v="2479.9"/>
    <n v="0.1"/>
    <n v="2231.91"/>
    <n v="1462.78"/>
    <n v="769.12999999999988"/>
    <s v="Credit Card"/>
    <s v="Rohit"/>
    <s v="High"/>
  </r>
  <r>
    <s v="ORD00153"/>
    <d v="2024-06-15T00:00:00"/>
    <x v="0"/>
    <s v="2024-06-19"/>
    <s v="CUST1356"/>
    <x v="2"/>
    <x v="0"/>
    <s v="Uttar Pradesh"/>
    <s v="Bengaluru"/>
    <s v="Retail Store"/>
    <x v="1"/>
    <s v="Product-4"/>
    <n v="5"/>
    <n v="1282.94"/>
    <n v="6414.7"/>
    <n v="0.05"/>
    <n v="6093.96"/>
    <n v="4106.57"/>
    <n v="1987.3900000000003"/>
    <s v="Net Banking"/>
    <s v="Pooja"/>
    <s v="Medium"/>
  </r>
  <r>
    <s v="ORD00154"/>
    <d v="2024-02-25T00:00:00"/>
    <x v="1"/>
    <s v="2024-03-01"/>
    <s v="CUST6774"/>
    <x v="2"/>
    <x v="2"/>
    <s v="Uttar Pradesh"/>
    <s v="Noida"/>
    <s v="Retail Store"/>
    <x v="1"/>
    <s v="Product-7"/>
    <n v="4"/>
    <n v="3466.85"/>
    <n v="13867.4"/>
    <n v="0.05"/>
    <n v="13174.03"/>
    <n v="9276.99"/>
    <n v="3897.0400000000009"/>
    <s v="Net Banking"/>
    <s v="Rohit"/>
    <s v="High"/>
  </r>
  <r>
    <s v="ORD00155"/>
    <d v="2024-11-19T00:00:00"/>
    <x v="4"/>
    <s v="2024-11-25"/>
    <s v="CUST2924"/>
    <x v="0"/>
    <x v="1"/>
    <s v="Uttar Pradesh"/>
    <s v="Mumbai"/>
    <s v="Retail Store"/>
    <x v="2"/>
    <s v="Product-40"/>
    <n v="3"/>
    <n v="1680.4"/>
    <n v="5041.2"/>
    <n v="0"/>
    <n v="5041.2"/>
    <n v="3030.17"/>
    <n v="2011.0299999999997"/>
    <s v="UPI"/>
    <s v="Pooja"/>
    <s v="Medium"/>
  </r>
  <r>
    <s v="ORD00156"/>
    <d v="2024-08-22T00:00:00"/>
    <x v="9"/>
    <s v="2024-08-25"/>
    <s v="CUST7299"/>
    <x v="1"/>
    <x v="3"/>
    <s v="Delhi"/>
    <s v="Chennai"/>
    <s v="Retail Store"/>
    <x v="2"/>
    <s v="Product-20"/>
    <n v="12"/>
    <n v="1493.12"/>
    <n v="17917.439999999999"/>
    <n v="0.1"/>
    <n v="16125.7"/>
    <n v="11250.44"/>
    <n v="4875.26"/>
    <s v="Credit Card"/>
    <s v="Karan"/>
    <s v="Medium"/>
  </r>
  <r>
    <s v="ORD00157"/>
    <d v="2024-03-15T00:00:00"/>
    <x v="8"/>
    <s v="2024-03-19"/>
    <s v="CUST6408"/>
    <x v="0"/>
    <x v="2"/>
    <s v="Karnataka"/>
    <s v="Mumbai"/>
    <s v="Retail Store"/>
    <x v="0"/>
    <s v="Product-2"/>
    <n v="10"/>
    <n v="1568.7"/>
    <n v="15687"/>
    <n v="0.05"/>
    <n v="14902.65"/>
    <n v="9269.19"/>
    <n v="5633.4599999999991"/>
    <s v="UPI"/>
    <s v="Rohit"/>
    <s v="High"/>
  </r>
  <r>
    <s v="ORD00158"/>
    <d v="2024-09-11T00:00:00"/>
    <x v="3"/>
    <s v="2024-09-14"/>
    <s v="CUST9474"/>
    <x v="1"/>
    <x v="1"/>
    <s v="Tamil Nadu"/>
    <s v="Chennai"/>
    <s v="Retail Store"/>
    <x v="0"/>
    <s v="Product-39"/>
    <n v="9"/>
    <n v="2797.79"/>
    <n v="25180.11"/>
    <n v="0.15"/>
    <n v="21403.09"/>
    <n v="15610.6"/>
    <n v="5792.49"/>
    <s v="Debit Card"/>
    <s v="Pooja"/>
    <s v="Low"/>
  </r>
  <r>
    <s v="ORD00159"/>
    <d v="2024-02-04T00:00:00"/>
    <x v="1"/>
    <s v="2024-02-09"/>
    <s v="CUST3526"/>
    <x v="2"/>
    <x v="1"/>
    <s v="Tamil Nadu"/>
    <s v="Chennai"/>
    <s v="Retail Store"/>
    <x v="1"/>
    <s v="Product-38"/>
    <n v="4"/>
    <n v="706.8"/>
    <n v="2827.2"/>
    <n v="0.1"/>
    <n v="2544.48"/>
    <n v="1845.33"/>
    <n v="699.15000000000009"/>
    <s v="Debit Card"/>
    <s v="Karan"/>
    <s v="High"/>
  </r>
  <r>
    <s v="ORD00160"/>
    <d v="2024-02-17T00:00:00"/>
    <x v="1"/>
    <s v="2024-02-19"/>
    <s v="CUST9398"/>
    <x v="2"/>
    <x v="0"/>
    <s v="Karnataka"/>
    <s v="Bengaluru"/>
    <s v="B2B"/>
    <x v="2"/>
    <s v="Product-41"/>
    <n v="6"/>
    <n v="1386.04"/>
    <n v="8316.24"/>
    <n v="0"/>
    <n v="8316.24"/>
    <n v="6707.11"/>
    <n v="1609.13"/>
    <s v="Credit Card"/>
    <s v="Karan"/>
    <s v="Medium"/>
  </r>
  <r>
    <s v="ORD00161"/>
    <d v="2024-09-18T00:00:00"/>
    <x v="3"/>
    <s v="2024-09-20"/>
    <s v="CUST2746"/>
    <x v="0"/>
    <x v="0"/>
    <s v="Tamil Nadu"/>
    <s v="Delhi"/>
    <s v="Online"/>
    <x v="2"/>
    <s v="Product-46"/>
    <n v="9"/>
    <n v="3168.74"/>
    <n v="28518.66"/>
    <n v="0.15"/>
    <n v="24240.86"/>
    <n v="15649.96"/>
    <n v="8590.9000000000015"/>
    <s v="UPI"/>
    <s v="Rohit"/>
    <s v="Medium"/>
  </r>
  <r>
    <s v="ORD00162"/>
    <d v="2024-02-20T00:00:00"/>
    <x v="1"/>
    <s v="2024-02-25"/>
    <s v="CUST5358"/>
    <x v="1"/>
    <x v="2"/>
    <s v="Uttar Pradesh"/>
    <s v="Mumbai"/>
    <s v="Retail Store"/>
    <x v="1"/>
    <s v="Product-8"/>
    <n v="1"/>
    <n v="2471.13"/>
    <n v="2471.13"/>
    <n v="0.05"/>
    <n v="2347.5700000000002"/>
    <n v="1511.36"/>
    <n v="836.21000000000026"/>
    <s v="Credit Card"/>
    <s v="Neha"/>
    <s v="High"/>
  </r>
  <r>
    <s v="ORD00163"/>
    <d v="2024-09-17T00:00:00"/>
    <x v="3"/>
    <s v="2024-09-18"/>
    <s v="CUST9035"/>
    <x v="0"/>
    <x v="1"/>
    <s v="Delhi"/>
    <s v="Delhi"/>
    <s v="B2B"/>
    <x v="1"/>
    <s v="Product-21"/>
    <n v="1"/>
    <n v="710.32"/>
    <n v="710.32"/>
    <n v="0.05"/>
    <n v="674.8"/>
    <n v="564.78"/>
    <n v="110.01999999999998"/>
    <s v="Credit Card"/>
    <s v="Neha"/>
    <s v="Medium"/>
  </r>
  <r>
    <s v="ORD00164"/>
    <d v="2024-05-21T00:00:00"/>
    <x v="7"/>
    <s v="2024-05-23"/>
    <s v="CUST2032"/>
    <x v="0"/>
    <x v="2"/>
    <s v="Tamil Nadu"/>
    <s v="Noida"/>
    <s v="Retail Store"/>
    <x v="0"/>
    <s v="Product-4"/>
    <n v="1"/>
    <n v="1226.49"/>
    <n v="1226.49"/>
    <n v="0"/>
    <n v="1226.49"/>
    <n v="999.38"/>
    <n v="227.11"/>
    <s v="Credit Card"/>
    <s v="Pooja"/>
    <s v="High"/>
  </r>
  <r>
    <s v="ORD00165"/>
    <d v="2024-01-23T00:00:00"/>
    <x v="10"/>
    <s v="2024-01-27"/>
    <s v="CUST3611"/>
    <x v="1"/>
    <x v="2"/>
    <s v="Karnataka"/>
    <s v="Delhi"/>
    <s v="Retail Store"/>
    <x v="2"/>
    <s v="Product-27"/>
    <n v="1"/>
    <n v="2322.5500000000002"/>
    <n v="2322.5500000000002"/>
    <n v="0.05"/>
    <n v="2206.42"/>
    <n v="1446.8"/>
    <n v="759.62000000000012"/>
    <s v="Debit Card"/>
    <s v="Pooja"/>
    <s v="Low"/>
  </r>
  <r>
    <s v="ORD00166"/>
    <d v="2024-05-04T00:00:00"/>
    <x v="7"/>
    <s v="2024-05-10"/>
    <s v="CUST7530"/>
    <x v="1"/>
    <x v="1"/>
    <s v="Delhi"/>
    <s v="Mumbai"/>
    <s v="Online"/>
    <x v="0"/>
    <s v="Product-11"/>
    <n v="7"/>
    <n v="2492.2199999999998"/>
    <n v="17445.54"/>
    <n v="0.05"/>
    <n v="16573.259999999998"/>
    <n v="11657.2"/>
    <n v="4916.0599999999977"/>
    <s v="Debit Card"/>
    <s v="Pooja"/>
    <s v="Low"/>
  </r>
  <r>
    <s v="ORD00167"/>
    <d v="2024-01-04T00:00:00"/>
    <x v="10"/>
    <s v="2024-01-07"/>
    <s v="CUST7317"/>
    <x v="0"/>
    <x v="1"/>
    <s v="Delhi"/>
    <s v="Delhi"/>
    <s v="Retail Store"/>
    <x v="2"/>
    <s v="Product-36"/>
    <n v="7"/>
    <n v="2140.7600000000002"/>
    <n v="14985.32"/>
    <n v="0"/>
    <n v="14985.32"/>
    <n v="10246.27"/>
    <n v="4739.0499999999993"/>
    <s v="Credit Card"/>
    <s v="Pooja"/>
    <s v="Low"/>
  </r>
  <r>
    <s v="ORD00168"/>
    <d v="2024-08-27T00:00:00"/>
    <x v="9"/>
    <s v="2024-08-30"/>
    <s v="CUST1414"/>
    <x v="0"/>
    <x v="2"/>
    <s v="Maharashtra"/>
    <s v="Mumbai"/>
    <s v="Online"/>
    <x v="0"/>
    <s v="Product-18"/>
    <n v="6"/>
    <n v="1135.24"/>
    <n v="6811.44"/>
    <n v="0"/>
    <n v="6811.44"/>
    <n v="4562.1899999999996"/>
    <n v="2249.25"/>
    <s v="Credit Card"/>
    <s v="Karan"/>
    <s v="Medium"/>
  </r>
  <r>
    <s v="ORD00169"/>
    <d v="2024-08-27T00:00:00"/>
    <x v="9"/>
    <s v="2024-09-03"/>
    <s v="CUST7638"/>
    <x v="0"/>
    <x v="2"/>
    <s v="Karnataka"/>
    <s v="Chennai"/>
    <s v="B2B"/>
    <x v="0"/>
    <s v="Product-15"/>
    <n v="4"/>
    <n v="893.59"/>
    <n v="3574.36"/>
    <n v="0.1"/>
    <n v="3216.92"/>
    <n v="2104.25"/>
    <n v="1112.67"/>
    <s v="Net Banking"/>
    <s v="Neha"/>
    <s v="High"/>
  </r>
  <r>
    <s v="ORD00170"/>
    <d v="2024-05-13T00:00:00"/>
    <x v="7"/>
    <s v="2024-05-18"/>
    <s v="CUST7621"/>
    <x v="1"/>
    <x v="2"/>
    <s v="Maharashtra"/>
    <s v="Delhi"/>
    <s v="B2B"/>
    <x v="1"/>
    <s v="Product-6"/>
    <n v="8"/>
    <n v="2221.4499999999998"/>
    <n v="17771.599999999999"/>
    <n v="0.1"/>
    <n v="15994.44"/>
    <n v="11734.57"/>
    <n v="4259.8700000000008"/>
    <s v="Debit Card"/>
    <s v="Pooja"/>
    <s v="Low"/>
  </r>
  <r>
    <s v="ORD00171"/>
    <d v="2024-10-17T00:00:00"/>
    <x v="2"/>
    <s v="2024-10-19"/>
    <s v="CUST4793"/>
    <x v="0"/>
    <x v="2"/>
    <s v="Delhi"/>
    <s v="Delhi"/>
    <s v="B2B"/>
    <x v="2"/>
    <s v="Product-33"/>
    <n v="5"/>
    <n v="446.5"/>
    <n v="2232.5"/>
    <n v="0"/>
    <n v="2232.5"/>
    <n v="1727.21"/>
    <n v="505.28999999999996"/>
    <s v="Debit Card"/>
    <s v="Neha"/>
    <s v="Low"/>
  </r>
  <r>
    <s v="ORD00172"/>
    <d v="2024-06-08T00:00:00"/>
    <x v="0"/>
    <s v="2024-06-09"/>
    <s v="CUST7608"/>
    <x v="0"/>
    <x v="2"/>
    <s v="Karnataka"/>
    <s v="Mumbai"/>
    <s v="Online"/>
    <x v="2"/>
    <s v="Product-44"/>
    <n v="4"/>
    <n v="1294.56"/>
    <n v="5178.24"/>
    <n v="0.15"/>
    <n v="4401.5"/>
    <n v="2951.61"/>
    <n v="1449.8899999999999"/>
    <s v="Debit Card"/>
    <s v="Pooja"/>
    <s v="Low"/>
  </r>
  <r>
    <s v="ORD00173"/>
    <d v="2024-08-24T00:00:00"/>
    <x v="9"/>
    <s v="2024-08-26"/>
    <s v="CUST2887"/>
    <x v="0"/>
    <x v="2"/>
    <s v="Delhi"/>
    <s v="Chennai"/>
    <s v="Online"/>
    <x v="1"/>
    <s v="Product-11"/>
    <n v="7"/>
    <n v="1491.55"/>
    <n v="10440.85"/>
    <n v="0"/>
    <n v="10440.85"/>
    <n v="6738.67"/>
    <n v="3702.1800000000003"/>
    <s v="Net Banking"/>
    <s v="Neha"/>
    <s v="Medium"/>
  </r>
  <r>
    <s v="ORD00174"/>
    <d v="2024-03-20T00:00:00"/>
    <x v="8"/>
    <s v="2024-03-24"/>
    <s v="CUST3943"/>
    <x v="1"/>
    <x v="2"/>
    <s v="Uttar Pradesh"/>
    <s v="Chennai"/>
    <s v="B2B"/>
    <x v="1"/>
    <s v="Product-17"/>
    <n v="12"/>
    <n v="521.62"/>
    <n v="6259.44"/>
    <n v="0.1"/>
    <n v="5633.5"/>
    <n v="4266.6099999999997"/>
    <n v="1366.8900000000003"/>
    <s v="Net Banking"/>
    <s v="Karan"/>
    <s v="Medium"/>
  </r>
  <r>
    <s v="ORD00175"/>
    <d v="2024-01-01T00:00:00"/>
    <x v="10"/>
    <s v="2024-01-02"/>
    <s v="CUST1775"/>
    <x v="2"/>
    <x v="0"/>
    <s v="Delhi"/>
    <s v="Bengaluru"/>
    <s v="Online"/>
    <x v="2"/>
    <s v="Product-48"/>
    <n v="11"/>
    <n v="1287.6400000000001"/>
    <n v="14164.04"/>
    <n v="0"/>
    <n v="14164.04"/>
    <n v="11597.21"/>
    <n v="2566.8300000000017"/>
    <s v="UPI"/>
    <s v="Pooja"/>
    <s v="High"/>
  </r>
  <r>
    <s v="ORD00176"/>
    <d v="2024-07-20T00:00:00"/>
    <x v="5"/>
    <s v="2024-07-26"/>
    <s v="CUST6718"/>
    <x v="0"/>
    <x v="1"/>
    <s v="Karnataka"/>
    <s v="Noida"/>
    <s v="B2B"/>
    <x v="1"/>
    <s v="Product-41"/>
    <n v="10"/>
    <n v="2969.1"/>
    <n v="29691"/>
    <n v="0.1"/>
    <n v="26721.9"/>
    <n v="19555.919999999998"/>
    <n v="7165.9800000000032"/>
    <s v="Net Banking"/>
    <s v="Karan"/>
    <s v="Low"/>
  </r>
  <r>
    <s v="ORD00177"/>
    <d v="2024-04-15T00:00:00"/>
    <x v="6"/>
    <s v="2024-04-19"/>
    <s v="CUST4101"/>
    <x v="2"/>
    <x v="3"/>
    <s v="Maharashtra"/>
    <s v="Noida"/>
    <s v="Online"/>
    <x v="1"/>
    <s v="Product-16"/>
    <n v="11"/>
    <n v="1986.83"/>
    <n v="21855.13"/>
    <n v="0.05"/>
    <n v="20762.37"/>
    <n v="14998.27"/>
    <n v="5764.0999999999985"/>
    <s v="Debit Card"/>
    <s v="Neha"/>
    <s v="Low"/>
  </r>
  <r>
    <s v="ORD00178"/>
    <d v="2024-03-27T00:00:00"/>
    <x v="8"/>
    <s v="2024-03-30"/>
    <s v="CUST3247"/>
    <x v="2"/>
    <x v="1"/>
    <s v="Tamil Nadu"/>
    <s v="Mumbai"/>
    <s v="B2B"/>
    <x v="0"/>
    <s v="Product-1"/>
    <n v="6"/>
    <n v="1676.08"/>
    <n v="10056.48"/>
    <n v="0.05"/>
    <n v="9553.66"/>
    <n v="7252.44"/>
    <n v="2301.2200000000003"/>
    <s v="Net Banking"/>
    <s v="Neha"/>
    <s v="High"/>
  </r>
  <r>
    <s v="ORD00179"/>
    <d v="2024-06-28T00:00:00"/>
    <x v="0"/>
    <s v="2024-07-04"/>
    <s v="CUST4944"/>
    <x v="0"/>
    <x v="0"/>
    <s v="Uttar Pradesh"/>
    <s v="Chennai"/>
    <s v="Online"/>
    <x v="1"/>
    <s v="Product-43"/>
    <n v="5"/>
    <n v="813.54"/>
    <n v="4067.7"/>
    <n v="0.05"/>
    <n v="3864.31"/>
    <n v="2886.21"/>
    <n v="978.09999999999991"/>
    <s v="Credit Card"/>
    <s v="Karan"/>
    <s v="Medium"/>
  </r>
  <r>
    <s v="ORD00180"/>
    <d v="2024-07-26T00:00:00"/>
    <x v="5"/>
    <s v="2024-08-02"/>
    <s v="CUST8972"/>
    <x v="2"/>
    <x v="0"/>
    <s v="Delhi"/>
    <s v="Bengaluru"/>
    <s v="Retail Store"/>
    <x v="0"/>
    <s v="Product-8"/>
    <n v="4"/>
    <n v="754.88"/>
    <n v="3019.52"/>
    <n v="0.1"/>
    <n v="2717.57"/>
    <n v="1638.95"/>
    <n v="1078.6200000000001"/>
    <s v="Debit Card"/>
    <s v="Pooja"/>
    <s v="Low"/>
  </r>
  <r>
    <s v="ORD00181"/>
    <d v="2024-03-23T00:00:00"/>
    <x v="8"/>
    <s v="2024-03-26"/>
    <s v="CUST2176"/>
    <x v="2"/>
    <x v="0"/>
    <s v="Tamil Nadu"/>
    <s v="Chennai"/>
    <s v="Online"/>
    <x v="1"/>
    <s v="Product-46"/>
    <n v="8"/>
    <n v="1852.84"/>
    <n v="14822.72"/>
    <n v="0.1"/>
    <n v="13340.45"/>
    <n v="8969.7999999999993"/>
    <n v="4370.6500000000015"/>
    <s v="Debit Card"/>
    <s v="Karan"/>
    <s v="Medium"/>
  </r>
  <r>
    <s v="ORD00182"/>
    <d v="2024-02-25T00:00:00"/>
    <x v="1"/>
    <s v="2024-03-02"/>
    <s v="CUST9897"/>
    <x v="0"/>
    <x v="0"/>
    <s v="Karnataka"/>
    <s v="Delhi"/>
    <s v="B2B"/>
    <x v="2"/>
    <s v="Product-41"/>
    <n v="8"/>
    <n v="3365.87"/>
    <n v="26926.959999999999"/>
    <n v="0.15"/>
    <n v="22887.919999999998"/>
    <n v="14818.83"/>
    <n v="8069.0899999999983"/>
    <s v="Debit Card"/>
    <s v="Neha"/>
    <s v="Low"/>
  </r>
  <r>
    <s v="ORD00183"/>
    <d v="2024-03-11T00:00:00"/>
    <x v="8"/>
    <s v="2024-03-17"/>
    <s v="CUST5854"/>
    <x v="0"/>
    <x v="2"/>
    <s v="Uttar Pradesh"/>
    <s v="Mumbai"/>
    <s v="Online"/>
    <x v="1"/>
    <s v="Product-20"/>
    <n v="1"/>
    <n v="478.41"/>
    <n v="478.41"/>
    <n v="0.15"/>
    <n v="406.65"/>
    <n v="329.34"/>
    <n v="77.31"/>
    <s v="Debit Card"/>
    <s v="Pooja"/>
    <s v="Low"/>
  </r>
  <r>
    <s v="ORD00184"/>
    <d v="2024-07-01T00:00:00"/>
    <x v="5"/>
    <s v="2024-07-04"/>
    <s v="CUST5154"/>
    <x v="2"/>
    <x v="0"/>
    <s v="Delhi"/>
    <s v="Delhi"/>
    <s v="B2B"/>
    <x v="1"/>
    <s v="Product-46"/>
    <n v="4"/>
    <n v="1542.43"/>
    <n v="6169.72"/>
    <n v="0.1"/>
    <n v="5552.75"/>
    <n v="4494.7"/>
    <n v="1058.0500000000002"/>
    <s v="Net Banking"/>
    <s v="Amit"/>
    <s v="Low"/>
  </r>
  <r>
    <s v="ORD00185"/>
    <d v="2024-09-10T00:00:00"/>
    <x v="3"/>
    <s v="2024-09-14"/>
    <s v="CUST2314"/>
    <x v="2"/>
    <x v="2"/>
    <s v="Maharashtra"/>
    <s v="Mumbai"/>
    <s v="Retail Store"/>
    <x v="1"/>
    <s v="Product-26"/>
    <n v="8"/>
    <n v="2665.36"/>
    <n v="21322.880000000001"/>
    <n v="0.1"/>
    <n v="19190.59"/>
    <n v="14405.54"/>
    <n v="4785.0499999999993"/>
    <s v="UPI"/>
    <s v="Amit"/>
    <s v="Medium"/>
  </r>
  <r>
    <s v="ORD00186"/>
    <d v="2024-09-02T00:00:00"/>
    <x v="3"/>
    <s v="2024-09-04"/>
    <s v="CUST9376"/>
    <x v="0"/>
    <x v="2"/>
    <s v="Karnataka"/>
    <s v="Delhi"/>
    <s v="B2B"/>
    <x v="0"/>
    <s v="Product-33"/>
    <n v="4"/>
    <n v="2641.15"/>
    <n v="10564.6"/>
    <n v="0"/>
    <n v="10564.6"/>
    <n v="6423.33"/>
    <n v="4141.2700000000004"/>
    <s v="Net Banking"/>
    <s v="Rohit"/>
    <s v="Low"/>
  </r>
  <r>
    <s v="ORD00187"/>
    <d v="2024-08-12T00:00:00"/>
    <x v="9"/>
    <s v="2024-08-13"/>
    <s v="CUST3694"/>
    <x v="0"/>
    <x v="3"/>
    <s v="Delhi"/>
    <s v="Chennai"/>
    <s v="B2B"/>
    <x v="1"/>
    <s v="Product-23"/>
    <n v="11"/>
    <n v="3363.62"/>
    <n v="36999.82"/>
    <n v="0.05"/>
    <n v="35149.83"/>
    <n v="29033.75"/>
    <n v="6116.0800000000017"/>
    <s v="Credit Card"/>
    <s v="Pooja"/>
    <s v="Low"/>
  </r>
  <r>
    <s v="ORD00188"/>
    <d v="2024-10-04T00:00:00"/>
    <x v="2"/>
    <s v="2024-10-07"/>
    <s v="CUST2334"/>
    <x v="2"/>
    <x v="3"/>
    <s v="Uttar Pradesh"/>
    <s v="Bengaluru"/>
    <s v="B2B"/>
    <x v="1"/>
    <s v="Product-27"/>
    <n v="9"/>
    <n v="1827.47"/>
    <n v="16447.23"/>
    <n v="0.05"/>
    <n v="15624.87"/>
    <n v="13181.02"/>
    <n v="2443.8500000000004"/>
    <s v="Debit Card"/>
    <s v="Pooja"/>
    <s v="High"/>
  </r>
  <r>
    <s v="ORD00189"/>
    <d v="2024-03-11T00:00:00"/>
    <x v="8"/>
    <s v="2024-03-14"/>
    <s v="CUST4645"/>
    <x v="1"/>
    <x v="1"/>
    <s v="Delhi"/>
    <s v="Mumbai"/>
    <s v="B2B"/>
    <x v="1"/>
    <s v="Product-24"/>
    <n v="6"/>
    <n v="2044.25"/>
    <n v="12265.5"/>
    <n v="0"/>
    <n v="12265.5"/>
    <n v="9959.92"/>
    <n v="2305.58"/>
    <s v="Net Banking"/>
    <s v="Rohit"/>
    <s v="High"/>
  </r>
  <r>
    <s v="ORD00190"/>
    <d v="2024-05-03T00:00:00"/>
    <x v="7"/>
    <s v="2024-05-08"/>
    <s v="CUST4323"/>
    <x v="1"/>
    <x v="0"/>
    <s v="Maharashtra"/>
    <s v="Bengaluru"/>
    <s v="B2B"/>
    <x v="0"/>
    <s v="Product-13"/>
    <n v="8"/>
    <n v="1628.66"/>
    <n v="13029.28"/>
    <n v="0"/>
    <n v="13029.28"/>
    <n v="8557.7800000000007"/>
    <n v="4471.5"/>
    <s v="Debit Card"/>
    <s v="Pooja"/>
    <s v="Low"/>
  </r>
  <r>
    <s v="ORD00191"/>
    <d v="2024-10-10T00:00:00"/>
    <x v="2"/>
    <s v="2024-10-14"/>
    <s v="CUST2314"/>
    <x v="0"/>
    <x v="0"/>
    <s v="Tamil Nadu"/>
    <s v="Mumbai"/>
    <s v="B2B"/>
    <x v="1"/>
    <s v="Product-33"/>
    <n v="4"/>
    <n v="2077.8000000000002"/>
    <n v="8311.2000000000007"/>
    <n v="0"/>
    <n v="8311.2000000000007"/>
    <n v="6515.12"/>
    <n v="1796.0800000000008"/>
    <s v="UPI"/>
    <s v="Karan"/>
    <s v="Low"/>
  </r>
  <r>
    <s v="ORD00192"/>
    <d v="2024-08-23T00:00:00"/>
    <x v="9"/>
    <s v="2024-08-30"/>
    <s v="CUST4139"/>
    <x v="1"/>
    <x v="1"/>
    <s v="Delhi"/>
    <s v="Mumbai"/>
    <s v="Retail Store"/>
    <x v="1"/>
    <s v="Product-4"/>
    <n v="11"/>
    <n v="1615.08"/>
    <n v="17765.88"/>
    <n v="0.05"/>
    <n v="16877.59"/>
    <n v="14210.76"/>
    <n v="2666.83"/>
    <s v="Net Banking"/>
    <s v="Neha"/>
    <s v="Low"/>
  </r>
  <r>
    <s v="ORD00193"/>
    <d v="2024-07-09T00:00:00"/>
    <x v="5"/>
    <s v="2024-07-10"/>
    <s v="CUST2974"/>
    <x v="1"/>
    <x v="2"/>
    <s v="Tamil Nadu"/>
    <s v="Delhi"/>
    <s v="B2B"/>
    <x v="0"/>
    <s v="Product-37"/>
    <n v="1"/>
    <n v="2575.9899999999998"/>
    <n v="2575.9899999999998"/>
    <n v="0.05"/>
    <n v="2447.19"/>
    <n v="1749.56"/>
    <n v="697.63000000000011"/>
    <s v="UPI"/>
    <s v="Rohit"/>
    <s v="Low"/>
  </r>
  <r>
    <s v="ORD00194"/>
    <d v="2024-07-06T00:00:00"/>
    <x v="5"/>
    <s v="2024-07-12"/>
    <s v="CUST3010"/>
    <x v="2"/>
    <x v="3"/>
    <s v="Uttar Pradesh"/>
    <s v="Noida"/>
    <s v="Retail Store"/>
    <x v="1"/>
    <s v="Product-32"/>
    <n v="6"/>
    <n v="2892.74"/>
    <n v="17356.439999999999"/>
    <n v="0"/>
    <n v="17356.439999999999"/>
    <n v="13996.37"/>
    <n v="3360.0699999999979"/>
    <s v="UPI"/>
    <s v="Karan"/>
    <s v="Medium"/>
  </r>
  <r>
    <s v="ORD00195"/>
    <d v="2024-02-21T00:00:00"/>
    <x v="1"/>
    <s v="2024-02-24"/>
    <s v="CUST4972"/>
    <x v="0"/>
    <x v="3"/>
    <s v="Maharashtra"/>
    <s v="Chennai"/>
    <s v="Online"/>
    <x v="1"/>
    <s v="Product-29"/>
    <n v="9"/>
    <n v="1414.82"/>
    <n v="12733.38"/>
    <n v="0"/>
    <n v="12733.38"/>
    <n v="7748.73"/>
    <n v="4984.6499999999996"/>
    <s v="UPI"/>
    <s v="Amit"/>
    <s v="Medium"/>
  </r>
  <r>
    <s v="ORD00196"/>
    <d v="2024-02-26T00:00:00"/>
    <x v="1"/>
    <s v="2024-02-27"/>
    <s v="CUST7239"/>
    <x v="2"/>
    <x v="3"/>
    <s v="Uttar Pradesh"/>
    <s v="Bengaluru"/>
    <s v="Retail Store"/>
    <x v="0"/>
    <s v="Product-2"/>
    <n v="5"/>
    <n v="974.33"/>
    <n v="4871.6499999999996"/>
    <n v="0.1"/>
    <n v="4384.4799999999996"/>
    <n v="3588.42"/>
    <n v="796.05999999999949"/>
    <s v="Debit Card"/>
    <s v="Neha"/>
    <s v="Medium"/>
  </r>
  <r>
    <s v="ORD00197"/>
    <d v="2024-09-13T00:00:00"/>
    <x v="3"/>
    <s v="2024-09-17"/>
    <s v="CUST7431"/>
    <x v="0"/>
    <x v="2"/>
    <s v="Tamil Nadu"/>
    <s v="Chennai"/>
    <s v="Online"/>
    <x v="1"/>
    <s v="Product-34"/>
    <n v="1"/>
    <n v="2881.41"/>
    <n v="2881.41"/>
    <n v="0"/>
    <n v="2881.41"/>
    <n v="1782.59"/>
    <n v="1098.82"/>
    <s v="UPI"/>
    <s v="Rohit"/>
    <s v="Medium"/>
  </r>
  <r>
    <s v="ORD00198"/>
    <d v="2024-09-27T00:00:00"/>
    <x v="3"/>
    <s v="2024-09-29"/>
    <s v="CUST6914"/>
    <x v="1"/>
    <x v="1"/>
    <s v="Karnataka"/>
    <s v="Noida"/>
    <s v="Retail Store"/>
    <x v="2"/>
    <s v="Product-23"/>
    <n v="5"/>
    <n v="3171.35"/>
    <n v="15856.75"/>
    <n v="0"/>
    <n v="15856.75"/>
    <n v="10352"/>
    <n v="5504.75"/>
    <s v="Debit Card"/>
    <s v="Amit"/>
    <s v="Medium"/>
  </r>
  <r>
    <s v="ORD00199"/>
    <d v="2024-10-23T00:00:00"/>
    <x v="2"/>
    <s v="2024-10-27"/>
    <s v="CUST1743"/>
    <x v="1"/>
    <x v="2"/>
    <s v="Maharashtra"/>
    <s v="Bengaluru"/>
    <s v="Retail Store"/>
    <x v="2"/>
    <s v="Product-5"/>
    <n v="6"/>
    <n v="1102.51"/>
    <n v="6615.06"/>
    <n v="0.05"/>
    <n v="6284.31"/>
    <n v="4492.3500000000004"/>
    <n v="1791.96"/>
    <s v="Debit Card"/>
    <s v="Rohit"/>
    <s v="High"/>
  </r>
  <r>
    <s v="ORD00200"/>
    <d v="2024-10-20T00:00:00"/>
    <x v="2"/>
    <s v="2024-10-25"/>
    <s v="CUST2560"/>
    <x v="2"/>
    <x v="1"/>
    <s v="Uttar Pradesh"/>
    <s v="Delhi"/>
    <s v="Retail Store"/>
    <x v="2"/>
    <s v="Product-16"/>
    <n v="10"/>
    <n v="3366.58"/>
    <n v="33665.800000000003"/>
    <n v="0"/>
    <n v="33665.800000000003"/>
    <n v="27900.99"/>
    <n v="5764.8100000000013"/>
    <s v="Credit Card"/>
    <s v="Amit"/>
    <s v="Medium"/>
  </r>
  <r>
    <s v="ORD00201"/>
    <d v="2024-06-23T00:00:00"/>
    <x v="0"/>
    <s v="2024-06-29"/>
    <s v="CUST7651"/>
    <x v="0"/>
    <x v="0"/>
    <s v="Karnataka"/>
    <s v="Bengaluru"/>
    <s v="Retail Store"/>
    <x v="1"/>
    <s v="Product-24"/>
    <n v="6"/>
    <n v="1977.61"/>
    <n v="11865.66"/>
    <n v="0.05"/>
    <n v="11272.38"/>
    <n v="7750.97"/>
    <n v="3521.4099999999989"/>
    <s v="Credit Card"/>
    <s v="Neha"/>
    <s v="Medium"/>
  </r>
  <r>
    <s v="ORD00202"/>
    <d v="2024-03-18T00:00:00"/>
    <x v="8"/>
    <s v="2024-03-20"/>
    <s v="CUST7489"/>
    <x v="1"/>
    <x v="3"/>
    <s v="Maharashtra"/>
    <s v="Noida"/>
    <s v="Online"/>
    <x v="0"/>
    <s v="Product-20"/>
    <n v="4"/>
    <n v="422.42"/>
    <n v="1689.68"/>
    <n v="0.15"/>
    <n v="1436.23"/>
    <n v="1007.15"/>
    <n v="429.08000000000004"/>
    <s v="Debit Card"/>
    <s v="Rohit"/>
    <s v="High"/>
  </r>
  <r>
    <s v="ORD00203"/>
    <d v="2024-10-19T00:00:00"/>
    <x v="2"/>
    <s v="2024-10-24"/>
    <s v="CUST4116"/>
    <x v="1"/>
    <x v="0"/>
    <s v="Uttar Pradesh"/>
    <s v="Mumbai"/>
    <s v="Retail Store"/>
    <x v="1"/>
    <s v="Product-23"/>
    <n v="11"/>
    <n v="3306.03"/>
    <n v="36366.33"/>
    <n v="0.1"/>
    <n v="32729.7"/>
    <n v="20239.23"/>
    <n v="12490.470000000001"/>
    <s v="Net Banking"/>
    <s v="Rohit"/>
    <s v="High"/>
  </r>
  <r>
    <s v="ORD00204"/>
    <d v="2024-08-07T00:00:00"/>
    <x v="9"/>
    <s v="2024-08-13"/>
    <s v="CUST5519"/>
    <x v="0"/>
    <x v="0"/>
    <s v="Maharashtra"/>
    <s v="Bengaluru"/>
    <s v="Online"/>
    <x v="1"/>
    <s v="Product-2"/>
    <n v="2"/>
    <n v="2999.62"/>
    <n v="5999.24"/>
    <n v="0.1"/>
    <n v="5399.32"/>
    <n v="4453.2299999999996"/>
    <n v="946.09000000000015"/>
    <s v="Credit Card"/>
    <s v="Amit"/>
    <s v="Medium"/>
  </r>
  <r>
    <s v="ORD00205"/>
    <d v="2024-08-17T00:00:00"/>
    <x v="9"/>
    <s v="2024-08-19"/>
    <s v="CUST1930"/>
    <x v="2"/>
    <x v="0"/>
    <s v="Delhi"/>
    <s v="Delhi"/>
    <s v="B2B"/>
    <x v="2"/>
    <s v="Product-47"/>
    <n v="10"/>
    <n v="1276.17"/>
    <n v="12761.7"/>
    <n v="0"/>
    <n v="12761.7"/>
    <n v="8284.61"/>
    <n v="4477.09"/>
    <s v="Credit Card"/>
    <s v="Amit"/>
    <s v="Low"/>
  </r>
  <r>
    <s v="ORD00206"/>
    <d v="2024-05-18T00:00:00"/>
    <x v="7"/>
    <s v="2024-05-23"/>
    <s v="CUST4477"/>
    <x v="0"/>
    <x v="3"/>
    <s v="Delhi"/>
    <s v="Chennai"/>
    <s v="Retail Store"/>
    <x v="1"/>
    <s v="Product-44"/>
    <n v="11"/>
    <n v="3113.87"/>
    <n v="34252.57"/>
    <n v="0.1"/>
    <n v="30827.31"/>
    <n v="25608.92"/>
    <n v="5218.3900000000031"/>
    <s v="Debit Card"/>
    <s v="Neha"/>
    <s v="Low"/>
  </r>
  <r>
    <s v="ORD00207"/>
    <d v="2024-07-31T00:00:00"/>
    <x v="5"/>
    <s v="2024-08-07"/>
    <s v="CUST7546"/>
    <x v="0"/>
    <x v="1"/>
    <s v="Delhi"/>
    <s v="Delhi"/>
    <s v="Retail Store"/>
    <x v="1"/>
    <s v="Product-42"/>
    <n v="1"/>
    <n v="670.31"/>
    <n v="670.31"/>
    <n v="0.1"/>
    <n v="603.28"/>
    <n v="479"/>
    <n v="124.27999999999997"/>
    <s v="Debit Card"/>
    <s v="Amit"/>
    <s v="Medium"/>
  </r>
  <r>
    <s v="ORD00208"/>
    <d v="2024-11-10T00:00:00"/>
    <x v="4"/>
    <s v="2024-11-16"/>
    <s v="CUST3559"/>
    <x v="2"/>
    <x v="2"/>
    <s v="Uttar Pradesh"/>
    <s v="Delhi"/>
    <s v="Retail Store"/>
    <x v="2"/>
    <s v="Product-28"/>
    <n v="12"/>
    <n v="2988.26"/>
    <n v="35859.120000000003"/>
    <n v="0.05"/>
    <n v="34066.160000000003"/>
    <n v="21235.56"/>
    <n v="12830.600000000002"/>
    <s v="Debit Card"/>
    <s v="Karan"/>
    <s v="High"/>
  </r>
  <r>
    <s v="ORD00209"/>
    <d v="2024-10-28T00:00:00"/>
    <x v="2"/>
    <s v="2024-11-04"/>
    <s v="CUST5224"/>
    <x v="1"/>
    <x v="1"/>
    <s v="Delhi"/>
    <s v="Bengaluru"/>
    <s v="B2B"/>
    <x v="1"/>
    <s v="Product-46"/>
    <n v="9"/>
    <n v="875.57"/>
    <n v="7880.13"/>
    <n v="0.1"/>
    <n v="7092.12"/>
    <n v="4663.07"/>
    <n v="2429.0500000000002"/>
    <s v="Net Banking"/>
    <s v="Karan"/>
    <s v="Medium"/>
  </r>
  <r>
    <s v="ORD00210"/>
    <d v="2024-07-04T00:00:00"/>
    <x v="5"/>
    <s v="2024-07-09"/>
    <s v="CUST8794"/>
    <x v="2"/>
    <x v="3"/>
    <s v="Maharashtra"/>
    <s v="Mumbai"/>
    <s v="Retail Store"/>
    <x v="0"/>
    <s v="Product-2"/>
    <n v="9"/>
    <n v="3316.91"/>
    <n v="29852.19"/>
    <n v="0.05"/>
    <n v="28359.58"/>
    <n v="18808.89"/>
    <n v="9550.6900000000023"/>
    <s v="Credit Card"/>
    <s v="Amit"/>
    <s v="Low"/>
  </r>
  <r>
    <s v="ORD00211"/>
    <d v="2024-10-05T00:00:00"/>
    <x v="2"/>
    <s v="2024-10-10"/>
    <s v="CUST6990"/>
    <x v="1"/>
    <x v="2"/>
    <s v="Maharashtra"/>
    <s v="Mumbai"/>
    <s v="B2B"/>
    <x v="0"/>
    <s v="Product-23"/>
    <n v="4"/>
    <n v="2121.27"/>
    <n v="8485.08"/>
    <n v="0.05"/>
    <n v="8060.83"/>
    <n v="5358.66"/>
    <n v="2702.17"/>
    <s v="Credit Card"/>
    <s v="Pooja"/>
    <s v="Medium"/>
  </r>
  <r>
    <s v="ORD00212"/>
    <d v="2024-04-19T00:00:00"/>
    <x v="6"/>
    <s v="2024-04-25"/>
    <s v="CUST6305"/>
    <x v="2"/>
    <x v="0"/>
    <s v="Delhi"/>
    <s v="Delhi"/>
    <s v="B2B"/>
    <x v="2"/>
    <s v="Product-44"/>
    <n v="6"/>
    <n v="3193.19"/>
    <n v="19159.14"/>
    <n v="0.15"/>
    <n v="16285.27"/>
    <n v="11644.37"/>
    <n v="4640.8999999999996"/>
    <s v="Debit Card"/>
    <s v="Amit"/>
    <s v="Low"/>
  </r>
  <r>
    <s v="ORD00213"/>
    <d v="2024-10-15T00:00:00"/>
    <x v="2"/>
    <s v="2024-10-19"/>
    <s v="CUST4671"/>
    <x v="2"/>
    <x v="3"/>
    <s v="Delhi"/>
    <s v="Bengaluru"/>
    <s v="B2B"/>
    <x v="2"/>
    <s v="Product-16"/>
    <n v="7"/>
    <n v="3211.76"/>
    <n v="22482.32"/>
    <n v="0.15"/>
    <n v="19109.97"/>
    <n v="15980.48"/>
    <n v="3129.4900000000016"/>
    <s v="Credit Card"/>
    <s v="Rohit"/>
    <s v="Low"/>
  </r>
  <r>
    <s v="ORD00214"/>
    <d v="2024-06-15T00:00:00"/>
    <x v="0"/>
    <s v="2024-06-22"/>
    <s v="CUST9169"/>
    <x v="2"/>
    <x v="2"/>
    <s v="Tamil Nadu"/>
    <s v="Bengaluru"/>
    <s v="Online"/>
    <x v="2"/>
    <s v="Product-19"/>
    <n v="7"/>
    <n v="2392.4"/>
    <n v="16746.8"/>
    <n v="0.1"/>
    <n v="15072.12"/>
    <n v="12356.95"/>
    <n v="2715.17"/>
    <s v="UPI"/>
    <s v="Rohit"/>
    <s v="Low"/>
  </r>
  <r>
    <s v="ORD00215"/>
    <d v="2024-09-05T00:00:00"/>
    <x v="3"/>
    <s v="2024-09-12"/>
    <s v="CUST1854"/>
    <x v="2"/>
    <x v="3"/>
    <s v="Delhi"/>
    <s v="Chennai"/>
    <s v="Online"/>
    <x v="2"/>
    <s v="Product-9"/>
    <n v="4"/>
    <n v="900.95"/>
    <n v="3603.8"/>
    <n v="0.15"/>
    <n v="3063.23"/>
    <n v="2000.34"/>
    <n v="1062.8900000000001"/>
    <s v="Debit Card"/>
    <s v="Amit"/>
    <s v="Low"/>
  </r>
  <r>
    <s v="ORD00216"/>
    <d v="2024-03-18T00:00:00"/>
    <x v="8"/>
    <s v="2024-03-19"/>
    <s v="CUST6761"/>
    <x v="2"/>
    <x v="2"/>
    <s v="Tamil Nadu"/>
    <s v="Chennai"/>
    <s v="Online"/>
    <x v="2"/>
    <s v="Product-22"/>
    <n v="3"/>
    <n v="3225.98"/>
    <n v="9677.94"/>
    <n v="0.05"/>
    <n v="9194.0400000000009"/>
    <n v="6671.72"/>
    <n v="2522.3200000000006"/>
    <s v="Net Banking"/>
    <s v="Rohit"/>
    <s v="Low"/>
  </r>
  <r>
    <s v="ORD00217"/>
    <d v="2024-10-26T00:00:00"/>
    <x v="2"/>
    <s v="2024-10-28"/>
    <s v="CUST9270"/>
    <x v="1"/>
    <x v="2"/>
    <s v="Uttar Pradesh"/>
    <s v="Chennai"/>
    <s v="B2B"/>
    <x v="0"/>
    <s v="Product-47"/>
    <n v="4"/>
    <n v="2855.55"/>
    <n v="11422.2"/>
    <n v="0"/>
    <n v="11422.2"/>
    <n v="6961.47"/>
    <n v="4460.7300000000005"/>
    <s v="UPI"/>
    <s v="Amit"/>
    <s v="Medium"/>
  </r>
  <r>
    <s v="ORD00218"/>
    <d v="2024-02-03T00:00:00"/>
    <x v="1"/>
    <s v="2024-02-04"/>
    <s v="CUST1042"/>
    <x v="2"/>
    <x v="2"/>
    <s v="Uttar Pradesh"/>
    <s v="Mumbai"/>
    <s v="B2B"/>
    <x v="1"/>
    <s v="Product-35"/>
    <n v="2"/>
    <n v="3367.21"/>
    <n v="6734.42"/>
    <n v="0.05"/>
    <n v="6397.7"/>
    <n v="4678.9799999999996"/>
    <n v="1718.7200000000003"/>
    <s v="UPI"/>
    <s v="Karan"/>
    <s v="Medium"/>
  </r>
  <r>
    <s v="ORD00219"/>
    <d v="2024-09-11T00:00:00"/>
    <x v="3"/>
    <s v="2024-09-12"/>
    <s v="CUST5472"/>
    <x v="1"/>
    <x v="2"/>
    <s v="Delhi"/>
    <s v="Bengaluru"/>
    <s v="Retail Store"/>
    <x v="0"/>
    <s v="Product-3"/>
    <n v="6"/>
    <n v="3408.52"/>
    <n v="20451.12"/>
    <n v="0.05"/>
    <n v="19428.560000000001"/>
    <n v="15209.64"/>
    <n v="4218.9200000000019"/>
    <s v="Credit Card"/>
    <s v="Karan"/>
    <s v="Low"/>
  </r>
  <r>
    <s v="ORD00220"/>
    <d v="2024-07-27T00:00:00"/>
    <x v="5"/>
    <s v="2024-08-03"/>
    <s v="CUST1678"/>
    <x v="1"/>
    <x v="1"/>
    <s v="Uttar Pradesh"/>
    <s v="Bengaluru"/>
    <s v="B2B"/>
    <x v="2"/>
    <s v="Product-45"/>
    <n v="9"/>
    <n v="3350.98"/>
    <n v="30158.82"/>
    <n v="0.1"/>
    <n v="27142.94"/>
    <n v="16357.63"/>
    <n v="10785.31"/>
    <s v="Net Banking"/>
    <s v="Rohit"/>
    <s v="Medium"/>
  </r>
  <r>
    <s v="ORD00221"/>
    <d v="2024-08-04T00:00:00"/>
    <x v="9"/>
    <s v="2024-08-07"/>
    <s v="CUST7314"/>
    <x v="0"/>
    <x v="2"/>
    <s v="Delhi"/>
    <s v="Mumbai"/>
    <s v="B2B"/>
    <x v="1"/>
    <s v="Product-17"/>
    <n v="9"/>
    <n v="1699.36"/>
    <n v="15294.24"/>
    <n v="0.05"/>
    <n v="14529.53"/>
    <n v="10123.73"/>
    <n v="4405.8000000000011"/>
    <s v="Net Banking"/>
    <s v="Neha"/>
    <s v="Low"/>
  </r>
  <r>
    <s v="ORD00222"/>
    <d v="2024-02-29T00:00:00"/>
    <x v="1"/>
    <s v="2024-03-01"/>
    <s v="CUST6314"/>
    <x v="1"/>
    <x v="1"/>
    <s v="Uttar Pradesh"/>
    <s v="Bengaluru"/>
    <s v="Retail Store"/>
    <x v="1"/>
    <s v="Product-1"/>
    <n v="10"/>
    <n v="2830.3"/>
    <n v="28303"/>
    <n v="0"/>
    <n v="28303"/>
    <n v="19853.28"/>
    <n v="8449.7200000000012"/>
    <s v="Net Banking"/>
    <s v="Pooja"/>
    <s v="High"/>
  </r>
  <r>
    <s v="ORD00223"/>
    <d v="2024-06-24T00:00:00"/>
    <x v="0"/>
    <s v="2024-06-29"/>
    <s v="CUST7206"/>
    <x v="0"/>
    <x v="0"/>
    <s v="Tamil Nadu"/>
    <s v="Noida"/>
    <s v="Retail Store"/>
    <x v="1"/>
    <s v="Product-43"/>
    <n v="9"/>
    <n v="3483.72"/>
    <n v="31353.48"/>
    <n v="0.05"/>
    <n v="29785.81"/>
    <n v="24014.74"/>
    <n v="5771.07"/>
    <s v="Debit Card"/>
    <s v="Amit"/>
    <s v="High"/>
  </r>
  <r>
    <s v="ORD00225"/>
    <d v="2024-07-05T00:00:00"/>
    <x v="5"/>
    <s v="2024-07-10"/>
    <s v="CUST3823"/>
    <x v="2"/>
    <x v="1"/>
    <s v="Maharashtra"/>
    <s v="Delhi"/>
    <s v="Retail Store"/>
    <x v="2"/>
    <s v="Product-24"/>
    <n v="4"/>
    <n v="2035.17"/>
    <n v="8140.68"/>
    <n v="0.1"/>
    <n v="7326.61"/>
    <n v="4833.08"/>
    <n v="2493.5299999999997"/>
    <s v="Net Banking"/>
    <s v="Amit"/>
    <s v="Medium"/>
  </r>
  <r>
    <s v="ORD00226"/>
    <d v="2024-03-19T00:00:00"/>
    <x v="8"/>
    <s v="2024-03-25"/>
    <s v="CUST9562"/>
    <x v="1"/>
    <x v="3"/>
    <s v="Tamil Nadu"/>
    <s v="Delhi"/>
    <s v="Retail Store"/>
    <x v="2"/>
    <s v="Product-19"/>
    <n v="5"/>
    <n v="1562.96"/>
    <n v="7814.8"/>
    <n v="0.1"/>
    <n v="7033.32"/>
    <n v="4847.09"/>
    <n v="2186.2299999999996"/>
    <s v="Net Banking"/>
    <s v="Amit"/>
    <s v="Medium"/>
  </r>
  <r>
    <s v="ORD00227"/>
    <d v="2024-11-20T00:00:00"/>
    <x v="4"/>
    <s v="2024-11-24"/>
    <s v="CUST3138"/>
    <x v="0"/>
    <x v="1"/>
    <s v="Uttar Pradesh"/>
    <s v="Mumbai"/>
    <s v="B2B"/>
    <x v="2"/>
    <s v="Product-34"/>
    <n v="12"/>
    <n v="2874.67"/>
    <n v="34496.04"/>
    <n v="0.05"/>
    <n v="32771.24"/>
    <n v="19711.240000000002"/>
    <n v="13059.999999999996"/>
    <s v="Debit Card"/>
    <s v="Pooja"/>
    <s v="Medium"/>
  </r>
  <r>
    <s v="ORD00228"/>
    <d v="2024-01-10T00:00:00"/>
    <x v="10"/>
    <s v="2024-01-15"/>
    <s v="CUST3923"/>
    <x v="0"/>
    <x v="3"/>
    <s v="Karnataka"/>
    <s v="Bengaluru"/>
    <s v="Online"/>
    <x v="2"/>
    <s v="Product-29"/>
    <n v="4"/>
    <n v="402.5"/>
    <n v="1610"/>
    <n v="0.1"/>
    <n v="1449"/>
    <n v="890.31"/>
    <n v="558.69000000000005"/>
    <s v="UPI"/>
    <s v="Karan"/>
    <s v="High"/>
  </r>
  <r>
    <s v="ORD00229"/>
    <d v="2024-09-09T00:00:00"/>
    <x v="3"/>
    <s v="2024-09-16"/>
    <s v="CUST5758"/>
    <x v="1"/>
    <x v="3"/>
    <s v="Delhi"/>
    <s v="Chennai"/>
    <s v="Retail Store"/>
    <x v="2"/>
    <s v="Product-3"/>
    <n v="2"/>
    <n v="1025.22"/>
    <n v="2050.44"/>
    <n v="0.15"/>
    <n v="1742.87"/>
    <n v="1463.3"/>
    <n v="279.56999999999994"/>
    <s v="Debit Card"/>
    <s v="Pooja"/>
    <s v="Medium"/>
  </r>
  <r>
    <s v="ORD00230"/>
    <d v="2024-11-07T00:00:00"/>
    <x v="4"/>
    <s v="2024-11-14"/>
    <s v="CUST3121"/>
    <x v="1"/>
    <x v="2"/>
    <s v="Uttar Pradesh"/>
    <s v="Bengaluru"/>
    <s v="Online"/>
    <x v="1"/>
    <s v="Product-14"/>
    <n v="5"/>
    <n v="1492.29"/>
    <n v="7461.45"/>
    <n v="0.15"/>
    <n v="6342.23"/>
    <n v="5152.58"/>
    <n v="1189.6499999999996"/>
    <s v="Debit Card"/>
    <s v="Amit"/>
    <s v="Low"/>
  </r>
  <r>
    <s v="ORD00231"/>
    <d v="2024-08-16T00:00:00"/>
    <x v="9"/>
    <s v="2024-08-20"/>
    <s v="CUST1419"/>
    <x v="2"/>
    <x v="1"/>
    <s v="Tamil Nadu"/>
    <s v="Chennai"/>
    <s v="Retail Store"/>
    <x v="2"/>
    <s v="Product-12"/>
    <n v="7"/>
    <n v="2030.03"/>
    <n v="14210.21"/>
    <n v="0.15"/>
    <n v="12078.68"/>
    <n v="10072.85"/>
    <n v="2005.83"/>
    <s v="UPI"/>
    <s v="Pooja"/>
    <s v="Medium"/>
  </r>
  <r>
    <s v="ORD00233"/>
    <d v="2024-04-23T00:00:00"/>
    <x v="6"/>
    <s v="2024-04-30"/>
    <s v="CUST2445"/>
    <x v="2"/>
    <x v="1"/>
    <s v="Delhi"/>
    <s v="Mumbai"/>
    <s v="B2B"/>
    <x v="2"/>
    <s v="Product-31"/>
    <n v="2"/>
    <n v="2170.1799999999998"/>
    <n v="4340.3599999999997"/>
    <n v="0"/>
    <n v="4340.3599999999997"/>
    <n v="2714.58"/>
    <n v="1625.7799999999997"/>
    <s v="UPI"/>
    <s v="Karan"/>
    <s v="High"/>
  </r>
  <r>
    <s v="ORD00234"/>
    <d v="2024-08-01T00:00:00"/>
    <x v="9"/>
    <s v="2024-08-08"/>
    <s v="CUST3384"/>
    <x v="0"/>
    <x v="3"/>
    <s v="Maharashtra"/>
    <s v="Noida"/>
    <s v="Online"/>
    <x v="0"/>
    <s v="Product-35"/>
    <n v="10"/>
    <n v="834.68"/>
    <n v="8346.7999999999993"/>
    <n v="0.15"/>
    <n v="7094.78"/>
    <n v="5705.71"/>
    <n v="1389.0699999999997"/>
    <s v="Debit Card"/>
    <s v="Karan"/>
    <s v="Medium"/>
  </r>
  <r>
    <s v="ORD00235"/>
    <d v="2024-02-14T00:00:00"/>
    <x v="1"/>
    <s v="2024-02-17"/>
    <s v="CUST9371"/>
    <x v="0"/>
    <x v="0"/>
    <s v="Karnataka"/>
    <s v="Bengaluru"/>
    <s v="Online"/>
    <x v="2"/>
    <s v="Product-28"/>
    <n v="7"/>
    <n v="1190.57"/>
    <n v="8333.99"/>
    <n v="0.1"/>
    <n v="7500.59"/>
    <n v="5542.36"/>
    <n v="1958.2300000000005"/>
    <s v="Debit Card"/>
    <s v="Rohit"/>
    <s v="Low"/>
  </r>
  <r>
    <s v="ORD00236"/>
    <d v="2024-03-08T00:00:00"/>
    <x v="8"/>
    <s v="2024-03-09"/>
    <s v="CUST9011"/>
    <x v="1"/>
    <x v="2"/>
    <s v="Karnataka"/>
    <s v="Bengaluru"/>
    <s v="Online"/>
    <x v="2"/>
    <s v="Product-46"/>
    <n v="4"/>
    <n v="2064.23"/>
    <n v="8256.92"/>
    <n v="0.1"/>
    <n v="7431.23"/>
    <n v="6191.05"/>
    <n v="1240.1799999999994"/>
    <s v="UPI"/>
    <s v="Rohit"/>
    <s v="Low"/>
  </r>
  <r>
    <s v="ORD00237"/>
    <d v="2024-09-29T00:00:00"/>
    <x v="3"/>
    <s v="2024-09-30"/>
    <s v="CUST4599"/>
    <x v="0"/>
    <x v="3"/>
    <s v="Maharashtra"/>
    <s v="Mumbai"/>
    <s v="B2B"/>
    <x v="1"/>
    <s v="Product-30"/>
    <n v="7"/>
    <n v="3349.39"/>
    <n v="23445.73"/>
    <n v="0.1"/>
    <n v="21101.16"/>
    <n v="12846.99"/>
    <n v="8254.17"/>
    <s v="Net Banking"/>
    <s v="Pooja"/>
    <s v="Low"/>
  </r>
  <r>
    <s v="ORD00238"/>
    <d v="2024-04-14T00:00:00"/>
    <x v="6"/>
    <s v="2024-04-15"/>
    <s v="CUST2178"/>
    <x v="1"/>
    <x v="1"/>
    <s v="Maharashtra"/>
    <s v="Delhi"/>
    <s v="B2B"/>
    <x v="1"/>
    <s v="Product-48"/>
    <n v="3"/>
    <n v="1744.53"/>
    <n v="5233.59"/>
    <n v="0"/>
    <n v="5233.59"/>
    <n v="3204.22"/>
    <n v="2029.3700000000003"/>
    <s v="Credit Card"/>
    <s v="Pooja"/>
    <s v="Low"/>
  </r>
  <r>
    <s v="ORD00239"/>
    <d v="2024-05-30T00:00:00"/>
    <x v="7"/>
    <s v="2024-06-06"/>
    <s v="CUST4389"/>
    <x v="1"/>
    <x v="0"/>
    <s v="Tamil Nadu"/>
    <s v="Delhi"/>
    <s v="Online"/>
    <x v="0"/>
    <s v="Product-4"/>
    <n v="4"/>
    <n v="2056.79"/>
    <n v="8227.16"/>
    <n v="0.05"/>
    <n v="7815.8"/>
    <n v="4974.32"/>
    <n v="2841.4800000000005"/>
    <s v="Net Banking"/>
    <s v="Neha"/>
    <s v="High"/>
  </r>
  <r>
    <s v="ORD00240"/>
    <d v="2024-05-11T00:00:00"/>
    <x v="7"/>
    <s v="2024-05-17"/>
    <s v="CUST3185"/>
    <x v="2"/>
    <x v="2"/>
    <s v="Tamil Nadu"/>
    <s v="Bengaluru"/>
    <s v="Online"/>
    <x v="1"/>
    <s v="Product-21"/>
    <n v="8"/>
    <n v="2526.33"/>
    <n v="20210.64"/>
    <n v="0.05"/>
    <n v="19200.11"/>
    <n v="15687.33"/>
    <n v="3512.7800000000007"/>
    <s v="Credit Card"/>
    <s v="Rohit"/>
    <s v="Medium"/>
  </r>
  <r>
    <s v="ORD00241"/>
    <d v="2024-06-15T00:00:00"/>
    <x v="0"/>
    <s v="2024-06-20"/>
    <s v="CUST1539"/>
    <x v="0"/>
    <x v="1"/>
    <s v="Maharashtra"/>
    <s v="Bengaluru"/>
    <s v="Online"/>
    <x v="1"/>
    <s v="Product-35"/>
    <n v="4"/>
    <n v="870.88"/>
    <n v="3483.52"/>
    <n v="0.05"/>
    <n v="3309.34"/>
    <n v="2309.5100000000002"/>
    <n v="999.82999999999993"/>
    <s v="UPI"/>
    <s v="Neha"/>
    <s v="Medium"/>
  </r>
  <r>
    <s v="ORD00242"/>
    <d v="2024-03-17T00:00:00"/>
    <x v="8"/>
    <s v="2024-03-23"/>
    <s v="CUST6764"/>
    <x v="2"/>
    <x v="2"/>
    <s v="Uttar Pradesh"/>
    <s v="Noida"/>
    <s v="Online"/>
    <x v="2"/>
    <s v="Product-32"/>
    <n v="3"/>
    <n v="1732.56"/>
    <n v="5197.68"/>
    <n v="0.15"/>
    <n v="4418.03"/>
    <n v="2777.14"/>
    <n v="1640.8899999999999"/>
    <s v="Debit Card"/>
    <s v="Amit"/>
    <s v="Medium"/>
  </r>
  <r>
    <s v="ORD00243"/>
    <d v="2024-02-17T00:00:00"/>
    <x v="1"/>
    <s v="2024-02-19"/>
    <s v="CUST9859"/>
    <x v="2"/>
    <x v="2"/>
    <s v="Maharashtra"/>
    <s v="Chennai"/>
    <s v="Retail Store"/>
    <x v="0"/>
    <s v="Product-38"/>
    <n v="8"/>
    <n v="1268"/>
    <n v="10144"/>
    <n v="0.1"/>
    <n v="9129.6"/>
    <n v="6842.13"/>
    <n v="2287.4700000000003"/>
    <s v="Debit Card"/>
    <s v="Amit"/>
    <s v="High"/>
  </r>
  <r>
    <s v="ORD00244"/>
    <d v="2024-11-02T00:00:00"/>
    <x v="4"/>
    <s v="2024-11-03"/>
    <s v="CUST1820"/>
    <x v="2"/>
    <x v="3"/>
    <s v="Karnataka"/>
    <s v="Chennai"/>
    <s v="Retail Store"/>
    <x v="0"/>
    <s v="Product-22"/>
    <n v="1"/>
    <n v="1467.33"/>
    <n v="1467.33"/>
    <n v="0.05"/>
    <n v="1393.96"/>
    <n v="1065.17"/>
    <n v="328.78999999999996"/>
    <s v="Debit Card"/>
    <s v="Neha"/>
    <s v="Low"/>
  </r>
  <r>
    <s v="ORD00245"/>
    <d v="2024-06-01T00:00:00"/>
    <x v="0"/>
    <s v="2024-06-08"/>
    <s v="CUST2850"/>
    <x v="2"/>
    <x v="1"/>
    <s v="Tamil Nadu"/>
    <s v="Delhi"/>
    <s v="Online"/>
    <x v="0"/>
    <s v="Product-33"/>
    <n v="2"/>
    <n v="2643.41"/>
    <n v="5286.82"/>
    <n v="0.15"/>
    <n v="4493.8"/>
    <n v="2803.76"/>
    <n v="1690.04"/>
    <s v="UPI"/>
    <s v="Pooja"/>
    <s v="High"/>
  </r>
  <r>
    <s v="ORD00246"/>
    <d v="2024-03-08T00:00:00"/>
    <x v="8"/>
    <s v="2024-03-12"/>
    <s v="CUST3685"/>
    <x v="0"/>
    <x v="2"/>
    <s v="Delhi"/>
    <s v="Bengaluru"/>
    <s v="Online"/>
    <x v="1"/>
    <s v="Product-31"/>
    <n v="10"/>
    <n v="2995.29"/>
    <n v="29952.9"/>
    <n v="0"/>
    <n v="29952.9"/>
    <n v="20777.669999999998"/>
    <n v="9175.2300000000032"/>
    <s v="Debit Card"/>
    <s v="Neha"/>
    <s v="Medium"/>
  </r>
  <r>
    <s v="ORD00247"/>
    <d v="2024-02-18T00:00:00"/>
    <x v="1"/>
    <s v="2024-02-19"/>
    <s v="CUST9864"/>
    <x v="2"/>
    <x v="3"/>
    <s v="Tamil Nadu"/>
    <s v="Mumbai"/>
    <s v="Online"/>
    <x v="1"/>
    <s v="Product-35"/>
    <n v="4"/>
    <n v="762.92"/>
    <n v="3051.68"/>
    <n v="0.15"/>
    <n v="2593.9299999999998"/>
    <n v="1731.75"/>
    <n v="862.17999999999984"/>
    <s v="UPI"/>
    <s v="Karan"/>
    <s v="Medium"/>
  </r>
  <r>
    <s v="ORD00248"/>
    <d v="2024-07-06T00:00:00"/>
    <x v="5"/>
    <s v="2024-07-08"/>
    <s v="CUST4930"/>
    <x v="1"/>
    <x v="2"/>
    <s v="Delhi"/>
    <s v="Delhi"/>
    <s v="Online"/>
    <x v="0"/>
    <s v="Product-32"/>
    <n v="5"/>
    <n v="1651.53"/>
    <n v="8257.65"/>
    <n v="0.05"/>
    <n v="7844.77"/>
    <n v="6644.6"/>
    <n v="1200.17"/>
    <s v="Credit Card"/>
    <s v="Neha"/>
    <s v="Low"/>
  </r>
  <r>
    <s v="ORD00249"/>
    <d v="2024-03-28T00:00:00"/>
    <x v="8"/>
    <s v="2024-03-30"/>
    <s v="CUST9488"/>
    <x v="2"/>
    <x v="3"/>
    <s v="Uttar Pradesh"/>
    <s v="Delhi"/>
    <s v="Online"/>
    <x v="1"/>
    <s v="Product-38"/>
    <n v="5"/>
    <n v="3494.29"/>
    <n v="17471.45"/>
    <n v="0.15"/>
    <n v="14850.73"/>
    <n v="10370.52"/>
    <n v="4480.2099999999991"/>
    <s v="Credit Card"/>
    <s v="Neha"/>
    <s v="Low"/>
  </r>
  <r>
    <s v="ORD00250"/>
    <d v="2024-10-31T00:00:00"/>
    <x v="2"/>
    <s v="2024-11-07"/>
    <s v="CUST2196"/>
    <x v="1"/>
    <x v="3"/>
    <s v="Delhi"/>
    <s v="Delhi"/>
    <s v="Online"/>
    <x v="1"/>
    <s v="Product-50"/>
    <n v="9"/>
    <n v="2603.4499999999998"/>
    <n v="23431.05"/>
    <n v="0"/>
    <n v="23431.05"/>
    <n v="18870"/>
    <n v="4561.0499999999993"/>
    <s v="Credit Card"/>
    <s v="Rohit"/>
    <s v="Medium"/>
  </r>
  <r>
    <s v="ORD00251"/>
    <d v="2024-02-13T00:00:00"/>
    <x v="1"/>
    <s v="2024-02-20"/>
    <s v="CUST7749"/>
    <x v="0"/>
    <x v="0"/>
    <s v="Delhi"/>
    <s v="Mumbai"/>
    <s v="Online"/>
    <x v="1"/>
    <s v="Product-33"/>
    <n v="8"/>
    <n v="2234.7800000000002"/>
    <n v="17878.240000000002"/>
    <n v="0.05"/>
    <n v="16984.330000000002"/>
    <n v="10236.31"/>
    <n v="6748.0200000000023"/>
    <s v="Credit Card"/>
    <s v="Neha"/>
    <s v="Medium"/>
  </r>
  <r>
    <s v="ORD00252"/>
    <d v="2024-03-12T00:00:00"/>
    <x v="8"/>
    <s v="2024-03-14"/>
    <s v="CUST2095"/>
    <x v="2"/>
    <x v="1"/>
    <s v="Delhi"/>
    <s v="Chennai"/>
    <s v="B2B"/>
    <x v="2"/>
    <s v="Product-5"/>
    <n v="4"/>
    <n v="3267.19"/>
    <n v="13068.76"/>
    <n v="0.1"/>
    <n v="11761.88"/>
    <n v="9140.74"/>
    <n v="2621.1399999999994"/>
    <s v="UPI"/>
    <s v="Neha"/>
    <s v="High"/>
  </r>
  <r>
    <s v="ORD00253"/>
    <d v="2024-01-26T00:00:00"/>
    <x v="10"/>
    <s v="2024-02-02"/>
    <s v="CUST6721"/>
    <x v="1"/>
    <x v="2"/>
    <s v="Tamil Nadu"/>
    <s v="Chennai"/>
    <s v="Online"/>
    <x v="2"/>
    <s v="Product-45"/>
    <n v="6"/>
    <n v="2838.51"/>
    <n v="17031.060000000001"/>
    <n v="0"/>
    <n v="17031.060000000001"/>
    <n v="12990.21"/>
    <n v="4040.8500000000022"/>
    <s v="Debit Card"/>
    <s v="Amit"/>
    <s v="High"/>
  </r>
  <r>
    <s v="ORD00254"/>
    <d v="2024-08-26T00:00:00"/>
    <x v="9"/>
    <s v="2024-09-02"/>
    <s v="CUST9404"/>
    <x v="0"/>
    <x v="0"/>
    <s v="Delhi"/>
    <s v="Bengaluru"/>
    <s v="Online"/>
    <x v="0"/>
    <s v="Product-13"/>
    <n v="11"/>
    <n v="2230.1799999999998"/>
    <n v="24531.98"/>
    <n v="0.15"/>
    <n v="20852.18"/>
    <n v="14522.63"/>
    <n v="6329.5500000000011"/>
    <s v="Net Banking"/>
    <s v="Karan"/>
    <s v="Low"/>
  </r>
  <r>
    <s v="ORD00255"/>
    <d v="2024-09-09T00:00:00"/>
    <x v="3"/>
    <s v="2024-09-14"/>
    <s v="CUST7468"/>
    <x v="1"/>
    <x v="3"/>
    <s v="Tamil Nadu"/>
    <s v="Chennai"/>
    <s v="Online"/>
    <x v="0"/>
    <s v="Product-42"/>
    <n v="11"/>
    <n v="3157.56"/>
    <n v="34733.160000000003"/>
    <n v="0"/>
    <n v="34733.160000000003"/>
    <n v="24243.86"/>
    <n v="10489.300000000003"/>
    <s v="Debit Card"/>
    <s v="Karan"/>
    <s v="Medium"/>
  </r>
  <r>
    <s v="ORD00256"/>
    <d v="2024-06-05T00:00:00"/>
    <x v="0"/>
    <s v="2024-06-06"/>
    <s v="CUST8788"/>
    <x v="0"/>
    <x v="1"/>
    <s v="Uttar Pradesh"/>
    <s v="Bengaluru"/>
    <s v="Retail Store"/>
    <x v="0"/>
    <s v="Product-22"/>
    <n v="5"/>
    <n v="1916.06"/>
    <n v="9580.2999999999993"/>
    <n v="0"/>
    <n v="9580.2999999999993"/>
    <n v="8025.88"/>
    <n v="1554.4199999999992"/>
    <s v="Credit Card"/>
    <s v="Amit"/>
    <s v="Medium"/>
  </r>
  <r>
    <s v="ORD00257"/>
    <d v="2024-07-20T00:00:00"/>
    <x v="5"/>
    <s v="2024-07-27"/>
    <s v="CUST5440"/>
    <x v="2"/>
    <x v="1"/>
    <s v="Tamil Nadu"/>
    <s v="Noida"/>
    <s v="Online"/>
    <x v="0"/>
    <s v="Product-14"/>
    <n v="8"/>
    <n v="2319.7600000000002"/>
    <n v="18558.080000000002"/>
    <n v="0.1"/>
    <n v="16702.27"/>
    <n v="11423.61"/>
    <n v="5278.66"/>
    <s v="UPI"/>
    <s v="Pooja"/>
    <s v="Low"/>
  </r>
  <r>
    <s v="ORD00258"/>
    <d v="2024-07-18T00:00:00"/>
    <x v="5"/>
    <s v="2024-07-21"/>
    <s v="CUST6759"/>
    <x v="1"/>
    <x v="1"/>
    <s v="Karnataka"/>
    <s v="Chennai"/>
    <s v="Retail Store"/>
    <x v="1"/>
    <s v="Product-39"/>
    <n v="6"/>
    <n v="3368.89"/>
    <n v="20213.34"/>
    <n v="0.1"/>
    <n v="18192.009999999998"/>
    <n v="11676.61"/>
    <n v="6515.3999999999978"/>
    <s v="Credit Card"/>
    <s v="Neha"/>
    <s v="Medium"/>
  </r>
  <r>
    <s v="ORD00259"/>
    <d v="2024-09-26T00:00:00"/>
    <x v="3"/>
    <s v="2024-09-27"/>
    <s v="CUST8447"/>
    <x v="1"/>
    <x v="3"/>
    <s v="Karnataka"/>
    <s v="Delhi"/>
    <s v="B2B"/>
    <x v="1"/>
    <s v="Product-49"/>
    <n v="1"/>
    <n v="3045.82"/>
    <n v="3045.82"/>
    <n v="0"/>
    <n v="3045.82"/>
    <n v="2547.0700000000002"/>
    <n v="498.75"/>
    <s v="Net Banking"/>
    <s v="Neha"/>
    <s v="Medium"/>
  </r>
  <r>
    <s v="ORD00260"/>
    <d v="2024-08-01T00:00:00"/>
    <x v="9"/>
    <s v="2024-08-02"/>
    <s v="CUST5846"/>
    <x v="0"/>
    <x v="3"/>
    <s v="Tamil Nadu"/>
    <s v="Noida"/>
    <s v="B2B"/>
    <x v="0"/>
    <s v="Product-42"/>
    <n v="9"/>
    <n v="2334.4499999999998"/>
    <n v="21010.05"/>
    <n v="0.15"/>
    <n v="17858.54"/>
    <n v="11904.25"/>
    <n v="5954.2900000000009"/>
    <s v="Net Banking"/>
    <s v="Pooja"/>
    <s v="Medium"/>
  </r>
  <r>
    <s v="ORD00261"/>
    <d v="2024-01-10T00:00:00"/>
    <x v="10"/>
    <s v="2024-01-11"/>
    <s v="CUST9396"/>
    <x v="2"/>
    <x v="1"/>
    <s v="Delhi"/>
    <s v="Bengaluru"/>
    <s v="Retail Store"/>
    <x v="0"/>
    <s v="Product-1"/>
    <n v="11"/>
    <n v="769.07"/>
    <n v="8459.77"/>
    <n v="0.15"/>
    <n v="7190.8"/>
    <n v="5119.37"/>
    <n v="2071.4300000000003"/>
    <s v="Debit Card"/>
    <s v="Neha"/>
    <s v="Low"/>
  </r>
  <r>
    <s v="ORD00262"/>
    <d v="2024-10-27T00:00:00"/>
    <x v="2"/>
    <s v="2024-11-01"/>
    <s v="CUST5601"/>
    <x v="1"/>
    <x v="2"/>
    <s v="Karnataka"/>
    <s v="Noida"/>
    <s v="Online"/>
    <x v="2"/>
    <s v="Product-36"/>
    <n v="9"/>
    <n v="544.67999999999995"/>
    <n v="4902.12"/>
    <n v="0.15"/>
    <n v="4166.8"/>
    <n v="2680.9"/>
    <n v="1485.9"/>
    <s v="Net Banking"/>
    <s v="Amit"/>
    <s v="High"/>
  </r>
  <r>
    <s v="ORD00263"/>
    <d v="2024-11-23T00:00:00"/>
    <x v="4"/>
    <s v="2024-11-27"/>
    <s v="CUST5546"/>
    <x v="0"/>
    <x v="2"/>
    <s v="Uttar Pradesh"/>
    <s v="Chennai"/>
    <s v="Online"/>
    <x v="1"/>
    <s v="Product-23"/>
    <n v="8"/>
    <n v="3385.37"/>
    <n v="27082.959999999999"/>
    <n v="0.1"/>
    <n v="24374.66"/>
    <n v="18834.61"/>
    <n v="5540.0499999999993"/>
    <s v="Credit Card"/>
    <s v="Neha"/>
    <s v="High"/>
  </r>
  <r>
    <s v="ORD00264"/>
    <d v="2024-02-01T00:00:00"/>
    <x v="1"/>
    <s v="2024-02-03"/>
    <s v="CUST1876"/>
    <x v="1"/>
    <x v="3"/>
    <s v="Tamil Nadu"/>
    <s v="Bengaluru"/>
    <s v="B2B"/>
    <x v="0"/>
    <s v="Product-18"/>
    <n v="5"/>
    <n v="2688.87"/>
    <n v="13444.35"/>
    <n v="0.05"/>
    <n v="12772.13"/>
    <n v="9839.0400000000009"/>
    <n v="2933.0899999999983"/>
    <s v="Debit Card"/>
    <s v="Pooja"/>
    <s v="Low"/>
  </r>
  <r>
    <s v="ORD00265"/>
    <d v="2024-11-13T00:00:00"/>
    <x v="4"/>
    <s v="2024-11-16"/>
    <s v="CUST6236"/>
    <x v="0"/>
    <x v="1"/>
    <s v="Karnataka"/>
    <s v="Delhi"/>
    <s v="Online"/>
    <x v="1"/>
    <s v="Product-29"/>
    <n v="8"/>
    <n v="1649.54"/>
    <n v="13196.32"/>
    <n v="0.1"/>
    <n v="11876.69"/>
    <n v="8200.24"/>
    <n v="3676.4500000000007"/>
    <s v="Net Banking"/>
    <s v="Neha"/>
    <s v="Medium"/>
  </r>
  <r>
    <s v="ORD00266"/>
    <d v="2024-01-23T00:00:00"/>
    <x v="10"/>
    <s v="2024-01-25"/>
    <s v="CUST7745"/>
    <x v="2"/>
    <x v="3"/>
    <s v="Tamil Nadu"/>
    <s v="Bengaluru"/>
    <s v="B2B"/>
    <x v="2"/>
    <s v="Product-34"/>
    <n v="5"/>
    <n v="2746.94"/>
    <n v="13734.7"/>
    <n v="0.15"/>
    <n v="11674.5"/>
    <n v="8934.9599999999991"/>
    <n v="2739.5400000000009"/>
    <s v="Debit Card"/>
    <s v="Amit"/>
    <s v="Medium"/>
  </r>
  <r>
    <s v="ORD00267"/>
    <d v="2024-08-18T00:00:00"/>
    <x v="9"/>
    <s v="2024-08-25"/>
    <s v="CUST6895"/>
    <x v="0"/>
    <x v="2"/>
    <s v="Delhi"/>
    <s v="Noida"/>
    <s v="Online"/>
    <x v="1"/>
    <s v="Product-44"/>
    <n v="1"/>
    <n v="528.12"/>
    <n v="528.12"/>
    <n v="0.1"/>
    <n v="475.31"/>
    <n v="327.20999999999998"/>
    <n v="148.10000000000002"/>
    <s v="Net Banking"/>
    <s v="Amit"/>
    <s v="Medium"/>
  </r>
  <r>
    <s v="ORD00268"/>
    <d v="2024-03-25T00:00:00"/>
    <x v="8"/>
    <s v="2024-03-31"/>
    <s v="CUST7463"/>
    <x v="1"/>
    <x v="3"/>
    <s v="Tamil Nadu"/>
    <s v="Chennai"/>
    <s v="Retail Store"/>
    <x v="2"/>
    <s v="Product-23"/>
    <n v="3"/>
    <n v="3398.61"/>
    <n v="10195.83"/>
    <n v="0"/>
    <n v="10195.83"/>
    <n v="8091.95"/>
    <n v="2103.88"/>
    <s v="Credit Card"/>
    <s v="Neha"/>
    <s v="High"/>
  </r>
  <r>
    <s v="ORD00269"/>
    <d v="2024-09-23T00:00:00"/>
    <x v="3"/>
    <s v="2024-09-27"/>
    <s v="CUST6549"/>
    <x v="1"/>
    <x v="0"/>
    <s v="Tamil Nadu"/>
    <s v="Delhi"/>
    <s v="B2B"/>
    <x v="0"/>
    <s v="Product-37"/>
    <n v="11"/>
    <n v="3274.48"/>
    <n v="36019.279999999999"/>
    <n v="0.1"/>
    <n v="32417.35"/>
    <n v="20532.86"/>
    <n v="11884.489999999998"/>
    <s v="Credit Card"/>
    <s v="Karan"/>
    <s v="Medium"/>
  </r>
  <r>
    <s v="ORD00270"/>
    <d v="2024-07-25T00:00:00"/>
    <x v="5"/>
    <s v="2024-07-27"/>
    <s v="CUST4911"/>
    <x v="1"/>
    <x v="0"/>
    <s v="Karnataka"/>
    <s v="Delhi"/>
    <s v="B2B"/>
    <x v="1"/>
    <s v="Product-25"/>
    <n v="10"/>
    <n v="2659.14"/>
    <n v="26591.4"/>
    <n v="0.05"/>
    <n v="25261.83"/>
    <n v="16111.72"/>
    <n v="9150.1100000000024"/>
    <s v="Debit Card"/>
    <s v="Neha"/>
    <s v="High"/>
  </r>
  <r>
    <s v="ORD00271"/>
    <d v="2024-07-15T00:00:00"/>
    <x v="5"/>
    <s v="2024-07-20"/>
    <s v="CUST4667"/>
    <x v="0"/>
    <x v="0"/>
    <s v="Karnataka"/>
    <s v="Noida"/>
    <s v="Online"/>
    <x v="2"/>
    <s v="Product-2"/>
    <n v="5"/>
    <n v="2607.2600000000002"/>
    <n v="13036.3"/>
    <n v="0.1"/>
    <n v="11732.67"/>
    <n v="8822.0300000000007"/>
    <n v="2910.6399999999994"/>
    <s v="UPI"/>
    <s v="Amit"/>
    <s v="Medium"/>
  </r>
  <r>
    <s v="ORD00272"/>
    <d v="2024-04-21T00:00:00"/>
    <x v="6"/>
    <s v="2024-04-22"/>
    <s v="CUST9247"/>
    <x v="2"/>
    <x v="1"/>
    <s v="Uttar Pradesh"/>
    <s v="Noida"/>
    <s v="B2B"/>
    <x v="0"/>
    <s v="Product-3"/>
    <n v="8"/>
    <n v="2350.65"/>
    <n v="18805.2"/>
    <n v="0.05"/>
    <n v="17864.939999999999"/>
    <n v="12714.8"/>
    <n v="5150.1399999999994"/>
    <s v="Net Banking"/>
    <s v="Amit"/>
    <s v="Medium"/>
  </r>
  <r>
    <s v="ORD00273"/>
    <d v="2024-04-24T00:00:00"/>
    <x v="6"/>
    <s v="2024-04-27"/>
    <s v="CUST4773"/>
    <x v="2"/>
    <x v="2"/>
    <s v="Karnataka"/>
    <s v="Noida"/>
    <s v="B2B"/>
    <x v="1"/>
    <s v="Product-2"/>
    <n v="11"/>
    <n v="3302.44"/>
    <n v="36326.839999999997"/>
    <n v="0.1"/>
    <n v="32694.16"/>
    <n v="23954.13"/>
    <n v="8740.0299999999988"/>
    <s v="Credit Card"/>
    <s v="Neha"/>
    <s v="Low"/>
  </r>
  <r>
    <s v="ORD00275"/>
    <d v="2024-06-17T00:00:00"/>
    <x v="0"/>
    <s v="2024-06-23"/>
    <s v="CUST8066"/>
    <x v="0"/>
    <x v="1"/>
    <s v="Maharashtra"/>
    <s v="Bengaluru"/>
    <s v="B2B"/>
    <x v="0"/>
    <s v="Product-8"/>
    <n v="5"/>
    <n v="621.28"/>
    <n v="3106.4"/>
    <n v="0.15"/>
    <n v="2640.44"/>
    <n v="1964.23"/>
    <n v="676.21"/>
    <s v="Net Banking"/>
    <s v="Neha"/>
    <s v="Medium"/>
  </r>
  <r>
    <s v="ORD00276"/>
    <d v="2024-04-09T00:00:00"/>
    <x v="6"/>
    <s v="2024-04-10"/>
    <s v="CUST4239"/>
    <x v="1"/>
    <x v="2"/>
    <s v="Karnataka"/>
    <s v="Mumbai"/>
    <s v="B2B"/>
    <x v="1"/>
    <s v="Product-19"/>
    <n v="12"/>
    <n v="3181.98"/>
    <n v="38183.760000000002"/>
    <n v="0"/>
    <n v="38183.760000000002"/>
    <n v="27097.24"/>
    <n v="11086.52"/>
    <s v="UPI"/>
    <s v="Karan"/>
    <s v="High"/>
  </r>
  <r>
    <s v="ORD00278"/>
    <d v="2024-03-30T00:00:00"/>
    <x v="8"/>
    <s v="2024-04-05"/>
    <s v="CUST8455"/>
    <x v="2"/>
    <x v="3"/>
    <s v="Delhi"/>
    <s v="Mumbai"/>
    <s v="Retail Store"/>
    <x v="2"/>
    <s v="Product-32"/>
    <n v="6"/>
    <n v="1705.16"/>
    <n v="10230.959999999999"/>
    <n v="0"/>
    <n v="10230.959999999999"/>
    <n v="8196.24"/>
    <n v="2034.7199999999993"/>
    <s v="UPI"/>
    <s v="Rohit"/>
    <s v="Medium"/>
  </r>
  <r>
    <s v="ORD00280"/>
    <d v="2024-08-11T00:00:00"/>
    <x v="9"/>
    <s v="2024-08-13"/>
    <s v="CUST9704"/>
    <x v="0"/>
    <x v="0"/>
    <s v="Delhi"/>
    <s v="Delhi"/>
    <s v="Retail Store"/>
    <x v="0"/>
    <s v="Product-14"/>
    <n v="3"/>
    <n v="439.91"/>
    <n v="1319.73"/>
    <n v="0.05"/>
    <n v="1253.74"/>
    <n v="980.39"/>
    <n v="273.35000000000002"/>
    <s v="UPI"/>
    <s v="Rohit"/>
    <s v="Medium"/>
  </r>
  <r>
    <s v="ORD00281"/>
    <d v="2024-11-15T00:00:00"/>
    <x v="4"/>
    <s v="2024-11-20"/>
    <s v="CUST4349"/>
    <x v="0"/>
    <x v="1"/>
    <s v="Delhi"/>
    <s v="Delhi"/>
    <s v="B2B"/>
    <x v="0"/>
    <s v="Product-13"/>
    <n v="8"/>
    <n v="1902.04"/>
    <n v="15216.32"/>
    <n v="0.05"/>
    <n v="14455.5"/>
    <n v="8699.81"/>
    <n v="5755.6900000000005"/>
    <s v="Net Banking"/>
    <s v="Pooja"/>
    <s v="High"/>
  </r>
  <r>
    <s v="ORD00282"/>
    <d v="2024-10-26T00:00:00"/>
    <x v="2"/>
    <s v="2024-11-01"/>
    <s v="CUST1880"/>
    <x v="0"/>
    <x v="2"/>
    <s v="Tamil Nadu"/>
    <s v="Mumbai"/>
    <s v="B2B"/>
    <x v="1"/>
    <s v="Product-31"/>
    <n v="11"/>
    <n v="2591.66"/>
    <n v="28508.26"/>
    <n v="0.15"/>
    <n v="24232.02"/>
    <n v="19153.54"/>
    <n v="5078.4799999999996"/>
    <s v="Net Banking"/>
    <s v="Karan"/>
    <s v="Low"/>
  </r>
  <r>
    <s v="ORD00283"/>
    <d v="2024-03-01T00:00:00"/>
    <x v="8"/>
    <s v="2024-03-05"/>
    <s v="CUST4747"/>
    <x v="2"/>
    <x v="1"/>
    <s v="Uttar Pradesh"/>
    <s v="Mumbai"/>
    <s v="B2B"/>
    <x v="1"/>
    <s v="Product-48"/>
    <n v="10"/>
    <n v="1583.25"/>
    <n v="15832.5"/>
    <n v="0.05"/>
    <n v="15040.88"/>
    <n v="12032.62"/>
    <n v="3008.2599999999984"/>
    <s v="UPI"/>
    <s v="Neha"/>
    <s v="Low"/>
  </r>
  <r>
    <s v="ORD00284"/>
    <d v="2024-04-12T00:00:00"/>
    <x v="6"/>
    <s v="2024-04-19"/>
    <s v="CUST4597"/>
    <x v="1"/>
    <x v="0"/>
    <s v="Uttar Pradesh"/>
    <s v="Noida"/>
    <s v="Retail Store"/>
    <x v="2"/>
    <s v="Product-3"/>
    <n v="1"/>
    <n v="518"/>
    <n v="518"/>
    <n v="0"/>
    <n v="518"/>
    <n v="362.86"/>
    <n v="155.13999999999999"/>
    <s v="Credit Card"/>
    <s v="Pooja"/>
    <s v="Low"/>
  </r>
  <r>
    <s v="ORD00285"/>
    <d v="2024-09-02T00:00:00"/>
    <x v="3"/>
    <s v="2024-09-09"/>
    <s v="CUST9668"/>
    <x v="2"/>
    <x v="3"/>
    <s v="Delhi"/>
    <s v="Noida"/>
    <s v="Retail Store"/>
    <x v="0"/>
    <s v="Product-5"/>
    <n v="2"/>
    <n v="2754.49"/>
    <n v="5508.98"/>
    <n v="0"/>
    <n v="5508.98"/>
    <n v="3562.85"/>
    <n v="1946.1299999999997"/>
    <s v="UPI"/>
    <s v="Karan"/>
    <s v="High"/>
  </r>
  <r>
    <s v="ORD00286"/>
    <d v="2024-02-13T00:00:00"/>
    <x v="1"/>
    <s v="2024-02-18"/>
    <s v="CUST9936"/>
    <x v="1"/>
    <x v="3"/>
    <s v="Tamil Nadu"/>
    <s v="Chennai"/>
    <s v="B2B"/>
    <x v="0"/>
    <s v="Product-36"/>
    <n v="9"/>
    <n v="2321.52"/>
    <n v="20893.68"/>
    <n v="0"/>
    <n v="20893.68"/>
    <n v="16223.58"/>
    <n v="4670.1000000000004"/>
    <s v="Credit Card"/>
    <s v="Amit"/>
    <s v="Low"/>
  </r>
  <r>
    <s v="ORD00287"/>
    <d v="2024-09-16T00:00:00"/>
    <x v="3"/>
    <s v="2024-09-23"/>
    <s v="CUST2808"/>
    <x v="1"/>
    <x v="0"/>
    <s v="Uttar Pradesh"/>
    <s v="Noida"/>
    <s v="Retail Store"/>
    <x v="1"/>
    <s v="Product-7"/>
    <n v="8"/>
    <n v="1047.1500000000001"/>
    <n v="8377.2000000000007"/>
    <n v="0.05"/>
    <n v="7958.34"/>
    <n v="6111.47"/>
    <n v="1846.87"/>
    <s v="UPI"/>
    <s v="Neha"/>
    <s v="Low"/>
  </r>
  <r>
    <s v="ORD00288"/>
    <d v="2024-02-15T00:00:00"/>
    <x v="1"/>
    <s v="2024-02-18"/>
    <s v="CUST6486"/>
    <x v="2"/>
    <x v="0"/>
    <s v="Delhi"/>
    <s v="Delhi"/>
    <s v="Online"/>
    <x v="0"/>
    <s v="Product-44"/>
    <n v="5"/>
    <n v="1338.44"/>
    <n v="6692.2"/>
    <n v="0.1"/>
    <n v="6022.98"/>
    <n v="3836.37"/>
    <n v="2186.6099999999997"/>
    <s v="Credit Card"/>
    <s v="Karan"/>
    <s v="Medium"/>
  </r>
  <r>
    <s v="ORD00289"/>
    <d v="2024-08-21T00:00:00"/>
    <x v="9"/>
    <s v="2024-08-25"/>
    <s v="CUST2307"/>
    <x v="2"/>
    <x v="0"/>
    <s v="Delhi"/>
    <s v="Mumbai"/>
    <s v="Retail Store"/>
    <x v="0"/>
    <s v="Product-12"/>
    <n v="10"/>
    <n v="2180.9899999999998"/>
    <n v="21809.9"/>
    <n v="0.05"/>
    <n v="20719.400000000001"/>
    <n v="17178.47"/>
    <n v="3540.9300000000003"/>
    <s v="Debit Card"/>
    <s v="Pooja"/>
    <s v="Medium"/>
  </r>
  <r>
    <s v="ORD00290"/>
    <d v="2024-03-09T00:00:00"/>
    <x v="8"/>
    <s v="2024-03-12"/>
    <s v="CUST2551"/>
    <x v="2"/>
    <x v="1"/>
    <s v="Maharashtra"/>
    <s v="Chennai"/>
    <s v="B2B"/>
    <x v="2"/>
    <s v="Product-18"/>
    <n v="5"/>
    <n v="3023.51"/>
    <n v="15117.55"/>
    <n v="0"/>
    <n v="15117.55"/>
    <n v="10296.620000000001"/>
    <n v="4820.9299999999985"/>
    <s v="Credit Card"/>
    <s v="Amit"/>
    <s v="Medium"/>
  </r>
  <r>
    <s v="ORD00291"/>
    <d v="2024-10-02T00:00:00"/>
    <x v="2"/>
    <s v="2024-10-03"/>
    <s v="CUST6385"/>
    <x v="2"/>
    <x v="2"/>
    <s v="Karnataka"/>
    <s v="Delhi"/>
    <s v="B2B"/>
    <x v="0"/>
    <s v="Product-7"/>
    <n v="6"/>
    <n v="1115.42"/>
    <n v="6692.52"/>
    <n v="0.1"/>
    <n v="6023.27"/>
    <n v="5000.67"/>
    <n v="1022.6000000000004"/>
    <s v="UPI"/>
    <s v="Rohit"/>
    <s v="Medium"/>
  </r>
  <r>
    <s v="ORD00292"/>
    <d v="2024-11-17T00:00:00"/>
    <x v="4"/>
    <s v="2024-11-20"/>
    <s v="CUST3639"/>
    <x v="2"/>
    <x v="0"/>
    <s v="Uttar Pradesh"/>
    <s v="Mumbai"/>
    <s v="Retail Store"/>
    <x v="1"/>
    <s v="Product-45"/>
    <n v="6"/>
    <n v="599.19000000000005"/>
    <n v="3595.14"/>
    <n v="0"/>
    <n v="3595.14"/>
    <n v="3024.99"/>
    <n v="570.15000000000009"/>
    <s v="UPI"/>
    <s v="Neha"/>
    <s v="Low"/>
  </r>
  <r>
    <s v="ORD00293"/>
    <d v="2024-05-27T00:00:00"/>
    <x v="7"/>
    <s v="2024-06-03"/>
    <s v="CUST3888"/>
    <x v="1"/>
    <x v="1"/>
    <s v="Uttar Pradesh"/>
    <s v="Mumbai"/>
    <s v="B2B"/>
    <x v="1"/>
    <s v="Product-19"/>
    <n v="1"/>
    <n v="2614.3200000000002"/>
    <n v="2614.3200000000002"/>
    <n v="0.15"/>
    <n v="2222.17"/>
    <n v="1730.96"/>
    <n v="491.21000000000004"/>
    <s v="Net Banking"/>
    <s v="Neha"/>
    <s v="Medium"/>
  </r>
  <r>
    <s v="ORD00294"/>
    <d v="2024-05-11T00:00:00"/>
    <x v="7"/>
    <s v="2024-05-12"/>
    <s v="CUST3326"/>
    <x v="1"/>
    <x v="0"/>
    <s v="Uttar Pradesh"/>
    <s v="Delhi"/>
    <s v="B2B"/>
    <x v="2"/>
    <s v="Product-20"/>
    <n v="2"/>
    <n v="2542.56"/>
    <n v="5085.12"/>
    <n v="0.05"/>
    <n v="4830.8599999999997"/>
    <n v="3672.83"/>
    <n v="1158.0299999999997"/>
    <s v="UPI"/>
    <s v="Amit"/>
    <s v="High"/>
  </r>
  <r>
    <s v="ORD00295"/>
    <d v="2024-02-04T00:00:00"/>
    <x v="1"/>
    <s v="2024-02-09"/>
    <s v="CUST2849"/>
    <x v="1"/>
    <x v="1"/>
    <s v="Uttar Pradesh"/>
    <s v="Bengaluru"/>
    <s v="Retail Store"/>
    <x v="0"/>
    <s v="Product-7"/>
    <n v="1"/>
    <n v="627.69000000000005"/>
    <n v="627.69000000000005"/>
    <n v="0"/>
    <n v="627.69000000000005"/>
    <n v="398.93"/>
    <n v="228.76000000000005"/>
    <s v="Debit Card"/>
    <s v="Rohit"/>
    <s v="Medium"/>
  </r>
  <r>
    <s v="ORD00297"/>
    <d v="2024-06-20T00:00:00"/>
    <x v="0"/>
    <s v="2024-06-23"/>
    <s v="CUST2466"/>
    <x v="2"/>
    <x v="3"/>
    <s v="Karnataka"/>
    <s v="Mumbai"/>
    <s v="Online"/>
    <x v="0"/>
    <s v="Product-31"/>
    <n v="10"/>
    <n v="430.4"/>
    <n v="4304"/>
    <n v="0.05"/>
    <n v="4088.8"/>
    <n v="2527.54"/>
    <n v="1561.2600000000002"/>
    <s v="UPI"/>
    <s v="Amit"/>
    <s v="Medium"/>
  </r>
  <r>
    <s v="ORD00298"/>
    <d v="2024-05-10T00:00:00"/>
    <x v="7"/>
    <s v="2024-05-16"/>
    <s v="CUST5847"/>
    <x v="2"/>
    <x v="3"/>
    <s v="Maharashtra"/>
    <s v="Bengaluru"/>
    <s v="Retail Store"/>
    <x v="1"/>
    <s v="Product-47"/>
    <n v="2"/>
    <n v="2165.8200000000002"/>
    <n v="4331.6400000000003"/>
    <n v="0.05"/>
    <n v="4115.0600000000004"/>
    <n v="2532.88"/>
    <n v="1582.1800000000003"/>
    <s v="Credit Card"/>
    <s v="Neha"/>
    <s v="Medium"/>
  </r>
  <r>
    <s v="ORD00299"/>
    <d v="2024-05-08T00:00:00"/>
    <x v="7"/>
    <s v="2024-05-11"/>
    <s v="CUST3716"/>
    <x v="0"/>
    <x v="1"/>
    <s v="Delhi"/>
    <s v="Mumbai"/>
    <s v="B2B"/>
    <x v="0"/>
    <s v="Product-15"/>
    <n v="6"/>
    <n v="915.31"/>
    <n v="5491.86"/>
    <n v="0"/>
    <n v="5491.86"/>
    <n v="4492.8999999999996"/>
    <n v="998.96"/>
    <s v="Net Banking"/>
    <s v="Rohit"/>
    <s v="Low"/>
  </r>
  <r>
    <s v="ORD00300"/>
    <d v="2024-11-24T00:00:00"/>
    <x v="4"/>
    <s v="2024-11-28"/>
    <s v="CUST7183"/>
    <x v="0"/>
    <x v="2"/>
    <s v="Karnataka"/>
    <s v="Delhi"/>
    <s v="Retail Store"/>
    <x v="2"/>
    <s v="Product-32"/>
    <n v="5"/>
    <n v="3095.95"/>
    <n v="15479.75"/>
    <n v="0"/>
    <n v="15479.75"/>
    <n v="9673.32"/>
    <n v="5806.43"/>
    <s v="UPI"/>
    <s v="Amit"/>
    <s v="Medium"/>
  </r>
  <r>
    <s v="ORD00298"/>
    <d v="2024-05-10T00:00:00"/>
    <x v="7"/>
    <s v="2024-05-16"/>
    <s v="CUST5847"/>
    <x v="2"/>
    <x v="3"/>
    <s v="Maharashtra"/>
    <s v="Bengaluru"/>
    <s v="Retail Store"/>
    <x v="1"/>
    <s v="Product-47"/>
    <n v="1.88"/>
    <n v="2305.14"/>
    <n v="4011.49"/>
    <n v="0.05"/>
    <n v="3841.2"/>
    <n v="2553.63"/>
    <n v="1287.5699999999997"/>
    <s v="Credit Card"/>
    <s v="Neha"/>
    <s v="Medium"/>
  </r>
  <r>
    <s v="ORD00151"/>
    <d v="2024-02-14T00:00:00"/>
    <x v="1"/>
    <s v="2024-02-20"/>
    <s v="CUST4630"/>
    <x v="1"/>
    <x v="1"/>
    <s v="Maharashtra"/>
    <s v="Noida"/>
    <s v="B2B"/>
    <x v="2"/>
    <s v="Product-30"/>
    <n v="9.1999999999999993"/>
    <n v="1408.53"/>
    <n v="10656.09"/>
    <n v="0.15"/>
    <n v="10833.36"/>
    <n v="6939.49"/>
    <n v="3893.8700000000008"/>
    <s v="Debit Card"/>
    <s v="Karan"/>
    <s v="Medium"/>
  </r>
  <r>
    <s v="ORD00158"/>
    <d v="2024-09-11T00:00:00"/>
    <x v="3"/>
    <s v="2024-09-14"/>
    <s v="CUST9474"/>
    <x v="1"/>
    <x v="1"/>
    <s v="Tamil Nadu"/>
    <s v="Chennai"/>
    <s v="Retail Store"/>
    <x v="0"/>
    <s v="Product-39"/>
    <n v="8.69"/>
    <n v="2721.91"/>
    <n v="26076.5"/>
    <n v="0.16"/>
    <n v="23095.05"/>
    <n v="16340.33"/>
    <n v="6754.7199999999993"/>
    <s v="Debit Card"/>
    <s v="Pooja"/>
    <s v="Low"/>
  </r>
  <r>
    <s v="ORD00072"/>
    <d v="2024-11-21T00:00:00"/>
    <x v="4"/>
    <s v="2024-11-25"/>
    <s v="CUST4638"/>
    <x v="1"/>
    <x v="1"/>
    <s v="Uttar Pradesh"/>
    <s v="Mumbai"/>
    <s v="Retail Store"/>
    <x v="0"/>
    <s v="Product-37"/>
    <n v="2.12"/>
    <n v="2912.82"/>
    <n v="5939.23"/>
    <n v="0.05"/>
    <n v="5496.63"/>
    <n v="4353.38"/>
    <n v="1143.25"/>
    <s v="Credit Card"/>
    <s v="Amit"/>
    <s v="Medium"/>
  </r>
  <r>
    <s v="ORD00105"/>
    <d v="2024-11-22T00:00:00"/>
    <x v="4"/>
    <s v="2024-11-23"/>
    <s v="CUST2231"/>
    <x v="0"/>
    <x v="1"/>
    <s v="Karnataka"/>
    <s v="Noida"/>
    <s v="Retail Store"/>
    <x v="0"/>
    <s v="Product-15"/>
    <n v="5.26"/>
    <n v="1139.69"/>
    <n v="6401.94"/>
    <n v="0.16"/>
    <n v="5253.9"/>
    <n v="3276.35"/>
    <n v="1977.5499999999997"/>
    <s v="Debit Card"/>
    <s v="Pooja"/>
    <s v="High"/>
  </r>
  <r>
    <s v="ORD00180"/>
    <d v="2024-07-26T00:00:00"/>
    <x v="5"/>
    <s v="2024-08-02"/>
    <s v="CUST8972"/>
    <x v="2"/>
    <x v="0"/>
    <s v="Delhi"/>
    <s v="Bengaluru"/>
    <s v="Retail Store"/>
    <x v="0"/>
    <s v="Product-8"/>
    <n v="3.97"/>
    <n v="713.62"/>
    <n v="2843.4"/>
    <n v="0.1"/>
    <n v="2635.61"/>
    <n v="1505.69"/>
    <n v="1129.92"/>
    <s v="Debit Card"/>
    <s v="Pooja"/>
    <s v="Low"/>
  </r>
  <r>
    <s v="ORD00100"/>
    <d v="2024-07-17T00:00:00"/>
    <x v="5"/>
    <s v="2024-07-21"/>
    <s v="CUST9199"/>
    <x v="1"/>
    <x v="3"/>
    <s v="Tamil Nadu"/>
    <s v="Delhi"/>
    <s v="Online"/>
    <x v="2"/>
    <s v="Product-39"/>
    <n v="1.08"/>
    <n v="456.15"/>
    <n v="440.24"/>
    <n v="0.16"/>
    <n v="397.63"/>
    <n v="265.91000000000003"/>
    <n v="131.71999999999997"/>
    <s v="Net Banking"/>
    <s v="Amit"/>
    <s v="High"/>
  </r>
  <r>
    <s v="ORD00036"/>
    <d v="2024-07-11T00:00:00"/>
    <x v="5"/>
    <s v="2024-07-18"/>
    <s v="CUST5006"/>
    <x v="0"/>
    <x v="3"/>
    <s v="Delhi"/>
    <s v="Chennai"/>
    <s v="Online"/>
    <x v="1"/>
    <s v="Product-33"/>
    <n v="8.44"/>
    <n v="1971.38"/>
    <n v="16553.759999999998"/>
    <n v="0"/>
    <n v="17773.3"/>
    <n v="12397.56"/>
    <n v="5375.74"/>
    <s v="UPI"/>
    <s v="Karan"/>
    <s v="Low"/>
  </r>
  <r>
    <s v="ORD00108"/>
    <d v="2024-05-05T00:00:00"/>
    <x v="7"/>
    <s v="2024-05-11"/>
    <s v="CUST2399"/>
    <x v="1"/>
    <x v="3"/>
    <s v="Maharashtra"/>
    <s v="Bengaluru"/>
    <s v="Retail Store"/>
    <x v="0"/>
    <s v="Product-6"/>
    <n v="4.51"/>
    <n v="1361.49"/>
    <n v="6343.08"/>
    <n v="0.14000000000000001"/>
    <n v="6329.2"/>
    <n v="4318.7"/>
    <n v="2010.5"/>
    <s v="Debit Card"/>
    <s v="Neha"/>
    <s v="High"/>
  </r>
  <r>
    <s v="ORD00185"/>
    <d v="2024-09-10T00:00:00"/>
    <x v="3"/>
    <s v="2024-09-14"/>
    <s v="CUST2314"/>
    <x v="2"/>
    <x v="2"/>
    <s v="Maharashtra"/>
    <s v="Mumbai"/>
    <s v="Retail Store"/>
    <x v="1"/>
    <s v="Product-26"/>
    <n v="8.68"/>
    <n v="2407.4299999999998"/>
    <n v="21415.13"/>
    <n v="0.1"/>
    <n v="18406.54"/>
    <n v="13549.59"/>
    <n v="4856.9500000000007"/>
    <s v="UPI"/>
    <s v="Amit"/>
    <s v="Medium"/>
  </r>
  <r>
    <s v="ORD00151"/>
    <d v="2024-02-14T00:00:00"/>
    <x v="1"/>
    <s v="2024-02-20"/>
    <s v="CUST4630"/>
    <x v="1"/>
    <x v="1"/>
    <s v="Maharashtra"/>
    <s v="Noida"/>
    <s v="B2B"/>
    <x v="2"/>
    <s v="Product-30"/>
    <n v="8.11"/>
    <n v="1220.72"/>
    <n v="11330.58"/>
    <n v="0.16"/>
    <n v="9094.5300000000007"/>
    <n v="8118.99"/>
    <n v="975.54000000000087"/>
    <s v="Debit Card"/>
    <s v="Karan"/>
    <s v="Medium"/>
  </r>
  <r>
    <s v="ORD00295"/>
    <d v="2024-02-04T00:00:00"/>
    <x v="1"/>
    <s v="2024-02-09"/>
    <s v="CUST2849"/>
    <x v="1"/>
    <x v="1"/>
    <s v="Uttar Pradesh"/>
    <s v="Bengaluru"/>
    <s v="Retail Store"/>
    <x v="0"/>
    <s v="Product-7"/>
    <n v="1.02"/>
    <n v="579.84"/>
    <n v="688.08"/>
    <n v="0"/>
    <n v="592.16"/>
    <n v="387.28"/>
    <n v="204.88"/>
    <s v="Debit Card"/>
    <s v="Rohit"/>
    <s v="Medium"/>
  </r>
  <r>
    <s v="ORD00180"/>
    <d v="2024-07-26T00:00:00"/>
    <x v="5"/>
    <s v="2024-08-02"/>
    <s v="CUST8972"/>
    <x v="2"/>
    <x v="0"/>
    <s v="Delhi"/>
    <s v="Bengaluru"/>
    <s v="Retail Store"/>
    <x v="0"/>
    <s v="Product-8"/>
    <n v="4.04"/>
    <n v="718.75"/>
    <n v="3156.77"/>
    <n v="0.1"/>
    <n v="2685.13"/>
    <n v="1532.89"/>
    <n v="1152.24"/>
    <s v="Debit Card"/>
    <s v="Pooja"/>
    <s v="Low"/>
  </r>
  <r>
    <s v="ORD00246"/>
    <d v="2024-03-08T00:00:00"/>
    <x v="8"/>
    <s v="2024-03-12"/>
    <s v="CUST3685"/>
    <x v="0"/>
    <x v="2"/>
    <s v="Delhi"/>
    <s v="Bengaluru"/>
    <s v="Online"/>
    <x v="1"/>
    <s v="Product-31"/>
    <n v="10.8"/>
    <n v="2756.75"/>
    <n v="27090.14"/>
    <n v="0"/>
    <n v="32080.07"/>
    <n v="21405.73"/>
    <n v="10674.34"/>
    <s v="Debit Card"/>
    <s v="Neha"/>
    <s v="Medium"/>
  </r>
  <r>
    <s v="ORD00172"/>
    <d v="2024-06-08T00:00:00"/>
    <x v="0"/>
    <s v="2024-06-09"/>
    <s v="CUST7608"/>
    <x v="0"/>
    <x v="2"/>
    <s v="Karnataka"/>
    <s v="Mumbai"/>
    <s v="Online"/>
    <x v="2"/>
    <s v="Product-44"/>
    <n v="4.2300000000000004"/>
    <n v="1372.34"/>
    <n v="4875.9399999999996"/>
    <n v="0.14000000000000001"/>
    <n v="4537.21"/>
    <n v="2673.05"/>
    <n v="1864.1599999999999"/>
    <s v="Debit Card"/>
    <s v="Pooja"/>
    <s v="Low"/>
  </r>
  <r>
    <s v="ORD00137"/>
    <d v="2024-02-25T00:00:00"/>
    <x v="1"/>
    <s v="2024-02-28"/>
    <s v="CUST9412"/>
    <x v="2"/>
    <x v="2"/>
    <s v="Uttar Pradesh"/>
    <s v="Chennai"/>
    <s v="Retail Store"/>
    <x v="0"/>
    <s v="Product-17"/>
    <n v="7.69"/>
    <n v="2911.18"/>
    <n v="24613.27"/>
    <n v="0"/>
    <n v="26434.5"/>
    <n v="15664.65"/>
    <n v="10769.85"/>
    <s v="Credit Card"/>
    <s v="Rohit"/>
    <s v="Medium"/>
  </r>
  <r>
    <s v="ORD00070"/>
    <d v="2024-02-16T00:00:00"/>
    <x v="1"/>
    <s v="2024-02-20"/>
    <s v="CUST3129"/>
    <x v="2"/>
    <x v="0"/>
    <s v="Uttar Pradesh"/>
    <s v="Mumbai"/>
    <s v="B2B"/>
    <x v="2"/>
    <s v="Product-6"/>
    <n v="9.3800000000000008"/>
    <n v="3315.37"/>
    <n v="29402.41"/>
    <n v="0.15"/>
    <n v="26552.87"/>
    <n v="19339.009999999998"/>
    <n v="7213.8600000000006"/>
    <s v="Debit Card"/>
    <s v="Karan"/>
    <s v="Low"/>
  </r>
  <r>
    <s v="ORD00180"/>
    <d v="2024-07-26T00:00:00"/>
    <x v="5"/>
    <s v="2024-08-02"/>
    <s v="CUST8972"/>
    <x v="2"/>
    <x v="0"/>
    <s v="Delhi"/>
    <s v="Bengaluru"/>
    <s v="Retail Store"/>
    <x v="0"/>
    <s v="Product-8"/>
    <n v="3.86"/>
    <n v="755.84"/>
    <n v="2678.86"/>
    <n v="0.09"/>
    <n v="2460.9899999999998"/>
    <n v="1606.25"/>
    <n v="854.73999999999978"/>
    <s v="Debit Card"/>
    <s v="Pooja"/>
    <s v="Low"/>
  </r>
  <r>
    <s v="ORD00001"/>
    <d v="2024-06-14T00:00:00"/>
    <x v="0"/>
    <s v="2024-06-16"/>
    <s v="CUST2542"/>
    <x v="0"/>
    <x v="0"/>
    <s v="Uttar Pradesh"/>
    <s v="Mumbai"/>
    <s v="Online"/>
    <x v="0"/>
    <s v="Product-28"/>
    <n v="6.97"/>
    <n v="2464.9"/>
    <n v="15796.5"/>
    <n v="0"/>
    <n v="17633.84"/>
    <n v="14534.59"/>
    <n v="3099.25"/>
    <s v="Net Banking"/>
    <s v="Amit"/>
    <s v="Low"/>
  </r>
  <r>
    <s v="ORD00232"/>
    <d v="2024-09-08T00:00:00"/>
    <x v="3"/>
    <s v="2024-09-10"/>
    <s v="CUST4280"/>
    <x v="0"/>
    <x v="0"/>
    <s v="Karnataka"/>
    <s v="Noida"/>
    <s v="Retail Store"/>
    <x v="2"/>
    <s v="Product-50"/>
    <n v="9.7899999999999991"/>
    <n v="2887.25"/>
    <n v="25738.42"/>
    <n v="0"/>
    <n v="23715.53"/>
    <n v="18751.2"/>
    <n v="4964.3299999999981"/>
    <s v="Net Banking"/>
    <s v="Amit"/>
    <s v="Low"/>
  </r>
  <r>
    <s v="ORD00162"/>
    <d v="2024-02-20T00:00:00"/>
    <x v="1"/>
    <s v="2024-02-25"/>
    <s v="CUST5358"/>
    <x v="1"/>
    <x v="2"/>
    <s v="Uttar Pradesh"/>
    <s v="Mumbai"/>
    <s v="Retail Store"/>
    <x v="1"/>
    <s v="Product-8"/>
    <n v="0.99"/>
    <n v="2270.7800000000002"/>
    <n v="2437.27"/>
    <n v="0.05"/>
    <n v="2175.11"/>
    <n v="1570.2"/>
    <n v="604.91000000000008"/>
    <s v="Credit Card"/>
    <s v="Neha"/>
    <s v="High"/>
  </r>
  <r>
    <s v="ORD00256"/>
    <d v="2024-06-05T00:00:00"/>
    <x v="0"/>
    <s v="2024-06-06"/>
    <s v="CUST8788"/>
    <x v="0"/>
    <x v="1"/>
    <s v="Uttar Pradesh"/>
    <s v="Bengaluru"/>
    <s v="Retail Store"/>
    <x v="0"/>
    <s v="Product-22"/>
    <n v="5.37"/>
    <n v="2031.23"/>
    <n v="8878.01"/>
    <n v="0"/>
    <n v="9532"/>
    <n v="8559.18"/>
    <n v="972.81999999999971"/>
    <s v="Credit Card"/>
    <s v="Amit"/>
    <s v="Medium"/>
  </r>
  <r>
    <s v="ORD00189"/>
    <d v="2024-03-11T00:00:00"/>
    <x v="8"/>
    <s v="2024-03-14"/>
    <s v="CUST4645"/>
    <x v="1"/>
    <x v="1"/>
    <s v="Delhi"/>
    <s v="Mumbai"/>
    <s v="B2B"/>
    <x v="1"/>
    <s v="Product-24"/>
    <n v="5.56"/>
    <n v="2176.39"/>
    <n v="12170.48"/>
    <n v="0"/>
    <n v="13452.54"/>
    <n v="9912.24"/>
    <n v="3540.3000000000011"/>
    <s v="Net Banking"/>
    <s v="Rohit"/>
    <s v="High"/>
  </r>
  <r>
    <s v="ORD00060"/>
    <d v="2024-05-14T00:00:00"/>
    <x v="7"/>
    <s v="2024-05-20"/>
    <s v="CUST2070"/>
    <x v="2"/>
    <x v="2"/>
    <s v="Delhi"/>
    <s v="Chennai"/>
    <s v="B2B"/>
    <x v="2"/>
    <s v="Product-50"/>
    <n v="11.02"/>
    <n v="2516.92"/>
    <n v="33210.28"/>
    <n v="0.11"/>
    <n v="28353.55"/>
    <n v="19331.57"/>
    <n v="9021.98"/>
    <s v="Net Banking"/>
    <s v="Rohit"/>
    <s v="Medium"/>
  </r>
  <r>
    <s v="ORD00281"/>
    <d v="2024-11-15T00:00:00"/>
    <x v="4"/>
    <s v="2024-11-20"/>
    <s v="CUST4349"/>
    <x v="0"/>
    <x v="1"/>
    <s v="Delhi"/>
    <s v="Delhi"/>
    <s v="B2B"/>
    <x v="0"/>
    <s v="Product-13"/>
    <n v="8.7799999999999994"/>
    <n v="1883.84"/>
    <n v="14598.97"/>
    <n v="0.05"/>
    <n v="15285.43"/>
    <n v="7925.75"/>
    <n v="7359.68"/>
    <s v="Net Banking"/>
    <s v="Pooja"/>
    <s v="High"/>
  </r>
  <r>
    <s v="ORD00031"/>
    <d v="2024-01-28T00:00:00"/>
    <x v="10"/>
    <s v="2024-02-04"/>
    <s v="CUST1907"/>
    <x v="2"/>
    <x v="1"/>
    <s v="Uttar Pradesh"/>
    <s v="Bengaluru"/>
    <s v="B2B"/>
    <x v="0"/>
    <s v="Product-45"/>
    <n v="3.23"/>
    <n v="444.71"/>
    <n v="1367.94"/>
    <n v="0.1"/>
    <n v="1267.74"/>
    <n v="807.19"/>
    <n v="460.54999999999995"/>
    <s v="Debit Card"/>
    <s v="Amit"/>
    <s v="Medium"/>
  </r>
  <r>
    <s v="ORD00149"/>
    <d v="2024-11-13T00:00:00"/>
    <x v="4"/>
    <s v="2024-11-16"/>
    <s v="CUST5105"/>
    <x v="2"/>
    <x v="0"/>
    <s v="Tamil Nadu"/>
    <s v="Mumbai"/>
    <s v="Online"/>
    <x v="2"/>
    <s v="Product-8"/>
    <n v="11.17"/>
    <n v="2495.9899999999998"/>
    <n v="23835.94"/>
    <n v="0"/>
    <n v="24343"/>
    <n v="19495.580000000002"/>
    <n v="4847.4199999999983"/>
    <s v="Debit Card"/>
    <s v="Rohit"/>
    <s v="High"/>
  </r>
  <r>
    <s v="ORD00173"/>
    <d v="2024-08-24T00:00:00"/>
    <x v="9"/>
    <s v="2024-08-26"/>
    <s v="CUST2887"/>
    <x v="0"/>
    <x v="2"/>
    <s v="Delhi"/>
    <s v="Chennai"/>
    <s v="Online"/>
    <x v="1"/>
    <s v="Product-11"/>
    <n v="6.85"/>
    <n v="1604.59"/>
    <n v="10065.27"/>
    <n v="0"/>
    <n v="9984.68"/>
    <n v="6531.29"/>
    <n v="3453.3900000000003"/>
    <s v="Net Banking"/>
    <s v="Neha"/>
    <s v="Medium"/>
  </r>
  <r>
    <s v="ORD00066"/>
    <d v="2024-09-19T00:00:00"/>
    <x v="3"/>
    <s v="2024-09-26"/>
    <s v="CUST1103"/>
    <x v="2"/>
    <x v="3"/>
    <s v="Maharashtra"/>
    <s v="Delhi"/>
    <s v="Retail Store"/>
    <x v="2"/>
    <s v="Product-10"/>
    <n v="3.02"/>
    <n v="1816.7"/>
    <n v="5901.9"/>
    <n v="0.11"/>
    <n v="4382.57"/>
    <n v="3908.19"/>
    <n v="474.37999999999965"/>
    <s v="UPI"/>
    <s v="Neha"/>
    <s v="Medium"/>
  </r>
  <r>
    <s v="ORD00073"/>
    <d v="2024-09-22T00:00:00"/>
    <x v="3"/>
    <s v="2024-09-24"/>
    <s v="CUST4155"/>
    <x v="2"/>
    <x v="0"/>
    <s v="Karnataka"/>
    <s v="Delhi"/>
    <s v="Retail Store"/>
    <x v="1"/>
    <s v="Product-30"/>
    <n v="6.7"/>
    <n v="1593.93"/>
    <n v="10518.49"/>
    <n v="0.05"/>
    <n v="10804.77"/>
    <n v="7307.84"/>
    <n v="3496.9300000000003"/>
    <s v="Debit Card"/>
    <s v="Pooja"/>
    <s v="Medium"/>
  </r>
  <r>
    <s v="ORD00098"/>
    <d v="2024-05-01T00:00:00"/>
    <x v="7"/>
    <s v="2024-05-06"/>
    <s v="CUST5056"/>
    <x v="1"/>
    <x v="3"/>
    <s v="Uttar Pradesh"/>
    <s v="Noida"/>
    <s v="Retail Store"/>
    <x v="0"/>
    <s v="Product-16"/>
    <n v="3.75"/>
    <n v="1283.94"/>
    <n v="4772.1899999999996"/>
    <n v="0.05"/>
    <n v="4688.7"/>
    <n v="3393.15"/>
    <n v="1295.5499999999997"/>
    <s v="Debit Card"/>
    <s v="Neha"/>
    <s v="Medium"/>
  </r>
  <r>
    <s v="ORD00187"/>
    <d v="2024-08-12T00:00:00"/>
    <x v="9"/>
    <s v="2024-08-13"/>
    <s v="CUST3694"/>
    <x v="0"/>
    <x v="3"/>
    <s v="Delhi"/>
    <s v="Chennai"/>
    <s v="B2B"/>
    <x v="1"/>
    <s v="Product-23"/>
    <n v="10.19"/>
    <n v="3494.15"/>
    <n v="40651.5"/>
    <n v="0.05"/>
    <n v="33494.69"/>
    <n v="30148.06"/>
    <n v="3346.630000000001"/>
    <s v="Credit Card"/>
    <s v="Pooja"/>
    <s v="Low"/>
  </r>
  <r>
    <s v="ORD00086"/>
    <d v="2024-09-01T00:00:00"/>
    <x v="3"/>
    <s v="2024-09-07"/>
    <s v="CUST8622"/>
    <x v="2"/>
    <x v="1"/>
    <s v="Maharashtra"/>
    <s v="Mumbai"/>
    <s v="Online"/>
    <x v="2"/>
    <s v="Product-15"/>
    <n v="8.65"/>
    <n v="397.47"/>
    <n v="4111.22"/>
    <n v="0.14000000000000001"/>
    <n v="3262.72"/>
    <n v="2726.64"/>
    <n v="536.07999999999993"/>
    <s v="UPI"/>
    <s v="Amit"/>
    <s v="Medium"/>
  </r>
  <r>
    <s v="ORD00290"/>
    <d v="2024-03-09T00:00:00"/>
    <x v="8"/>
    <s v="2024-03-12"/>
    <s v="CUST2551"/>
    <x v="2"/>
    <x v="1"/>
    <s v="Maharashtra"/>
    <s v="Chennai"/>
    <s v="B2B"/>
    <x v="2"/>
    <s v="Product-18"/>
    <n v="5.24"/>
    <n v="2731.53"/>
    <n v="15996.28"/>
    <n v="0"/>
    <n v="15422.49"/>
    <n v="11256.6"/>
    <n v="4165.8899999999994"/>
    <s v="Credit Card"/>
    <s v="Amit"/>
    <s v="Medium"/>
  </r>
  <r>
    <s v="ORD00180"/>
    <d v="2024-07-26T00:00:00"/>
    <x v="5"/>
    <s v="2024-08-02"/>
    <s v="CUST8972"/>
    <x v="2"/>
    <x v="0"/>
    <s v="Delhi"/>
    <s v="Bengaluru"/>
    <s v="Retail Store"/>
    <x v="0"/>
    <s v="Product-8"/>
    <n v="4.0999999999999996"/>
    <n v="740.63"/>
    <n v="2721.02"/>
    <n v="0.11"/>
    <n v="2483.6999999999998"/>
    <n v="1799.7"/>
    <n v="683.99999999999977"/>
    <s v="Debit Card"/>
    <s v="Pooja"/>
    <s v="Low"/>
  </r>
  <r>
    <s v="ORD00023"/>
    <d v="2024-05-03T00:00:00"/>
    <x v="7"/>
    <s v="2024-05-07"/>
    <s v="CUST3530"/>
    <x v="1"/>
    <x v="3"/>
    <s v="Maharashtra"/>
    <s v="Bengaluru"/>
    <s v="Online"/>
    <x v="2"/>
    <s v="Product-15"/>
    <n v="2.09"/>
    <n v="1077.8"/>
    <n v="2186.84"/>
    <n v="0.11"/>
    <n v="1889.22"/>
    <n v="1501.94"/>
    <n v="387.28"/>
    <s v="UPI"/>
    <s v="Pooja"/>
    <s v="Medium"/>
  </r>
  <r>
    <s v="ORD00197"/>
    <d v="2024-09-13T00:00:00"/>
    <x v="3"/>
    <s v="2024-09-17"/>
    <s v="CUST7431"/>
    <x v="0"/>
    <x v="2"/>
    <s v="Tamil Nadu"/>
    <s v="Chennai"/>
    <s v="Online"/>
    <x v="1"/>
    <s v="Product-34"/>
    <n v="0.92"/>
    <n v="2797.02"/>
    <n v="2737.77"/>
    <n v="0"/>
    <n v="2856.13"/>
    <n v="1802.76"/>
    <n v="1053.3700000000001"/>
    <s v="UPI"/>
    <s v="Rohit"/>
    <s v="Medium"/>
  </r>
  <r>
    <s v="ORD00238"/>
    <d v="2024-04-14T00:00:00"/>
    <x v="6"/>
    <s v="2024-04-15"/>
    <s v="CUST2178"/>
    <x v="1"/>
    <x v="1"/>
    <s v="Maharashtra"/>
    <s v="Delhi"/>
    <s v="B2B"/>
    <x v="1"/>
    <s v="Product-48"/>
    <n v="2.99"/>
    <n v="1903.43"/>
    <n v="5585.81"/>
    <n v="0"/>
    <n v="5136.93"/>
    <n v="2991.08"/>
    <n v="2145.8500000000004"/>
    <s v="Credit Card"/>
    <s v="Pooja"/>
    <s v="Low"/>
  </r>
  <r>
    <s v="ORD00060"/>
    <d v="2024-05-14T00:00:00"/>
    <x v="7"/>
    <s v="2024-05-20"/>
    <s v="CUST2070"/>
    <x v="2"/>
    <x v="2"/>
    <s v="Delhi"/>
    <s v="Chennai"/>
    <s v="B2B"/>
    <x v="2"/>
    <s v="Product-50"/>
    <n v="11.97"/>
    <n v="2450.44"/>
    <n v="31499.23"/>
    <n v="0.11"/>
    <n v="27196.240000000002"/>
    <n v="17406.39"/>
    <n v="9789.8500000000022"/>
    <s v="Net Banking"/>
    <s v="Rohit"/>
    <s v="Medium"/>
  </r>
  <r>
    <s v="ORD00197"/>
    <d v="2024-09-13T00:00:00"/>
    <x v="3"/>
    <s v="2024-09-17"/>
    <s v="CUST7431"/>
    <x v="0"/>
    <x v="2"/>
    <s v="Tamil Nadu"/>
    <s v="Chennai"/>
    <s v="Online"/>
    <x v="1"/>
    <s v="Product-34"/>
    <n v="0.99"/>
    <n v="2925.4"/>
    <n v="2860.22"/>
    <n v="0"/>
    <n v="2787.61"/>
    <n v="1694.34"/>
    <n v="1093.2700000000002"/>
    <s v="UPI"/>
    <s v="Rohit"/>
    <s v="Medium"/>
  </r>
  <r>
    <s v="ORD00025"/>
    <d v="2024-10-10T00:00:00"/>
    <x v="2"/>
    <s v="2024-10-14"/>
    <s v="CUST5840"/>
    <x v="1"/>
    <x v="0"/>
    <s v="Delhi"/>
    <s v="Mumbai"/>
    <s v="Online"/>
    <x v="0"/>
    <s v="Product-17"/>
    <n v="7.94"/>
    <n v="2496.9299999999998"/>
    <n v="20126.72"/>
    <n v="0.16"/>
    <n v="17964.939999999999"/>
    <n v="11342"/>
    <n v="6622.9399999999987"/>
    <s v="Debit Card"/>
    <s v="Amit"/>
    <s v="Low"/>
  </r>
  <r>
    <s v="ORD00237"/>
    <d v="2024-09-29T00:00:00"/>
    <x v="3"/>
    <s v="2024-09-30"/>
    <s v="CUST4599"/>
    <x v="0"/>
    <x v="3"/>
    <s v="Maharashtra"/>
    <s v="Mumbai"/>
    <s v="B2B"/>
    <x v="1"/>
    <s v="Product-30"/>
    <n v="7.42"/>
    <n v="3355.85"/>
    <n v="21443.61"/>
    <n v="0.1"/>
    <n v="22819.47"/>
    <n v="11587.52"/>
    <n v="11231.95"/>
    <s v="Net Banking"/>
    <s v="Pooja"/>
    <s v="Low"/>
  </r>
  <r>
    <s v="ORD00052"/>
    <d v="2024-08-23T00:00:00"/>
    <x v="9"/>
    <s v="2024-08-26"/>
    <s v="CUST4846"/>
    <x v="1"/>
    <x v="2"/>
    <s v="Delhi"/>
    <s v="Chennai"/>
    <s v="B2B"/>
    <x v="1"/>
    <s v="Product-20"/>
    <n v="6.34"/>
    <n v="2408.23"/>
    <n v="15095.06"/>
    <n v="0.05"/>
    <n v="12658.58"/>
    <n v="9910.5400000000009"/>
    <n v="2748.0399999999991"/>
    <s v="UPI"/>
    <s v="Amit"/>
    <s v="Low"/>
  </r>
  <r>
    <s v="ORD00237"/>
    <d v="2024-09-29T00:00:00"/>
    <x v="3"/>
    <s v="2024-09-30"/>
    <s v="CUST4599"/>
    <x v="0"/>
    <x v="3"/>
    <s v="Maharashtra"/>
    <s v="Mumbai"/>
    <s v="B2B"/>
    <x v="1"/>
    <s v="Product-30"/>
    <n v="7.09"/>
    <n v="3436.37"/>
    <n v="21627.5"/>
    <n v="0.11"/>
    <n v="23235.58"/>
    <n v="11374.59"/>
    <n v="11860.990000000002"/>
    <s v="Net Banking"/>
    <s v="Pooja"/>
    <s v="Low"/>
  </r>
  <r>
    <s v="ORD00057"/>
    <d v="2024-07-12T00:00:00"/>
    <x v="5"/>
    <s v="2024-07-19"/>
    <s v="CUST1047"/>
    <x v="2"/>
    <x v="3"/>
    <s v="Delhi"/>
    <s v="Bengaluru"/>
    <s v="Retail Store"/>
    <x v="0"/>
    <s v="Product-36"/>
    <n v="6.18"/>
    <n v="3422.99"/>
    <n v="19899.27"/>
    <n v="0.16"/>
    <n v="17545.47"/>
    <n v="11258.97"/>
    <n v="6286.5000000000018"/>
    <s v="Credit Card"/>
    <s v="Pooja"/>
    <s v="Medium"/>
  </r>
  <r>
    <s v="ORD00025"/>
    <d v="2024-10-10T00:00:00"/>
    <x v="2"/>
    <s v="2024-10-14"/>
    <s v="CUST5840"/>
    <x v="1"/>
    <x v="0"/>
    <s v="Delhi"/>
    <s v="Mumbai"/>
    <s v="Online"/>
    <x v="0"/>
    <s v="Product-17"/>
    <n v="7.47"/>
    <n v="2388.98"/>
    <n v="21701.31"/>
    <n v="0.14000000000000001"/>
    <n v="17046.71"/>
    <n v="10779.87"/>
    <n v="6266.8399999999983"/>
    <s v="Debit Card"/>
    <s v="Amit"/>
    <s v="Low"/>
  </r>
  <r>
    <s v="ORD00068"/>
    <d v="2024-09-04T00:00:00"/>
    <x v="3"/>
    <s v="2024-09-05"/>
    <s v="CUST3532"/>
    <x v="1"/>
    <x v="0"/>
    <s v="Maharashtra"/>
    <s v="Chennai"/>
    <s v="B2B"/>
    <x v="2"/>
    <s v="Product-27"/>
    <n v="6.81"/>
    <n v="748.44"/>
    <n v="5260.85"/>
    <n v="0.16"/>
    <n v="4528.72"/>
    <n v="3507.11"/>
    <n v="1021.6100000000001"/>
    <s v="Debit Card"/>
    <s v="Rohit"/>
    <s v="Medium"/>
  </r>
  <r>
    <s v="ORD00260"/>
    <d v="2024-08-01T00:00:00"/>
    <x v="9"/>
    <s v="2024-08-02"/>
    <s v="CUST5846"/>
    <x v="0"/>
    <x v="3"/>
    <s v="Tamil Nadu"/>
    <s v="Noida"/>
    <s v="B2B"/>
    <x v="0"/>
    <s v="Product-42"/>
    <n v="9.7200000000000006"/>
    <n v="2548.91"/>
    <n v="21671.17"/>
    <n v="0.15"/>
    <n v="16276.95"/>
    <n v="11712.8"/>
    <n v="4564.1500000000015"/>
    <s v="Net Banking"/>
    <s v="Pooja"/>
    <s v="Medium"/>
  </r>
  <r>
    <s v="ORD00226"/>
    <d v="2024-03-19T00:00:00"/>
    <x v="8"/>
    <s v="2024-03-25"/>
    <s v="CUST9562"/>
    <x v="1"/>
    <x v="3"/>
    <s v="Tamil Nadu"/>
    <s v="Delhi"/>
    <s v="Retail Store"/>
    <x v="2"/>
    <s v="Product-19"/>
    <n v="5.36"/>
    <n v="1554.66"/>
    <n v="7463.49"/>
    <n v="0.1"/>
    <n v="7300.04"/>
    <n v="5164.03"/>
    <n v="2136.0100000000002"/>
    <s v="Net Banking"/>
    <s v="Amit"/>
    <s v="Medium"/>
  </r>
  <r>
    <s v="ORD00061"/>
    <d v="2024-09-09T00:00:00"/>
    <x v="3"/>
    <s v="2024-09-11"/>
    <s v="CUST3479"/>
    <x v="1"/>
    <x v="2"/>
    <s v="Karnataka"/>
    <s v="Bengaluru"/>
    <s v="Retail Store"/>
    <x v="2"/>
    <s v="Product-39"/>
    <n v="7.5"/>
    <n v="1044.45"/>
    <n v="7062.05"/>
    <n v="0.09"/>
    <n v="6805.59"/>
    <n v="5801.56"/>
    <n v="1004.0299999999997"/>
    <s v="UPI"/>
    <s v="Karan"/>
    <s v="Low"/>
  </r>
  <r>
    <s v="ORD00092"/>
    <d v="2024-05-13T00:00:00"/>
    <x v="7"/>
    <s v="2024-05-14"/>
    <s v="CUST7029"/>
    <x v="0"/>
    <x v="1"/>
    <s v="Karnataka"/>
    <s v="Noida"/>
    <s v="B2B"/>
    <x v="0"/>
    <s v="Product-27"/>
    <n v="6.02"/>
    <n v="1215.6600000000001"/>
    <n v="7515.7"/>
    <n v="0.1"/>
    <n v="6612.29"/>
    <n v="3587.49"/>
    <n v="3024.8"/>
    <s v="UPI"/>
    <s v="Pooja"/>
    <s v="High"/>
  </r>
  <r>
    <s v="ORD00200"/>
    <d v="2024-10-20T00:00:00"/>
    <x v="2"/>
    <s v="2024-10-25"/>
    <s v="CUST2560"/>
    <x v="2"/>
    <x v="1"/>
    <s v="Uttar Pradesh"/>
    <s v="Delhi"/>
    <s v="Retail Store"/>
    <x v="2"/>
    <s v="Product-16"/>
    <n v="9.3699999999999992"/>
    <n v="3135.04"/>
    <n v="33702.79"/>
    <n v="0"/>
    <n v="31729.79"/>
    <n v="27478.21"/>
    <n v="4251.5800000000017"/>
    <s v="Credit Card"/>
    <s v="Amit"/>
    <s v="Medium"/>
  </r>
  <r>
    <s v="ORD00111"/>
    <d v="2024-08-12T00:00:00"/>
    <x v="9"/>
    <s v="2024-08-18"/>
    <s v="CUST3282"/>
    <x v="0"/>
    <x v="1"/>
    <s v="Uttar Pradesh"/>
    <s v="Delhi"/>
    <s v="Retail Store"/>
    <x v="2"/>
    <s v="Product-10"/>
    <n v="2.0699999999999998"/>
    <n v="2279.7600000000002"/>
    <n v="4520.57"/>
    <n v="0.11"/>
    <n v="3500.22"/>
    <n v="2737.56"/>
    <n v="762.65999999999985"/>
    <s v="Net Banking"/>
    <s v="Neha"/>
    <s v="Medium"/>
  </r>
  <r>
    <s v="ORD00199"/>
    <d v="2024-10-23T00:00:00"/>
    <x v="2"/>
    <s v="2024-10-27"/>
    <s v="CUST1743"/>
    <x v="1"/>
    <x v="2"/>
    <s v="Maharashtra"/>
    <s v="Bengaluru"/>
    <s v="Retail Store"/>
    <x v="2"/>
    <s v="Product-5"/>
    <n v="5.78"/>
    <n v="1172.22"/>
    <n v="5988.96"/>
    <n v="0.05"/>
    <n v="6337.1"/>
    <n v="4815.42"/>
    <n v="1521.6800000000003"/>
    <s v="Debit Card"/>
    <s v="Rohit"/>
    <s v="High"/>
  </r>
  <r>
    <s v="ORD00007"/>
    <d v="2024-07-16T00:00:00"/>
    <x v="5"/>
    <s v="2024-07-22"/>
    <s v="CUST2918"/>
    <x v="0"/>
    <x v="0"/>
    <s v="Maharashtra"/>
    <s v="Bengaluru"/>
    <s v="Online"/>
    <x v="1"/>
    <s v="Product-16"/>
    <n v="6.51"/>
    <n v="468.33"/>
    <n v="2680.65"/>
    <n v="0.15"/>
    <n v="2200.5700000000002"/>
    <n v="1748.32"/>
    <n v="452.25000000000023"/>
    <s v="Net Banking"/>
    <s v="Pooja"/>
    <s v="Medium"/>
  </r>
  <r>
    <s v="ORD00246"/>
    <d v="2024-03-08T00:00:00"/>
    <x v="8"/>
    <s v="2024-03-12"/>
    <s v="CUST3685"/>
    <x v="0"/>
    <x v="2"/>
    <s v="Delhi"/>
    <s v="Bengaluru"/>
    <s v="Online"/>
    <x v="1"/>
    <s v="Product-31"/>
    <n v="9.43"/>
    <n v="2839.99"/>
    <n v="32373.119999999999"/>
    <n v="0"/>
    <n v="29569.71"/>
    <n v="22031.27"/>
    <n v="7538.4399999999987"/>
    <s v="Debit Card"/>
    <s v="Neha"/>
    <s v="Medium"/>
  </r>
  <r>
    <s v="ORD00106"/>
    <d v="2024-04-22T00:00:00"/>
    <x v="6"/>
    <s v="2024-04-29"/>
    <s v="CUST2128"/>
    <x v="1"/>
    <x v="2"/>
    <s v="Tamil Nadu"/>
    <s v="Noida"/>
    <s v="B2B"/>
    <x v="0"/>
    <s v="Product-10"/>
    <n v="6.52"/>
    <n v="1660.39"/>
    <n v="14107.02"/>
    <n v="0.05"/>
    <n v="11482.98"/>
    <n v="8399.69"/>
    <n v="3083.2899999999991"/>
    <s v="Debit Card"/>
    <s v="Pooja"/>
    <s v="Medium"/>
  </r>
  <r>
    <s v="ORD00147"/>
    <d v="2024-07-24T00:00:00"/>
    <x v="5"/>
    <s v="2024-07-26"/>
    <s v="CUST1877"/>
    <x v="0"/>
    <x v="2"/>
    <s v="Karnataka"/>
    <s v="Mumbai"/>
    <s v="Retail Store"/>
    <x v="1"/>
    <s v="Product-41"/>
    <n v="6.45"/>
    <n v="2613.44"/>
    <n v="16081.98"/>
    <n v="0.11"/>
    <n v="13809.15"/>
    <n v="11848.37"/>
    <n v="1960.7799999999988"/>
    <s v="UPI"/>
    <s v="Rohit"/>
    <s v="Low"/>
  </r>
  <r>
    <s v="ORD00193"/>
    <d v="2024-07-09T00:00:00"/>
    <x v="5"/>
    <s v="2024-07-10"/>
    <s v="CUST2974"/>
    <x v="1"/>
    <x v="2"/>
    <s v="Tamil Nadu"/>
    <s v="Delhi"/>
    <s v="B2B"/>
    <x v="0"/>
    <s v="Product-37"/>
    <n v="0.99"/>
    <n v="2398.23"/>
    <n v="2344.42"/>
    <n v="0.05"/>
    <n v="2417.9"/>
    <n v="1736.54"/>
    <n v="681.36000000000013"/>
    <s v="UPI"/>
    <s v="Rohit"/>
    <s v="Low"/>
  </r>
  <r>
    <s v="ORD00062"/>
    <d v="2024-07-19T00:00:00"/>
    <x v="5"/>
    <s v="2024-07-26"/>
    <s v="CUST8892"/>
    <x v="1"/>
    <x v="3"/>
    <s v="Maharashtra"/>
    <s v="Chennai"/>
    <s v="Online"/>
    <x v="0"/>
    <s v="Product-17"/>
    <n v="3.11"/>
    <n v="1112.56"/>
    <n v="3575.11"/>
    <n v="0"/>
    <n v="3428.94"/>
    <n v="2405.83"/>
    <n v="1023.1100000000001"/>
    <s v="UPI"/>
    <s v="Neha"/>
    <s v="Low"/>
  </r>
  <r>
    <s v="ORD00199"/>
    <d v="2024-10-23T00:00:00"/>
    <x v="2"/>
    <s v="2024-10-27"/>
    <s v="CUST1743"/>
    <x v="1"/>
    <x v="2"/>
    <s v="Maharashtra"/>
    <s v="Bengaluru"/>
    <s v="Retail Store"/>
    <x v="2"/>
    <s v="Product-5"/>
    <n v="5.57"/>
    <n v="1186.07"/>
    <n v="5531.33"/>
    <n v="0.05"/>
    <n v="6906.98"/>
    <n v="4684.4399999999996"/>
    <n v="2222.54"/>
    <s v="Debit Card"/>
    <s v="Rohit"/>
    <s v="High"/>
  </r>
  <r>
    <s v="ORD00135"/>
    <d v="2024-02-19T00:00:00"/>
    <x v="1"/>
    <s v="2024-02-23"/>
    <s v="CUST6284"/>
    <x v="2"/>
    <x v="1"/>
    <s v="Delhi"/>
    <s v="Bengaluru"/>
    <s v="Online"/>
    <x v="2"/>
    <s v="Product-15"/>
    <n v="1.06"/>
    <n v="2142.85"/>
    <n v="2507.0500000000002"/>
    <n v="0.15"/>
    <n v="2169.88"/>
    <n v="1526.14"/>
    <n v="643.74"/>
    <s v="UPI"/>
    <s v="Neha"/>
    <s v="High"/>
  </r>
  <r>
    <s v="ORD00290"/>
    <d v="2024-03-09T00:00:00"/>
    <x v="8"/>
    <s v="2024-03-12"/>
    <s v="CUST2551"/>
    <x v="2"/>
    <x v="1"/>
    <s v="Maharashtra"/>
    <s v="Chennai"/>
    <s v="B2B"/>
    <x v="2"/>
    <s v="Product-18"/>
    <n v="5.49"/>
    <n v="2955.52"/>
    <n v="16815.09"/>
    <n v="0"/>
    <n v="14520.05"/>
    <n v="12364.29"/>
    <n v="2155.7599999999984"/>
    <s v="Credit Card"/>
    <s v="Amit"/>
    <s v="Medium"/>
  </r>
  <r>
    <s v="ORD00289"/>
    <d v="2024-08-21T00:00:00"/>
    <x v="9"/>
    <s v="2024-08-25"/>
    <s v="CUST2307"/>
    <x v="2"/>
    <x v="0"/>
    <s v="Delhi"/>
    <s v="Mumbai"/>
    <s v="Retail Store"/>
    <x v="0"/>
    <s v="Product-12"/>
    <n v="9.23"/>
    <n v="2185.0300000000002"/>
    <n v="22881.040000000001"/>
    <n v="0.05"/>
    <n v="20840.310000000001"/>
    <n v="18137.91"/>
    <n v="2702.4000000000015"/>
    <s v="Debit Card"/>
    <s v="Pooja"/>
    <s v="Medium"/>
  </r>
  <r>
    <s v="ORD00241"/>
    <d v="2024-06-15T00:00:00"/>
    <x v="0"/>
    <s v="2024-06-20"/>
    <s v="CUST1539"/>
    <x v="0"/>
    <x v="1"/>
    <s v="Maharashtra"/>
    <s v="Bengaluru"/>
    <s v="Online"/>
    <x v="1"/>
    <s v="Product-35"/>
    <n v="3.86"/>
    <n v="867.2"/>
    <n v="3344.11"/>
    <n v="0.05"/>
    <n v="3283"/>
    <n v="2373.37"/>
    <n v="909.63000000000011"/>
    <s v="UPI"/>
    <s v="Neha"/>
    <s v="Medium"/>
  </r>
  <r>
    <s v="ORD00197"/>
    <d v="2024-09-13T00:00:00"/>
    <x v="3"/>
    <s v="2024-09-17"/>
    <s v="CUST7431"/>
    <x v="0"/>
    <x v="2"/>
    <s v="Tamil Nadu"/>
    <s v="Chennai"/>
    <s v="Online"/>
    <x v="1"/>
    <s v="Product-34"/>
    <n v="0.94"/>
    <n v="3016.12"/>
    <n v="3033.34"/>
    <n v="0"/>
    <n v="2931.06"/>
    <n v="1955.75"/>
    <n v="975.31"/>
    <s v="UPI"/>
    <s v="Rohit"/>
    <s v="Medium"/>
  </r>
  <r>
    <s v="ORD00293"/>
    <d v="2024-05-27T00:00:00"/>
    <x v="7"/>
    <s v="2024-06-03"/>
    <s v="CUST3888"/>
    <x v="1"/>
    <x v="1"/>
    <s v="Uttar Pradesh"/>
    <s v="Mumbai"/>
    <s v="B2B"/>
    <x v="1"/>
    <s v="Product-19"/>
    <n v="1.07"/>
    <n v="2410.94"/>
    <n v="2606.34"/>
    <n v="0.15"/>
    <n v="2162.94"/>
    <n v="1882.09"/>
    <n v="280.85000000000014"/>
    <s v="Net Banking"/>
    <s v="Neha"/>
    <s v="Medium"/>
  </r>
  <r>
    <s v="ORD00300"/>
    <d v="2024-11-24T00:00:00"/>
    <x v="4"/>
    <s v="2024-11-28"/>
    <s v="CUST7183"/>
    <x v="0"/>
    <x v="2"/>
    <s v="Karnataka"/>
    <s v="Delhi"/>
    <s v="Retail Store"/>
    <x v="2"/>
    <s v="Product-32"/>
    <n v="4.82"/>
    <n v="3242.95"/>
    <n v="16015.26"/>
    <n v="0"/>
    <n v="16727.03"/>
    <n v="10436.52"/>
    <n v="6290.5099999999984"/>
    <s v="UPI"/>
    <s v="Amit"/>
    <s v="Medium"/>
  </r>
  <r>
    <s v="ORD00226"/>
    <d v="2024-03-19T00:00:00"/>
    <x v="8"/>
    <s v="2024-03-25"/>
    <s v="CUST9562"/>
    <x v="1"/>
    <x v="3"/>
    <s v="Tamil Nadu"/>
    <s v="Delhi"/>
    <s v="Retail Store"/>
    <x v="2"/>
    <s v="Product-19"/>
    <n v="5.41"/>
    <n v="1479.01"/>
    <n v="7541.36"/>
    <n v="0.1"/>
    <n v="7998.34"/>
    <n v="4685.29"/>
    <n v="3313.05"/>
    <s v="Net Banking"/>
    <s v="Amit"/>
    <s v="Medium"/>
  </r>
  <r>
    <s v="ORD00169"/>
    <d v="2024-08-27T00:00:00"/>
    <x v="9"/>
    <s v="2024-09-03"/>
    <s v="CUST7638"/>
    <x v="0"/>
    <x v="2"/>
    <s v="Karnataka"/>
    <s v="Chennai"/>
    <s v="B2B"/>
    <x v="0"/>
    <s v="Product-15"/>
    <n v="4.21"/>
    <n v="875.6"/>
    <n v="3269.55"/>
    <n v="0.11"/>
    <n v="3388.97"/>
    <n v="1976.48"/>
    <n v="1412.4899999999998"/>
    <s v="Net Banking"/>
    <s v="Neha"/>
    <s v="High"/>
  </r>
  <r>
    <s v="ORD00140"/>
    <d v="2024-02-10T00:00:00"/>
    <x v="1"/>
    <s v="2024-02-17"/>
    <s v="CUST3872"/>
    <x v="2"/>
    <x v="2"/>
    <s v="Uttar Pradesh"/>
    <s v="Mumbai"/>
    <s v="B2B"/>
    <x v="2"/>
    <s v="Product-13"/>
    <n v="2.02"/>
    <n v="3070.59"/>
    <n v="6648.14"/>
    <n v="0.15"/>
    <n v="5080.05"/>
    <n v="4272.87"/>
    <n v="807.18000000000029"/>
    <s v="UPI"/>
    <s v="Amit"/>
    <s v="High"/>
  </r>
  <r>
    <s v="ORD00067"/>
    <d v="2024-01-20T00:00:00"/>
    <x v="10"/>
    <s v="2024-01-25"/>
    <s v="CUST6361"/>
    <x v="0"/>
    <x v="3"/>
    <s v="Maharashtra"/>
    <s v="Noida"/>
    <s v="Retail Store"/>
    <x v="0"/>
    <s v="Product-14"/>
    <n v="11.9"/>
    <n v="2392.9899999999998"/>
    <n v="27232.79"/>
    <n v="0.05"/>
    <n v="25737.08"/>
    <n v="23533.75"/>
    <n v="2203.3300000000017"/>
    <s v="UPI"/>
    <s v="Pooja"/>
    <s v="High"/>
  </r>
  <r>
    <s v="ORD00087"/>
    <d v="2024-05-14T00:00:00"/>
    <x v="7"/>
    <s v="2024-05-20"/>
    <s v="CUST9572"/>
    <x v="0"/>
    <x v="3"/>
    <s v="Maharashtra"/>
    <s v="Delhi"/>
    <s v="B2B"/>
    <x v="0"/>
    <s v="Product-11"/>
    <n v="0.92"/>
    <n v="1177.1199999999999"/>
    <n v="1179.3599999999999"/>
    <n v="0.15"/>
    <n v="1030.05"/>
    <n v="853.89"/>
    <n v="176.15999999999997"/>
    <s v="Debit Card"/>
    <s v="Neha"/>
    <s v="High"/>
  </r>
  <r>
    <s v="ORD00042"/>
    <d v="2024-06-10T00:00:00"/>
    <x v="0"/>
    <s v="2024-06-11"/>
    <s v="CUST2966"/>
    <x v="2"/>
    <x v="0"/>
    <s v="Karnataka"/>
    <s v="Bengaluru"/>
    <s v="Retail Store"/>
    <x v="0"/>
    <s v="Product-26"/>
    <n v="6.1"/>
    <n v="389.99"/>
    <n v="2303.8200000000002"/>
    <n v="0.11"/>
    <n v="2220.61"/>
    <n v="1745.9"/>
    <n v="474.71000000000004"/>
    <s v="Net Banking"/>
    <s v="Karan"/>
    <s v="Low"/>
  </r>
  <r>
    <s v="ORD00238"/>
    <d v="2024-04-14T00:00:00"/>
    <x v="6"/>
    <s v="2024-04-15"/>
    <s v="CUST2178"/>
    <x v="1"/>
    <x v="1"/>
    <s v="Maharashtra"/>
    <s v="Delhi"/>
    <s v="B2B"/>
    <x v="1"/>
    <s v="Product-48"/>
    <n v="3.09"/>
    <n v="1663.65"/>
    <n v="5295.97"/>
    <n v="0"/>
    <n v="4819.47"/>
    <n v="3521.94"/>
    <n v="1297.5300000000002"/>
    <s v="Credit Card"/>
    <s v="Pooja"/>
    <s v="Low"/>
  </r>
  <r>
    <s v="ORD00051"/>
    <d v="2024-05-08T00:00:00"/>
    <x v="7"/>
    <s v="2024-05-13"/>
    <s v="CUST5920"/>
    <x v="1"/>
    <x v="2"/>
    <s v="Tamil Nadu"/>
    <s v="Bengaluru"/>
    <s v="Online"/>
    <x v="1"/>
    <s v="Product-1"/>
    <n v="9.99"/>
    <n v="1807.3"/>
    <n v="20886.099999999999"/>
    <n v="0"/>
    <n v="17770.59"/>
    <n v="13038.66"/>
    <n v="4731.93"/>
    <s v="UPI"/>
    <s v="Karan"/>
    <s v="Medium"/>
  </r>
  <r>
    <s v="ORD00187"/>
    <d v="2024-08-12T00:00:00"/>
    <x v="9"/>
    <s v="2024-08-13"/>
    <s v="CUST3694"/>
    <x v="0"/>
    <x v="3"/>
    <s v="Delhi"/>
    <s v="Chennai"/>
    <s v="B2B"/>
    <x v="1"/>
    <s v="Product-23"/>
    <n v="10.24"/>
    <n v="3160.53"/>
    <n v="40026.93"/>
    <n v="0.05"/>
    <n v="33458.01"/>
    <n v="27555.86"/>
    <n v="5902.1500000000015"/>
    <s v="Credit Card"/>
    <s v="Pooja"/>
    <s v="Low"/>
  </r>
  <r>
    <s v="ORD00025"/>
    <d v="2024-10-10T00:00:00"/>
    <x v="2"/>
    <s v="2024-10-14"/>
    <s v="CUST5840"/>
    <x v="1"/>
    <x v="0"/>
    <s v="Delhi"/>
    <s v="Mumbai"/>
    <s v="Online"/>
    <x v="0"/>
    <s v="Product-17"/>
    <n v="8"/>
    <n v="2247.27"/>
    <n v="21144.85"/>
    <n v="0.15"/>
    <n v="17521.14"/>
    <n v="10187.040000000001"/>
    <n v="7334.0999999999985"/>
    <s v="Debit Card"/>
    <s v="Amit"/>
    <s v="Low"/>
  </r>
  <r>
    <s v="ORD00276"/>
    <d v="2024-04-09T00:00:00"/>
    <x v="6"/>
    <s v="2024-04-10"/>
    <s v="CUST4239"/>
    <x v="1"/>
    <x v="2"/>
    <s v="Karnataka"/>
    <s v="Mumbai"/>
    <s v="B2B"/>
    <x v="1"/>
    <s v="Product-19"/>
    <n v="11.82"/>
    <n v="3022.15"/>
    <n v="34804.11"/>
    <n v="0"/>
    <n v="41200.53"/>
    <n v="24485.4"/>
    <n v="16715.129999999997"/>
    <s v="UPI"/>
    <s v="Karan"/>
    <s v="High"/>
  </r>
  <r>
    <s v="ORD00100"/>
    <d v="2024-07-17T00:00:00"/>
    <x v="5"/>
    <s v="2024-07-21"/>
    <s v="CUST9199"/>
    <x v="1"/>
    <x v="3"/>
    <s v="Tamil Nadu"/>
    <s v="Delhi"/>
    <s v="Online"/>
    <x v="2"/>
    <s v="Product-39"/>
    <n v="1.0900000000000001"/>
    <n v="444.54"/>
    <n v="427.99"/>
    <n v="0.17"/>
    <n v="393.18"/>
    <n v="260.63"/>
    <n v="132.55000000000001"/>
    <s v="Net Banking"/>
    <s v="Amit"/>
    <s v="High"/>
  </r>
  <r>
    <s v="ORD00073"/>
    <d v="2024-09-22T00:00:00"/>
    <x v="3"/>
    <s v="2024-09-24"/>
    <s v="CUST4155"/>
    <x v="2"/>
    <x v="0"/>
    <s v="Karnataka"/>
    <s v="Delhi"/>
    <s v="Retail Store"/>
    <x v="1"/>
    <s v="Product-30"/>
    <n v="6.15"/>
    <n v="1729.74"/>
    <n v="10035.98"/>
    <n v="0.05"/>
    <n v="9762.35"/>
    <n v="7513.98"/>
    <n v="2248.3700000000008"/>
    <s v="Debit Card"/>
    <s v="Pooja"/>
    <s v="Medium"/>
  </r>
  <r>
    <s v="ORD00111"/>
    <d v="2024-08-12T00:00:00"/>
    <x v="9"/>
    <s v="2024-08-18"/>
    <s v="CUST3282"/>
    <x v="0"/>
    <x v="1"/>
    <s v="Uttar Pradesh"/>
    <s v="Delhi"/>
    <s v="Retail Store"/>
    <x v="2"/>
    <s v="Product-10"/>
    <n v="1.92"/>
    <n v="2159.1799999999998"/>
    <n v="4623.24"/>
    <n v="0.1"/>
    <n v="3789.37"/>
    <n v="2546.0500000000002"/>
    <n v="1243.3199999999997"/>
    <s v="Net Banking"/>
    <s v="Neha"/>
    <s v="Medium"/>
  </r>
  <r>
    <s v="ORD00290"/>
    <d v="2024-03-09T00:00:00"/>
    <x v="8"/>
    <s v="2024-03-12"/>
    <s v="CUST2551"/>
    <x v="2"/>
    <x v="1"/>
    <s v="Maharashtra"/>
    <s v="Chennai"/>
    <s v="B2B"/>
    <x v="2"/>
    <s v="Product-18"/>
    <n v="5.34"/>
    <n v="2775"/>
    <n v="16432.009999999998"/>
    <n v="0"/>
    <n v="15811.35"/>
    <n v="13200.47"/>
    <n v="2610.880000000001"/>
    <s v="Credit Card"/>
    <s v="Amit"/>
    <s v="Medium"/>
  </r>
  <r>
    <s v="ORD00001"/>
    <d v="2024-06-14T00:00:00"/>
    <x v="0"/>
    <s v="2024-06-16"/>
    <s v="CUST2542"/>
    <x v="0"/>
    <x v="0"/>
    <s v="Uttar Pradesh"/>
    <s v="Mumbai"/>
    <s v="Online"/>
    <x v="0"/>
    <s v="Product-28"/>
    <n v="6.65"/>
    <n v="2545.66"/>
    <n v="16736.98"/>
    <n v="0"/>
    <n v="18120.57"/>
    <n v="13609.17"/>
    <n v="4511.3999999999996"/>
    <s v="Net Banking"/>
    <s v="Amit"/>
    <s v="Low"/>
  </r>
  <r>
    <s v="ORD00202"/>
    <d v="2024-03-18T00:00:00"/>
    <x v="8"/>
    <s v="2024-03-20"/>
    <s v="CUST7489"/>
    <x v="1"/>
    <x v="3"/>
    <s v="Maharashtra"/>
    <s v="Noida"/>
    <s v="Online"/>
    <x v="0"/>
    <s v="Product-20"/>
    <n v="3.82"/>
    <n v="433.69"/>
    <n v="1828.61"/>
    <n v="0.14000000000000001"/>
    <n v="1401.37"/>
    <n v="1012.35"/>
    <n v="389.01999999999987"/>
    <s v="Debit Card"/>
    <s v="Rohit"/>
    <s v="High"/>
  </r>
  <r>
    <s v="ORD00260"/>
    <d v="2024-08-01T00:00:00"/>
    <x v="9"/>
    <s v="2024-08-02"/>
    <s v="CUST5846"/>
    <x v="0"/>
    <x v="3"/>
    <s v="Tamil Nadu"/>
    <s v="Noida"/>
    <s v="B2B"/>
    <x v="0"/>
    <s v="Product-42"/>
    <n v="9.7100000000000009"/>
    <n v="2416.5300000000002"/>
    <n v="21373.59"/>
    <n v="0.14000000000000001"/>
    <n v="16470.830000000002"/>
    <n v="12443.99"/>
    <n v="4026.840000000002"/>
    <s v="Net Banking"/>
    <s v="Pooja"/>
    <s v="Medium"/>
  </r>
  <r>
    <s v="ORD00189"/>
    <d v="2024-03-11T00:00:00"/>
    <x v="8"/>
    <s v="2024-03-14"/>
    <s v="CUST4645"/>
    <x v="1"/>
    <x v="1"/>
    <s v="Delhi"/>
    <s v="Mumbai"/>
    <s v="B2B"/>
    <x v="1"/>
    <s v="Product-24"/>
    <n v="5.49"/>
    <n v="2002.58"/>
    <n v="12634.48"/>
    <n v="0"/>
    <n v="11510.03"/>
    <n v="9326.77"/>
    <n v="2183.2600000000002"/>
    <s v="Net Banking"/>
    <s v="Rohit"/>
    <s v="High"/>
  </r>
  <r>
    <s v="ORD00202"/>
    <d v="2024-03-18T00:00:00"/>
    <x v="8"/>
    <s v="2024-03-20"/>
    <s v="CUST7489"/>
    <x v="1"/>
    <x v="3"/>
    <s v="Maharashtra"/>
    <s v="Noida"/>
    <s v="Online"/>
    <x v="0"/>
    <s v="Product-20"/>
    <n v="4.38"/>
    <n v="432.84"/>
    <n v="1724.7"/>
    <n v="0.15"/>
    <n v="1370.42"/>
    <n v="956.55"/>
    <n v="413.87000000000012"/>
    <s v="Debit Card"/>
    <s v="Rohit"/>
    <s v="High"/>
  </r>
  <r>
    <s v="ORD00300"/>
    <d v="2024-11-24T00:00:00"/>
    <x v="4"/>
    <s v="2024-11-28"/>
    <s v="CUST7183"/>
    <x v="0"/>
    <x v="2"/>
    <s v="Karnataka"/>
    <s v="Delhi"/>
    <s v="Retail Store"/>
    <x v="2"/>
    <s v="Product-32"/>
    <n v="4.9800000000000004"/>
    <n v="3311.09"/>
    <n v="14676.42"/>
    <n v="0"/>
    <n v="16416.93"/>
    <n v="10628.88"/>
    <n v="5788.0500000000011"/>
    <s v="UPI"/>
    <s v="Amit"/>
    <s v="Medium"/>
  </r>
  <r>
    <s v="ORD00026"/>
    <d v="2024-05-18T00:00:00"/>
    <x v="7"/>
    <s v="2024-05-25"/>
    <s v="CUST9791"/>
    <x v="1"/>
    <x v="1"/>
    <s v="Karnataka"/>
    <s v="Delhi"/>
    <s v="Retail Store"/>
    <x v="0"/>
    <s v="Product-45"/>
    <n v="2.83"/>
    <n v="2799.78"/>
    <n v="9672.9"/>
    <n v="0.11"/>
    <n v="8433.02"/>
    <n v="5589.53"/>
    <n v="2843.4900000000007"/>
    <s v="Credit Card"/>
    <s v="Pooja"/>
    <s v="Low"/>
  </r>
  <r>
    <s v="ORD00193"/>
    <d v="2024-07-09T00:00:00"/>
    <x v="5"/>
    <s v="2024-07-10"/>
    <s v="CUST2974"/>
    <x v="1"/>
    <x v="2"/>
    <s v="Tamil Nadu"/>
    <s v="Delhi"/>
    <s v="B2B"/>
    <x v="0"/>
    <s v="Product-37"/>
    <n v="0.91"/>
    <n v="2416.87"/>
    <n v="2444.9299999999998"/>
    <n v="0.05"/>
    <n v="2488.63"/>
    <n v="1653.76"/>
    <n v="834.87000000000012"/>
    <s v="UPI"/>
    <s v="Rohit"/>
    <s v="Low"/>
  </r>
  <r>
    <s v="ORD00082"/>
    <d v="2024-10-17T00:00:00"/>
    <x v="2"/>
    <s v="2024-10-20"/>
    <s v="CUST7770"/>
    <x v="1"/>
    <x v="3"/>
    <s v="Uttar Pradesh"/>
    <s v="Mumbai"/>
    <s v="Online"/>
    <x v="2"/>
    <s v="Product-40"/>
    <n v="4.9800000000000004"/>
    <n v="706.31"/>
    <n v="3587.98"/>
    <n v="0.1"/>
    <n v="3057.69"/>
    <n v="2517.4"/>
    <n v="540.29"/>
    <s v="Net Banking"/>
    <s v="Neha"/>
    <s v="Low"/>
  </r>
  <r>
    <s v="ORD00234"/>
    <d v="2024-08-01T00:00:00"/>
    <x v="9"/>
    <s v="2024-08-08"/>
    <s v="CUST3384"/>
    <x v="0"/>
    <x v="3"/>
    <s v="Maharashtra"/>
    <s v="Noida"/>
    <s v="Online"/>
    <x v="0"/>
    <s v="Product-35"/>
    <n v="9.5399999999999991"/>
    <n v="751.8"/>
    <n v="8069.82"/>
    <n v="0.16"/>
    <n v="7535.33"/>
    <n v="5291.18"/>
    <n v="2244.1499999999996"/>
    <s v="Debit Card"/>
    <s v="Karan"/>
    <s v="Medium"/>
  </r>
  <r>
    <s v="ORD00084"/>
    <d v="2024-10-23T00:00:00"/>
    <x v="2"/>
    <s v="2024-10-27"/>
    <s v="CUST1006"/>
    <x v="2"/>
    <x v="0"/>
    <s v="Uttar Pradesh"/>
    <s v="Delhi"/>
    <s v="Retail Store"/>
    <x v="0"/>
    <s v="Product-16"/>
    <n v="9.66"/>
    <n v="3371.81"/>
    <n v="34769.339999999997"/>
    <n v="0.14000000000000001"/>
    <n v="30630.65"/>
    <n v="17573.05"/>
    <n v="13057.600000000002"/>
    <s v="Credit Card"/>
    <s v="Amit"/>
    <s v="Low"/>
  </r>
  <r>
    <s v="ORD00086"/>
    <d v="2024-09-01T00:00:00"/>
    <x v="3"/>
    <s v="2024-09-07"/>
    <s v="CUST8622"/>
    <x v="2"/>
    <x v="1"/>
    <s v="Maharashtra"/>
    <s v="Mumbai"/>
    <s v="Online"/>
    <x v="2"/>
    <s v="Product-15"/>
    <n v="8.27"/>
    <n v="457.97"/>
    <n v="4003.84"/>
    <n v="0.16"/>
    <n v="3064.96"/>
    <n v="2601.96"/>
    <n v="463"/>
    <s v="UPI"/>
    <s v="Amit"/>
    <s v="Medium"/>
  </r>
  <r>
    <s v="ORD00264"/>
    <d v="2024-02-01T00:00:00"/>
    <x v="1"/>
    <s v="2024-02-03"/>
    <s v="CUST1876"/>
    <x v="1"/>
    <x v="3"/>
    <s v="Tamil Nadu"/>
    <s v="Bengaluru"/>
    <s v="B2B"/>
    <x v="0"/>
    <s v="Product-18"/>
    <n v="4.82"/>
    <n v="2500.02"/>
    <n v="12383.77"/>
    <n v="0.05"/>
    <n v="11782.13"/>
    <n v="10014.200000000001"/>
    <n v="1767.9299999999985"/>
    <s v="Debit Card"/>
    <s v="Pooja"/>
    <s v="Low"/>
  </r>
  <r>
    <s v="ORD00018"/>
    <d v="2024-10-07T00:00:00"/>
    <x v="2"/>
    <s v="2024-10-12"/>
    <s v="CUST3281"/>
    <x v="0"/>
    <x v="2"/>
    <s v="Maharashtra"/>
    <s v="Delhi"/>
    <s v="Retail Store"/>
    <x v="0"/>
    <s v="Product-19"/>
    <n v="2.99"/>
    <n v="504.85"/>
    <n v="1339.4"/>
    <n v="0"/>
    <n v="1378.95"/>
    <n v="984.77"/>
    <n v="394.18000000000006"/>
    <s v="Credit Card"/>
    <s v="Karan"/>
    <s v="Medium"/>
  </r>
  <r>
    <s v="ORD00084"/>
    <d v="2024-10-23T00:00:00"/>
    <x v="2"/>
    <s v="2024-10-27"/>
    <s v="CUST1006"/>
    <x v="2"/>
    <x v="0"/>
    <s v="Uttar Pradesh"/>
    <s v="Delhi"/>
    <s v="Retail Store"/>
    <x v="0"/>
    <s v="Product-16"/>
    <n v="10.18"/>
    <n v="3178.72"/>
    <n v="35226.449999999997"/>
    <n v="0.15"/>
    <n v="28980.49"/>
    <n v="17121.439999999999"/>
    <n v="11859.050000000003"/>
    <s v="Credit Card"/>
    <s v="Amit"/>
    <s v="Low"/>
  </r>
  <r>
    <s v="ORD00265"/>
    <d v="2024-11-13T00:00:00"/>
    <x v="4"/>
    <s v="2024-11-16"/>
    <s v="CUST6236"/>
    <x v="0"/>
    <x v="1"/>
    <s v="Karnataka"/>
    <s v="Delhi"/>
    <s v="Online"/>
    <x v="1"/>
    <s v="Product-29"/>
    <n v="8.41"/>
    <n v="1788.19"/>
    <n v="13317.48"/>
    <n v="0.09"/>
    <n v="11910.19"/>
    <n v="7762.27"/>
    <n v="4147.92"/>
    <s v="Net Banking"/>
    <s v="Neha"/>
    <s v="Medium"/>
  </r>
  <r>
    <s v="ORD00264"/>
    <d v="2024-02-01T00:00:00"/>
    <x v="1"/>
    <s v="2024-02-03"/>
    <s v="CUST1876"/>
    <x v="1"/>
    <x v="3"/>
    <s v="Tamil Nadu"/>
    <s v="Bengaluru"/>
    <s v="B2B"/>
    <x v="0"/>
    <s v="Product-18"/>
    <n v="4.79"/>
    <n v="2445.88"/>
    <n v="14191.21"/>
    <n v="0.05"/>
    <n v="13891.83"/>
    <n v="9406.2000000000007"/>
    <n v="4485.6299999999992"/>
    <s v="Debit Card"/>
    <s v="Pooja"/>
    <s v="Low"/>
  </r>
  <r>
    <s v="ORD00025"/>
    <d v="2024-10-10T00:00:00"/>
    <x v="2"/>
    <s v="2024-10-14"/>
    <s v="CUST5840"/>
    <x v="1"/>
    <x v="0"/>
    <s v="Delhi"/>
    <s v="Mumbai"/>
    <s v="Online"/>
    <x v="0"/>
    <s v="Product-17"/>
    <n v="8.5399999999999991"/>
    <n v="2654.86"/>
    <n v="20295.060000000001"/>
    <n v="0.14000000000000001"/>
    <n v="17227.849999999999"/>
    <n v="10530.6"/>
    <n v="6697.2499999999982"/>
    <s v="Debit Card"/>
    <s v="Amit"/>
    <s v="Low"/>
  </r>
  <r>
    <s v="ORD00086"/>
    <d v="2024-09-01T00:00:00"/>
    <x v="3"/>
    <s v="2024-09-07"/>
    <s v="CUST8622"/>
    <x v="2"/>
    <x v="1"/>
    <s v="Maharashtra"/>
    <s v="Mumbai"/>
    <s v="Online"/>
    <x v="2"/>
    <s v="Product-15"/>
    <n v="8.48"/>
    <n v="484.31"/>
    <n v="3817.47"/>
    <n v="0.17"/>
    <n v="3230.95"/>
    <n v="2526.64"/>
    <n v="704.31"/>
    <s v="UPI"/>
    <s v="Amit"/>
    <s v="Medium"/>
  </r>
  <r>
    <s v="ORD00061"/>
    <d v="2024-09-09T00:00:00"/>
    <x v="3"/>
    <s v="2024-09-11"/>
    <s v="CUST3479"/>
    <x v="1"/>
    <x v="2"/>
    <s v="Karnataka"/>
    <s v="Bengaluru"/>
    <s v="Retail Store"/>
    <x v="2"/>
    <s v="Product-39"/>
    <n v="8.15"/>
    <n v="1087.71"/>
    <n v="7178.37"/>
    <n v="0.09"/>
    <n v="6882.15"/>
    <n v="5568.63"/>
    <n v="1313.5199999999995"/>
    <s v="UPI"/>
    <s v="Karan"/>
    <s v="Low"/>
  </r>
  <r>
    <s v="ORD00023"/>
    <d v="2024-05-03T00:00:00"/>
    <x v="7"/>
    <s v="2024-05-07"/>
    <s v="CUST3530"/>
    <x v="1"/>
    <x v="3"/>
    <s v="Maharashtra"/>
    <s v="Bengaluru"/>
    <s v="Online"/>
    <x v="2"/>
    <s v="Product-15"/>
    <n v="1.82"/>
    <n v="1145.99"/>
    <n v="2246.94"/>
    <n v="0.09"/>
    <n v="1937.82"/>
    <n v="1652.65"/>
    <n v="285.16999999999985"/>
    <s v="UPI"/>
    <s v="Pooja"/>
    <s v="Medium"/>
  </r>
  <r>
    <s v="ORD00070"/>
    <d v="2024-02-16T00:00:00"/>
    <x v="1"/>
    <s v="2024-02-20"/>
    <s v="CUST3129"/>
    <x v="2"/>
    <x v="0"/>
    <s v="Uttar Pradesh"/>
    <s v="Mumbai"/>
    <s v="B2B"/>
    <x v="2"/>
    <s v="Product-6"/>
    <n v="9.1199999999999992"/>
    <n v="3013.47"/>
    <n v="29649.8"/>
    <n v="0.16"/>
    <n v="29031.19"/>
    <n v="18757.580000000002"/>
    <n v="10273.609999999997"/>
    <s v="Debit Card"/>
    <s v="Karan"/>
    <s v="Low"/>
  </r>
  <r>
    <s v="ORD00076"/>
    <d v="2024-06-09T00:00:00"/>
    <x v="0"/>
    <s v="2024-06-16"/>
    <s v="CUST7190"/>
    <x v="1"/>
    <x v="2"/>
    <s v="Delhi"/>
    <s v="Delhi"/>
    <s v="B2B"/>
    <x v="1"/>
    <s v="Product-45"/>
    <n v="10.86"/>
    <n v="2154.91"/>
    <n v="21671.9"/>
    <n v="0"/>
    <n v="23113.35"/>
    <n v="18091.43"/>
    <n v="5021.9199999999983"/>
    <s v="UPI"/>
    <s v="Neha"/>
    <s v="Low"/>
  </r>
  <r>
    <s v="ORD00094"/>
    <d v="2024-06-27T00:00:00"/>
    <x v="0"/>
    <s v="2024-07-01"/>
    <s v="CUST6688"/>
    <x v="1"/>
    <x v="3"/>
    <s v="Uttar Pradesh"/>
    <s v="Mumbai"/>
    <s v="Retail Store"/>
    <x v="0"/>
    <s v="Product-45"/>
    <n v="2.19"/>
    <n v="1871.04"/>
    <n v="3818.97"/>
    <n v="0.05"/>
    <n v="4015.65"/>
    <n v="3315.27"/>
    <n v="700.38000000000011"/>
    <s v="Credit Card"/>
    <s v="Pooja"/>
    <s v="Low"/>
  </r>
  <r>
    <s v="ORD00199"/>
    <d v="2024-10-23T00:00:00"/>
    <x v="2"/>
    <s v="2024-10-27"/>
    <s v="CUST1743"/>
    <x v="1"/>
    <x v="2"/>
    <s v="Maharashtra"/>
    <s v="Bengaluru"/>
    <s v="Retail Store"/>
    <x v="2"/>
    <s v="Product-5"/>
    <n v="5.51"/>
    <n v="1109.31"/>
    <n v="6344.83"/>
    <n v="0.05"/>
    <n v="6891.88"/>
    <n v="4941.0600000000004"/>
    <n v="1950.8199999999997"/>
    <s v="Debit Card"/>
    <s v="Rohit"/>
    <s v="High"/>
  </r>
  <r>
    <s v="ORD00070"/>
    <d v="2024-02-16T00:00:00"/>
    <x v="1"/>
    <s v="2024-02-20"/>
    <s v="CUST3129"/>
    <x v="2"/>
    <x v="0"/>
    <s v="Uttar Pradesh"/>
    <s v="Mumbai"/>
    <s v="B2B"/>
    <x v="2"/>
    <s v="Product-6"/>
    <n v="8.5399999999999991"/>
    <n v="3131.76"/>
    <n v="29413.87"/>
    <n v="0.15"/>
    <n v="24197.360000000001"/>
    <n v="18903.91"/>
    <n v="5293.4500000000007"/>
    <s v="Debit Card"/>
    <s v="Karan"/>
    <s v="Low"/>
  </r>
  <r>
    <s v="ORD00172"/>
    <d v="2024-06-08T00:00:00"/>
    <x v="0"/>
    <s v="2024-06-09"/>
    <s v="CUST7608"/>
    <x v="0"/>
    <x v="2"/>
    <s v="Karnataka"/>
    <s v="Mumbai"/>
    <s v="Online"/>
    <x v="2"/>
    <s v="Product-44"/>
    <n v="4.3499999999999996"/>
    <n v="1293.28"/>
    <n v="4938.09"/>
    <n v="0.15"/>
    <n v="4016.5"/>
    <n v="2826.75"/>
    <n v="1189.75"/>
    <s v="Debit Card"/>
    <s v="Pooja"/>
    <s v="Low"/>
  </r>
  <r>
    <s v="ORD00062"/>
    <d v="2024-07-19T00:00:00"/>
    <x v="5"/>
    <s v="2024-07-26"/>
    <s v="CUST8892"/>
    <x v="1"/>
    <x v="3"/>
    <s v="Maharashtra"/>
    <s v="Chennai"/>
    <s v="Online"/>
    <x v="0"/>
    <s v="Product-17"/>
    <n v="3.11"/>
    <n v="1138.99"/>
    <n v="3859.69"/>
    <n v="0"/>
    <n v="3531.33"/>
    <n v="2523.56"/>
    <n v="1007.77"/>
    <s v="UPI"/>
    <s v="Neha"/>
    <s v="Low"/>
  </r>
  <r>
    <s v="ORD00066"/>
    <d v="2024-09-19T00:00:00"/>
    <x v="3"/>
    <s v="2024-09-26"/>
    <s v="CUST1103"/>
    <x v="2"/>
    <x v="3"/>
    <s v="Maharashtra"/>
    <s v="Delhi"/>
    <s v="Retail Store"/>
    <x v="2"/>
    <s v="Product-10"/>
    <n v="3"/>
    <n v="1808.16"/>
    <n v="5692.33"/>
    <n v="0.11"/>
    <n v="5237.28"/>
    <n v="3788.35"/>
    <n v="1448.9299999999998"/>
    <s v="UPI"/>
    <s v="Neha"/>
    <s v="Medium"/>
  </r>
  <r>
    <s v="ORD00274"/>
    <d v="2024-09-15T00:00:00"/>
    <x v="3"/>
    <s v="2024-09-18"/>
    <s v="CUST2841"/>
    <x v="0"/>
    <x v="1"/>
    <s v="Uttar Pradesh"/>
    <s v="Noida"/>
    <s v="Retail Store"/>
    <x v="0"/>
    <s v="Product-43"/>
    <n v="6.82"/>
    <n v="1488.87"/>
    <n v="10776.61"/>
    <n v="0.11"/>
    <n v="9549.16"/>
    <n v="7271.83"/>
    <n v="2277.33"/>
    <s v="UPI"/>
    <s v="Rohit"/>
    <s v="High"/>
  </r>
  <r>
    <s v="ORD00285"/>
    <d v="2024-09-02T00:00:00"/>
    <x v="3"/>
    <s v="2024-09-09"/>
    <s v="CUST9668"/>
    <x v="2"/>
    <x v="3"/>
    <s v="Delhi"/>
    <s v="Noida"/>
    <s v="Retail Store"/>
    <x v="0"/>
    <s v="Product-5"/>
    <n v="1.9"/>
    <n v="2486.5500000000002"/>
    <n v="5999.18"/>
    <n v="0"/>
    <n v="5325.13"/>
    <n v="3754.68"/>
    <n v="1570.4500000000003"/>
    <s v="UPI"/>
    <s v="Karan"/>
    <s v="High"/>
  </r>
  <r>
    <s v="ORD00206"/>
    <d v="2024-05-18T00:00:00"/>
    <x v="7"/>
    <s v="2024-05-23"/>
    <s v="CUST4477"/>
    <x v="0"/>
    <x v="3"/>
    <s v="Delhi"/>
    <s v="Chennai"/>
    <s v="Retail Store"/>
    <x v="1"/>
    <s v="Product-44"/>
    <n v="11.32"/>
    <n v="3371.35"/>
    <n v="34170.07"/>
    <n v="0.1"/>
    <n v="33240.99"/>
    <n v="26583.58"/>
    <n v="6657.4099999999962"/>
    <s v="Debit Card"/>
    <s v="Neha"/>
    <s v="Low"/>
  </r>
  <r>
    <s v="ORD00171"/>
    <d v="2024-10-17T00:00:00"/>
    <x v="2"/>
    <s v="2024-10-19"/>
    <s v="CUST4793"/>
    <x v="0"/>
    <x v="2"/>
    <s v="Delhi"/>
    <s v="Delhi"/>
    <s v="B2B"/>
    <x v="2"/>
    <s v="Product-33"/>
    <n v="4.8499999999999996"/>
    <n v="404.38"/>
    <n v="2114.04"/>
    <n v="0"/>
    <n v="2134.44"/>
    <n v="1777.45"/>
    <n v="356.99"/>
    <s v="Debit Card"/>
    <s v="Neha"/>
    <s v="Low"/>
  </r>
  <r>
    <s v="ORD00199"/>
    <d v="2024-10-23T00:00:00"/>
    <x v="2"/>
    <s v="2024-10-27"/>
    <s v="CUST1743"/>
    <x v="1"/>
    <x v="2"/>
    <s v="Maharashtra"/>
    <s v="Bengaluru"/>
    <s v="Retail Store"/>
    <x v="2"/>
    <s v="Product-5"/>
    <n v="5.78"/>
    <n v="1160.27"/>
    <n v="5279.18"/>
    <n v="0.05"/>
    <n v="6275.87"/>
    <n v="4471.5200000000004"/>
    <n v="1804.3499999999995"/>
    <s v="Debit Card"/>
    <s v="Rohit"/>
    <s v="High"/>
  </r>
  <r>
    <s v="ORD00149"/>
    <d v="2024-11-13T00:00:00"/>
    <x v="4"/>
    <s v="2024-11-16"/>
    <s v="CUST5105"/>
    <x v="2"/>
    <x v="0"/>
    <s v="Tamil Nadu"/>
    <s v="Mumbai"/>
    <s v="Online"/>
    <x v="2"/>
    <s v="Product-8"/>
    <n v="11.69"/>
    <n v="2743.63"/>
    <n v="22278.12"/>
    <n v="0"/>
    <n v="23565.53"/>
    <n v="19088.2"/>
    <n v="4477.3299999999981"/>
    <s v="Debit Card"/>
    <s v="Rohit"/>
    <s v="High"/>
  </r>
  <r>
    <s v="ORD00007"/>
    <d v="2024-07-16T00:00:00"/>
    <x v="5"/>
    <s v="2024-07-22"/>
    <s v="CUST2918"/>
    <x v="0"/>
    <x v="0"/>
    <s v="Maharashtra"/>
    <s v="Bengaluru"/>
    <s v="Online"/>
    <x v="1"/>
    <s v="Product-16"/>
    <n v="6.17"/>
    <n v="462.85"/>
    <n v="2443.0500000000002"/>
    <n v="0.15"/>
    <n v="2116.35"/>
    <n v="1728.06"/>
    <n v="388.28999999999996"/>
    <s v="Net Banking"/>
    <s v="Pooja"/>
    <s v="Medium"/>
  </r>
  <r>
    <s v="ORD00274"/>
    <d v="2024-09-15T00:00:00"/>
    <x v="3"/>
    <s v="2024-09-18"/>
    <s v="CUST2841"/>
    <x v="0"/>
    <x v="1"/>
    <s v="Uttar Pradesh"/>
    <s v="Noida"/>
    <s v="Retail Store"/>
    <x v="0"/>
    <s v="Product-43"/>
    <n v="6.37"/>
    <n v="1486.18"/>
    <n v="11888.5"/>
    <n v="0.1"/>
    <n v="8926.09"/>
    <n v="8020.64"/>
    <n v="905.44999999999982"/>
    <s v="UPI"/>
    <s v="Rohit"/>
    <s v="High"/>
  </r>
  <r>
    <s v="ORD00151"/>
    <d v="2024-02-14T00:00:00"/>
    <x v="1"/>
    <s v="2024-02-20"/>
    <s v="CUST4630"/>
    <x v="1"/>
    <x v="1"/>
    <s v="Maharashtra"/>
    <s v="Noida"/>
    <s v="B2B"/>
    <x v="2"/>
    <s v="Product-30"/>
    <n v="8.4700000000000006"/>
    <n v="1280.18"/>
    <n v="11686.24"/>
    <n v="0.15"/>
    <n v="9026.86"/>
    <n v="6718.58"/>
    <n v="2308.2800000000007"/>
    <s v="Debit Card"/>
    <s v="Karan"/>
    <s v="Medium"/>
  </r>
  <r>
    <s v="ORD00183"/>
    <d v="2024-03-11T00:00:00"/>
    <x v="8"/>
    <s v="2024-03-17"/>
    <s v="CUST5854"/>
    <x v="0"/>
    <x v="2"/>
    <s v="Uttar Pradesh"/>
    <s v="Mumbai"/>
    <s v="Online"/>
    <x v="1"/>
    <s v="Product-20"/>
    <n v="0.99"/>
    <n v="515.52"/>
    <n v="433.53"/>
    <n v="0.14000000000000001"/>
    <n v="439.07"/>
    <n v="301.02999999999997"/>
    <n v="138.04000000000002"/>
    <s v="Debit Card"/>
    <s v="Pooja"/>
    <s v="Low"/>
  </r>
  <r>
    <s v="ORD00131"/>
    <d v="2024-08-22T00:00:00"/>
    <x v="9"/>
    <s v="2024-08-26"/>
    <s v="CUST2473"/>
    <x v="0"/>
    <x v="3"/>
    <s v="Uttar Pradesh"/>
    <s v="Mumbai"/>
    <s v="B2B"/>
    <x v="0"/>
    <s v="Product-43"/>
    <n v="2.14"/>
    <n v="3328.26"/>
    <n v="5665.19"/>
    <n v="0.16"/>
    <n v="4765.6099999999997"/>
    <n v="4636.3599999999997"/>
    <n v="129.25"/>
    <s v="Net Banking"/>
    <s v="Neha"/>
    <s v="Medium"/>
  </r>
  <r>
    <s v="ORD00117"/>
    <d v="2024-11-09T00:00:00"/>
    <x v="4"/>
    <s v="2024-11-13"/>
    <s v="CUST8501"/>
    <x v="1"/>
    <x v="2"/>
    <s v="Delhi"/>
    <s v="Mumbai"/>
    <s v="Online"/>
    <x v="2"/>
    <s v="Product-50"/>
    <n v="10.02"/>
    <n v="920.25"/>
    <n v="9396.39"/>
    <n v="0"/>
    <n v="9161.81"/>
    <n v="6075.96"/>
    <n v="3085.8499999999995"/>
    <s v="UPI"/>
    <s v="Amit"/>
    <s v="Medium"/>
  </r>
  <r>
    <s v="ORD00172"/>
    <d v="2024-06-08T00:00:00"/>
    <x v="0"/>
    <s v="2024-06-09"/>
    <s v="CUST7608"/>
    <x v="0"/>
    <x v="2"/>
    <s v="Karnataka"/>
    <s v="Mumbai"/>
    <s v="Online"/>
    <x v="2"/>
    <s v="Product-44"/>
    <n v="4.2"/>
    <n v="1299.55"/>
    <n v="4897.3900000000003"/>
    <n v="0.15"/>
    <n v="4269.5200000000004"/>
    <n v="3086.63"/>
    <n v="1182.8900000000003"/>
    <s v="Debit Card"/>
    <s v="Pooja"/>
    <s v="Low"/>
  </r>
  <r>
    <s v="ORD00092"/>
    <d v="2024-05-13T00:00:00"/>
    <x v="7"/>
    <s v="2024-05-14"/>
    <s v="CUST7029"/>
    <x v="0"/>
    <x v="1"/>
    <s v="Karnataka"/>
    <s v="Noida"/>
    <s v="B2B"/>
    <x v="0"/>
    <s v="Product-27"/>
    <n v="6.15"/>
    <n v="1153.98"/>
    <n v="6829.67"/>
    <n v="0.11"/>
    <n v="6948.16"/>
    <n v="3565.99"/>
    <n v="3382.17"/>
    <s v="UPI"/>
    <s v="Pooja"/>
    <s v="High"/>
  </r>
  <r>
    <s v="ORD00175"/>
    <d v="2024-01-01T00:00:00"/>
    <x v="10"/>
    <s v="2024-01-02"/>
    <s v="CUST1775"/>
    <x v="2"/>
    <x v="0"/>
    <s v="Delhi"/>
    <s v="Bengaluru"/>
    <s v="Online"/>
    <x v="2"/>
    <s v="Product-48"/>
    <n v="11.07"/>
    <n v="1257.06"/>
    <n v="13483.06"/>
    <n v="0"/>
    <n v="14026.1"/>
    <n v="12384.05"/>
    <n v="1642.0500000000011"/>
    <s v="UPI"/>
    <s v="Pooja"/>
    <s v="High"/>
  </r>
  <r>
    <s v="ORD00165"/>
    <d v="2024-01-23T00:00:00"/>
    <x v="10"/>
    <s v="2024-01-27"/>
    <s v="CUST3611"/>
    <x v="1"/>
    <x v="2"/>
    <s v="Karnataka"/>
    <s v="Delhi"/>
    <s v="Retail Store"/>
    <x v="2"/>
    <s v="Product-27"/>
    <n v="1.08"/>
    <n v="2234.85"/>
    <n v="2449.2600000000002"/>
    <n v="0.05"/>
    <n v="1986.27"/>
    <n v="1444.23"/>
    <n v="542.04"/>
    <s v="Debit Card"/>
    <s v="Pooja"/>
    <s v="Low"/>
  </r>
  <r>
    <s v="ORD00230"/>
    <d v="2024-11-07T00:00:00"/>
    <x v="4"/>
    <s v="2024-11-14"/>
    <s v="CUST3121"/>
    <x v="1"/>
    <x v="2"/>
    <s v="Uttar Pradesh"/>
    <s v="Bengaluru"/>
    <s v="Online"/>
    <x v="1"/>
    <s v="Product-14"/>
    <n v="4.92"/>
    <n v="1428.86"/>
    <n v="7263.01"/>
    <n v="0.14000000000000001"/>
    <n v="6656.93"/>
    <n v="5404.79"/>
    <n v="1252.1400000000003"/>
    <s v="Debit Card"/>
    <s v="Amit"/>
    <s v="Low"/>
  </r>
  <r>
    <s v="ORD00152"/>
    <d v="2024-08-28T00:00:00"/>
    <x v="9"/>
    <s v="2024-09-04"/>
    <s v="CUST9395"/>
    <x v="1"/>
    <x v="1"/>
    <s v="Uttar Pradesh"/>
    <s v="Chennai"/>
    <s v="Online"/>
    <x v="2"/>
    <s v="Product-11"/>
    <n v="5.23"/>
    <n v="456.51"/>
    <n v="2425.19"/>
    <n v="0.1"/>
    <n v="2073.0100000000002"/>
    <n v="1385.12"/>
    <n v="687.89000000000033"/>
    <s v="Credit Card"/>
    <s v="Rohit"/>
    <s v="High"/>
  </r>
  <r>
    <s v="ORD00232"/>
    <d v="2024-09-08T00:00:00"/>
    <x v="3"/>
    <s v="2024-09-10"/>
    <s v="CUST4280"/>
    <x v="0"/>
    <x v="0"/>
    <s v="Karnataka"/>
    <s v="Noida"/>
    <s v="Retail Store"/>
    <x v="2"/>
    <s v="Product-50"/>
    <n v="10.16"/>
    <n v="2710.8"/>
    <n v="27993.81"/>
    <n v="0"/>
    <n v="23565.25"/>
    <n v="18816.830000000002"/>
    <n v="4748.4199999999983"/>
    <s v="Net Banking"/>
    <s v="Amit"/>
    <s v="Low"/>
  </r>
  <r>
    <s v="ORD00077"/>
    <d v="2024-09-08T00:00:00"/>
    <x v="3"/>
    <s v="2024-09-11"/>
    <s v="CUST6749"/>
    <x v="1"/>
    <x v="3"/>
    <s v="Maharashtra"/>
    <s v="Bengaluru"/>
    <s v="B2B"/>
    <x v="2"/>
    <s v="Product-30"/>
    <n v="3.25"/>
    <n v="2346.88"/>
    <n v="7554.2"/>
    <n v="0.05"/>
    <n v="6982.79"/>
    <n v="4754.6899999999996"/>
    <n v="2228.1000000000004"/>
    <s v="Credit Card"/>
    <s v="Rohit"/>
    <s v="High"/>
  </r>
  <r>
    <s v="ORD00112"/>
    <d v="2024-03-25T00:00:00"/>
    <x v="8"/>
    <s v="2024-03-30"/>
    <s v="CUST6254"/>
    <x v="0"/>
    <x v="1"/>
    <s v="Karnataka"/>
    <s v="Chennai"/>
    <s v="Retail Store"/>
    <x v="2"/>
    <s v="Product-27"/>
    <n v="9.8000000000000007"/>
    <n v="3263.65"/>
    <n v="29483.65"/>
    <n v="0"/>
    <n v="31356.19"/>
    <n v="20185.64"/>
    <n v="11170.55"/>
    <s v="UPI"/>
    <s v="Neha"/>
    <s v="High"/>
  </r>
  <r>
    <s v="ORD00148"/>
    <d v="2024-09-28T00:00:00"/>
    <x v="3"/>
    <s v="2024-09-30"/>
    <s v="CUST1341"/>
    <x v="2"/>
    <x v="2"/>
    <s v="Tamil Nadu"/>
    <s v="Chennai"/>
    <s v="Retail Store"/>
    <x v="1"/>
    <s v="Product-3"/>
    <n v="1.99"/>
    <n v="1266.4100000000001"/>
    <n v="2673.29"/>
    <n v="0.05"/>
    <n v="2738.12"/>
    <n v="2093.33"/>
    <n v="644.79"/>
    <s v="UPI"/>
    <s v="Amit"/>
    <s v="High"/>
  </r>
  <r>
    <s v="ORD00265"/>
    <d v="2024-11-13T00:00:00"/>
    <x v="4"/>
    <s v="2024-11-16"/>
    <s v="CUST6236"/>
    <x v="0"/>
    <x v="1"/>
    <s v="Karnataka"/>
    <s v="Delhi"/>
    <s v="Online"/>
    <x v="1"/>
    <s v="Product-29"/>
    <n v="7.25"/>
    <n v="1578.23"/>
    <n v="12594.72"/>
    <n v="0.09"/>
    <n v="12562.32"/>
    <n v="7992.15"/>
    <n v="4570.17"/>
    <s v="Net Banking"/>
    <s v="Neha"/>
    <s v="Medium"/>
  </r>
  <r>
    <s v="ORD00093"/>
    <d v="2024-02-20T00:00:00"/>
    <x v="1"/>
    <s v="2024-02-23"/>
    <s v="CUST2489"/>
    <x v="1"/>
    <x v="3"/>
    <s v="Maharashtra"/>
    <s v="Chennai"/>
    <s v="Online"/>
    <x v="1"/>
    <s v="Product-13"/>
    <n v="8.39"/>
    <n v="2329.3000000000002"/>
    <n v="18681.13"/>
    <n v="0.05"/>
    <n v="20699.439999999999"/>
    <n v="15621.58"/>
    <n v="5077.8599999999988"/>
    <s v="Debit Card"/>
    <s v="Amit"/>
    <s v="Low"/>
  </r>
  <r>
    <s v="ORD00026"/>
    <d v="2024-05-18T00:00:00"/>
    <x v="7"/>
    <s v="2024-05-25"/>
    <s v="CUST9791"/>
    <x v="1"/>
    <x v="1"/>
    <s v="Karnataka"/>
    <s v="Delhi"/>
    <s v="Retail Store"/>
    <x v="0"/>
    <s v="Product-45"/>
    <n v="2.93"/>
    <n v="2954.2"/>
    <n v="8008.36"/>
    <n v="0.09"/>
    <n v="8667.3799999999992"/>
    <n v="5849.83"/>
    <n v="2817.5499999999993"/>
    <s v="Credit Card"/>
    <s v="Pooja"/>
    <s v="Low"/>
  </r>
  <r>
    <s v="ORD00292"/>
    <d v="2024-11-17T00:00:00"/>
    <x v="4"/>
    <s v="2024-11-20"/>
    <s v="CUST3639"/>
    <x v="2"/>
    <x v="0"/>
    <s v="Uttar Pradesh"/>
    <s v="Mumbai"/>
    <s v="Retail Store"/>
    <x v="1"/>
    <s v="Product-45"/>
    <n v="6.46"/>
    <n v="577.52"/>
    <n v="3846.2"/>
    <n v="0"/>
    <n v="3391.52"/>
    <n v="3129.44"/>
    <n v="262.07999999999993"/>
    <s v="UPI"/>
    <s v="Neha"/>
    <s v="Low"/>
  </r>
  <r>
    <s v="ORD00070"/>
    <d v="2024-02-16T00:00:00"/>
    <x v="1"/>
    <s v="2024-02-20"/>
    <s v="CUST3129"/>
    <x v="2"/>
    <x v="0"/>
    <s v="Uttar Pradesh"/>
    <s v="Mumbai"/>
    <s v="B2B"/>
    <x v="2"/>
    <s v="Product-6"/>
    <n v="9.0399999999999991"/>
    <n v="3027.48"/>
    <n v="27932.04"/>
    <n v="0.14000000000000001"/>
    <n v="26352.77"/>
    <n v="17233.650000000001"/>
    <n v="9119.119999999999"/>
    <s v="Debit Card"/>
    <s v="Karan"/>
    <s v="Low"/>
  </r>
  <r>
    <s v="ORD00125"/>
    <d v="2024-08-19T00:00:00"/>
    <x v="9"/>
    <s v="2024-08-22"/>
    <s v="CUST3576"/>
    <x v="1"/>
    <x v="0"/>
    <s v="Karnataka"/>
    <s v="Mumbai"/>
    <s v="B2B"/>
    <x v="0"/>
    <s v="Product-18"/>
    <n v="11.59"/>
    <n v="427.68"/>
    <n v="5059.7"/>
    <n v="0.11"/>
    <n v="4545.47"/>
    <n v="3176.59"/>
    <n v="1368.88"/>
    <s v="Net Banking"/>
    <s v="Rohit"/>
    <s v="High"/>
  </r>
  <r>
    <s v="ORD00120"/>
    <d v="2024-10-07T00:00:00"/>
    <x v="2"/>
    <s v="2024-10-08"/>
    <s v="CUST1254"/>
    <x v="0"/>
    <x v="0"/>
    <s v="Delhi"/>
    <s v="Delhi"/>
    <s v="Online"/>
    <x v="0"/>
    <s v="Product-8"/>
    <n v="1.94"/>
    <n v="2372.06"/>
    <n v="4817.8100000000004"/>
    <n v="0.05"/>
    <n v="4829.6400000000003"/>
    <n v="3873.15"/>
    <n v="956.49000000000024"/>
    <s v="Credit Card"/>
    <s v="Pooja"/>
    <s v="Low"/>
  </r>
  <r>
    <s v="ORD00278"/>
    <d v="2024-03-30T00:00:00"/>
    <x v="8"/>
    <s v="2024-04-05"/>
    <s v="CUST8455"/>
    <x v="2"/>
    <x v="3"/>
    <s v="Delhi"/>
    <s v="Mumbai"/>
    <s v="Retail Store"/>
    <x v="2"/>
    <s v="Product-32"/>
    <n v="6"/>
    <n v="1697.99"/>
    <n v="10418.780000000001"/>
    <n v="0"/>
    <n v="10816.84"/>
    <n v="7541.55"/>
    <n v="3275.29"/>
    <s v="UPI"/>
    <s v="Rohit"/>
    <s v="Medium"/>
  </r>
  <r>
    <s v="ORD00100"/>
    <d v="2024-07-17T00:00:00"/>
    <x v="5"/>
    <s v="2024-07-21"/>
    <s v="CUST9199"/>
    <x v="1"/>
    <x v="3"/>
    <s v="Tamil Nadu"/>
    <s v="Delhi"/>
    <s v="Online"/>
    <x v="2"/>
    <s v="Product-39"/>
    <n v="1.0900000000000001"/>
    <n v="460.09"/>
    <n v="421.07"/>
    <n v="0.15"/>
    <n v="368.03"/>
    <n v="301.87"/>
    <n v="66.159999999999968"/>
    <s v="Net Banking"/>
    <s v="Amit"/>
    <s v="High"/>
  </r>
  <r>
    <s v="ORD00264"/>
    <d v="2024-02-01T00:00:00"/>
    <x v="1"/>
    <s v="2024-02-03"/>
    <s v="CUST1876"/>
    <x v="1"/>
    <x v="3"/>
    <s v="Tamil Nadu"/>
    <s v="Bengaluru"/>
    <s v="B2B"/>
    <x v="0"/>
    <s v="Product-18"/>
    <n v="5"/>
    <n v="2337.89"/>
    <n v="11172.07"/>
    <n v="0.05"/>
    <n v="11631.43"/>
    <n v="9030.68"/>
    <n v="2600.75"/>
    <s v="Debit Card"/>
    <s v="Pooja"/>
    <s v="Low"/>
  </r>
  <r>
    <s v="ORD00187"/>
    <d v="2024-08-12T00:00:00"/>
    <x v="9"/>
    <s v="2024-08-13"/>
    <s v="CUST3694"/>
    <x v="0"/>
    <x v="3"/>
    <s v="Delhi"/>
    <s v="Chennai"/>
    <s v="B2B"/>
    <x v="1"/>
    <s v="Product-23"/>
    <n v="10.78"/>
    <n v="3363.33"/>
    <n v="35664.79"/>
    <n v="0.05"/>
    <n v="32774.21"/>
    <n v="30006.45"/>
    <n v="2767.7599999999984"/>
    <s v="Credit Card"/>
    <s v="Pooja"/>
    <s v="Low"/>
  </r>
  <r>
    <s v="ORD00202"/>
    <d v="2024-03-18T00:00:00"/>
    <x v="8"/>
    <s v="2024-03-20"/>
    <s v="CUST7489"/>
    <x v="1"/>
    <x v="3"/>
    <s v="Maharashtra"/>
    <s v="Noida"/>
    <s v="Online"/>
    <x v="0"/>
    <s v="Product-20"/>
    <n v="3.87"/>
    <n v="416.4"/>
    <n v="1761.33"/>
    <n v="0.15"/>
    <n v="1572.29"/>
    <n v="1077.0899999999999"/>
    <n v="495.20000000000005"/>
    <s v="Debit Card"/>
    <s v="Rohit"/>
    <s v="High"/>
  </r>
  <r>
    <s v="ORD00199"/>
    <d v="2024-10-23T00:00:00"/>
    <x v="2"/>
    <s v="2024-10-27"/>
    <s v="CUST1743"/>
    <x v="1"/>
    <x v="2"/>
    <s v="Maharashtra"/>
    <s v="Bengaluru"/>
    <s v="Retail Store"/>
    <x v="2"/>
    <s v="Product-5"/>
    <n v="5.37"/>
    <n v="1292.1099999999999"/>
    <n v="5049.7700000000004"/>
    <n v="0.05"/>
    <n v="6776.73"/>
    <n v="4979.7700000000004"/>
    <n v="1796.9599999999991"/>
    <s v="Debit Card"/>
    <s v="Rohit"/>
    <s v="High"/>
  </r>
  <r>
    <s v="ORD00288"/>
    <d v="2024-02-15T00:00:00"/>
    <x v="1"/>
    <s v="2024-02-18"/>
    <s v="CUST6486"/>
    <x v="2"/>
    <x v="0"/>
    <s v="Delhi"/>
    <s v="Delhi"/>
    <s v="Online"/>
    <x v="0"/>
    <s v="Product-44"/>
    <n v="4.82"/>
    <n v="1363.58"/>
    <n v="6104.29"/>
    <n v="0.1"/>
    <n v="5492.12"/>
    <n v="3697"/>
    <n v="1795.12"/>
    <s v="Credit Card"/>
    <s v="Karan"/>
    <s v="Medium"/>
  </r>
  <r>
    <s v="ORD00181"/>
    <d v="2024-03-23T00:00:00"/>
    <x v="8"/>
    <s v="2024-03-26"/>
    <s v="CUST2176"/>
    <x v="2"/>
    <x v="0"/>
    <s v="Tamil Nadu"/>
    <s v="Chennai"/>
    <s v="Online"/>
    <x v="1"/>
    <s v="Product-46"/>
    <n v="7.79"/>
    <n v="1799.66"/>
    <n v="14855.66"/>
    <n v="0.1"/>
    <n v="12788.76"/>
    <n v="9198.06"/>
    <n v="3590.7000000000007"/>
    <s v="Debit Card"/>
    <s v="Karan"/>
    <s v="Medium"/>
  </r>
  <r>
    <s v="ORD00039"/>
    <d v="2024-09-07T00:00:00"/>
    <x v="3"/>
    <s v="2024-09-10"/>
    <s v="CUST2941"/>
    <x v="1"/>
    <x v="2"/>
    <s v="Karnataka"/>
    <s v="Delhi"/>
    <s v="Retail Store"/>
    <x v="0"/>
    <s v="Product-19"/>
    <n v="12.07"/>
    <n v="1954.83"/>
    <n v="21764.880000000001"/>
    <n v="0.14000000000000001"/>
    <n v="18826"/>
    <n v="14139.49"/>
    <n v="4686.51"/>
    <s v="Net Banking"/>
    <s v="Amit"/>
    <s v="High"/>
  </r>
  <r>
    <s v="ORD00026"/>
    <d v="2024-05-18T00:00:00"/>
    <x v="7"/>
    <s v="2024-05-25"/>
    <s v="CUST9791"/>
    <x v="1"/>
    <x v="1"/>
    <s v="Karnataka"/>
    <s v="Delhi"/>
    <s v="Retail Store"/>
    <x v="0"/>
    <s v="Product-45"/>
    <n v="2.82"/>
    <n v="3083.38"/>
    <n v="8037.5"/>
    <n v="0.09"/>
    <n v="8205.77"/>
    <n v="6205.09"/>
    <n v="2000.6800000000003"/>
    <s v="Credit Card"/>
    <s v="Pooja"/>
    <s v="Low"/>
  </r>
  <r>
    <s v="ORD00150"/>
    <d v="2024-03-26T00:00:00"/>
    <x v="8"/>
    <s v="2024-03-27"/>
    <s v="CUST9746"/>
    <x v="2"/>
    <x v="1"/>
    <s v="Delhi"/>
    <s v="Noida"/>
    <s v="Online"/>
    <x v="2"/>
    <s v="Product-27"/>
    <n v="0.97"/>
    <n v="2442.04"/>
    <n v="2376.3200000000002"/>
    <n v="0.1"/>
    <n v="2216.44"/>
    <n v="1231.52"/>
    <n v="984.92000000000007"/>
    <s v="Debit Card"/>
    <s v="Rohit"/>
    <s v="Low"/>
  </r>
  <r>
    <s v="ORD00237"/>
    <d v="2024-09-29T00:00:00"/>
    <x v="3"/>
    <s v="2024-09-30"/>
    <s v="CUST4599"/>
    <x v="0"/>
    <x v="3"/>
    <s v="Maharashtra"/>
    <s v="Mumbai"/>
    <s v="B2B"/>
    <x v="1"/>
    <s v="Product-30"/>
    <n v="7.12"/>
    <n v="3097.02"/>
    <n v="19741.29"/>
    <n v="0.12"/>
    <n v="24229.79"/>
    <n v="10535.55"/>
    <n v="13694.240000000002"/>
    <s v="Net Banking"/>
    <s v="Pooja"/>
    <s v="Low"/>
  </r>
  <r>
    <s v="ORD00271"/>
    <d v="2024-07-15T00:00:00"/>
    <x v="5"/>
    <s v="2024-07-20"/>
    <s v="CUST4667"/>
    <x v="0"/>
    <x v="0"/>
    <s v="Karnataka"/>
    <s v="Noida"/>
    <s v="Online"/>
    <x v="2"/>
    <s v="Product-2"/>
    <n v="5.21"/>
    <n v="2419.7600000000002"/>
    <n v="12904.51"/>
    <n v="0.09"/>
    <n v="12253.87"/>
    <n v="8301.2900000000009"/>
    <n v="3952.58"/>
    <s v="UPI"/>
    <s v="Amit"/>
    <s v="Medium"/>
  </r>
  <r>
    <s v="ORD00025"/>
    <d v="2024-10-10T00:00:00"/>
    <x v="2"/>
    <s v="2024-10-14"/>
    <s v="CUST5840"/>
    <x v="1"/>
    <x v="0"/>
    <s v="Delhi"/>
    <s v="Mumbai"/>
    <s v="Online"/>
    <x v="0"/>
    <s v="Product-17"/>
    <n v="8.39"/>
    <n v="2681.45"/>
    <n v="21386.82"/>
    <n v="0.14000000000000001"/>
    <n v="16690.669999999998"/>
    <n v="9637.7999999999993"/>
    <n v="7052.869999999999"/>
    <s v="Debit Card"/>
    <s v="Amit"/>
    <s v="Low"/>
  </r>
  <r>
    <s v="ORD00122"/>
    <d v="2024-05-10T00:00:00"/>
    <x v="7"/>
    <s v="2024-05-11"/>
    <s v="CUST2305"/>
    <x v="0"/>
    <x v="3"/>
    <s v="Karnataka"/>
    <s v="Noida"/>
    <s v="Online"/>
    <x v="2"/>
    <s v="Product-39"/>
    <n v="12.93"/>
    <n v="453.16"/>
    <n v="6486.26"/>
    <n v="0"/>
    <n v="5528.76"/>
    <n v="3357.91"/>
    <n v="2170.8500000000004"/>
    <s v="UPI"/>
    <s v="Rohit"/>
    <s v="Medium"/>
  </r>
  <r>
    <s v="ORD00278"/>
    <d v="2024-03-30T00:00:00"/>
    <x v="8"/>
    <s v="2024-04-05"/>
    <s v="CUST8455"/>
    <x v="2"/>
    <x v="3"/>
    <s v="Delhi"/>
    <s v="Mumbai"/>
    <s v="Retail Store"/>
    <x v="2"/>
    <s v="Product-32"/>
    <n v="5.55"/>
    <n v="1668.76"/>
    <n v="10341.02"/>
    <n v="0"/>
    <n v="10174.86"/>
    <n v="7290.31"/>
    <n v="2884.55"/>
    <s v="UPI"/>
    <s v="Rohit"/>
    <s v="Medium"/>
  </r>
  <r>
    <s v="ORD00181"/>
    <d v="2024-03-23T00:00:00"/>
    <x v="8"/>
    <s v="2024-03-26"/>
    <s v="CUST2176"/>
    <x v="2"/>
    <x v="0"/>
    <s v="Tamil Nadu"/>
    <s v="Chennai"/>
    <s v="Online"/>
    <x v="1"/>
    <s v="Product-46"/>
    <n v="7.49"/>
    <n v="2010.39"/>
    <n v="16187.82"/>
    <n v="0.1"/>
    <n v="12218.04"/>
    <n v="8819.0300000000007"/>
    <n v="3399.01"/>
    <s v="Debit Card"/>
    <s v="Karan"/>
    <s v="Medium"/>
  </r>
  <r>
    <s v="ORD00271"/>
    <d v="2024-07-15T00:00:00"/>
    <x v="5"/>
    <s v="2024-07-20"/>
    <s v="CUST4667"/>
    <x v="0"/>
    <x v="0"/>
    <s v="Karnataka"/>
    <s v="Noida"/>
    <s v="Online"/>
    <x v="2"/>
    <s v="Product-2"/>
    <n v="5.05"/>
    <n v="2616.15"/>
    <n v="13057.49"/>
    <n v="0.09"/>
    <n v="11280.95"/>
    <n v="8930.69"/>
    <n v="2350.2600000000002"/>
    <s v="UPI"/>
    <s v="Amit"/>
    <s v="Medium"/>
  </r>
  <r>
    <s v="ORD00157"/>
    <d v="2024-03-15T00:00:00"/>
    <x v="8"/>
    <s v="2024-03-19"/>
    <s v="CUST6408"/>
    <x v="0"/>
    <x v="2"/>
    <s v="Karnataka"/>
    <s v="Mumbai"/>
    <s v="Retail Store"/>
    <x v="0"/>
    <s v="Product-2"/>
    <n v="9.3699999999999992"/>
    <n v="1516.94"/>
    <n v="17178.84"/>
    <n v="0.05"/>
    <n v="16282.02"/>
    <n v="10073.42"/>
    <n v="6208.6"/>
    <s v="UPI"/>
    <s v="Rohit"/>
    <s v="High"/>
  </r>
  <r>
    <s v="ORD00265"/>
    <d v="2024-11-13T00:00:00"/>
    <x v="4"/>
    <s v="2024-11-16"/>
    <s v="CUST6236"/>
    <x v="0"/>
    <x v="1"/>
    <s v="Karnataka"/>
    <s v="Delhi"/>
    <s v="Online"/>
    <x v="1"/>
    <s v="Product-29"/>
    <n v="8.77"/>
    <n v="1873.34"/>
    <n v="13882.35"/>
    <n v="0.09"/>
    <n v="12235.23"/>
    <n v="8216.14"/>
    <n v="4019.09"/>
    <s v="Net Banking"/>
    <s v="Neha"/>
    <s v="Medium"/>
  </r>
  <r>
    <s v="ORD00146"/>
    <d v="2024-10-20T00:00:00"/>
    <x v="2"/>
    <s v="2024-10-24"/>
    <s v="CUST7369"/>
    <x v="1"/>
    <x v="1"/>
    <s v="Uttar Pradesh"/>
    <s v="Noida"/>
    <s v="B2B"/>
    <x v="0"/>
    <s v="Product-26"/>
    <n v="10.98"/>
    <n v="1528"/>
    <n v="19104.7"/>
    <n v="0"/>
    <n v="18710.2"/>
    <n v="15774.63"/>
    <n v="2935.5700000000015"/>
    <s v="UPI"/>
    <s v="Rohit"/>
    <s v="Medium"/>
  </r>
  <r>
    <s v="ORD00122"/>
    <d v="2024-05-10T00:00:00"/>
    <x v="7"/>
    <s v="2024-05-11"/>
    <s v="CUST2305"/>
    <x v="0"/>
    <x v="3"/>
    <s v="Karnataka"/>
    <s v="Noida"/>
    <s v="Online"/>
    <x v="2"/>
    <s v="Product-39"/>
    <n v="11.61"/>
    <n v="474.51"/>
    <n v="6271.58"/>
    <n v="0"/>
    <n v="5503.42"/>
    <n v="3304.84"/>
    <n v="2198.58"/>
    <s v="UPI"/>
    <s v="Rohit"/>
    <s v="Medium"/>
  </r>
  <r>
    <s v="ORD00176"/>
    <d v="2024-07-20T00:00:00"/>
    <x v="5"/>
    <s v="2024-07-26"/>
    <s v="CUST6718"/>
    <x v="0"/>
    <x v="1"/>
    <s v="Karnataka"/>
    <s v="Noida"/>
    <s v="B2B"/>
    <x v="1"/>
    <s v="Product-41"/>
    <n v="9.44"/>
    <n v="2706.31"/>
    <n v="27336.89"/>
    <n v="0.09"/>
    <n v="24971.119999999999"/>
    <n v="20562.11"/>
    <n v="4409.0099999999984"/>
    <s v="Net Banking"/>
    <s v="Karan"/>
    <s v="Low"/>
  </r>
  <r>
    <s v="ORD00247"/>
    <d v="2024-02-18T00:00:00"/>
    <x v="1"/>
    <s v="2024-02-19"/>
    <s v="CUST9864"/>
    <x v="2"/>
    <x v="3"/>
    <s v="Tamil Nadu"/>
    <s v="Mumbai"/>
    <s v="Online"/>
    <x v="1"/>
    <s v="Product-35"/>
    <n v="3.83"/>
    <n v="700.27"/>
    <n v="3113.14"/>
    <n v="0.16"/>
    <n v="2433.52"/>
    <n v="1675.24"/>
    <n v="758.28"/>
    <s v="UPI"/>
    <s v="Karan"/>
    <s v="Medium"/>
  </r>
  <r>
    <s v="ORD00202"/>
    <d v="2024-03-18T00:00:00"/>
    <x v="8"/>
    <s v="2024-03-20"/>
    <s v="CUST7489"/>
    <x v="1"/>
    <x v="3"/>
    <s v="Maharashtra"/>
    <s v="Noida"/>
    <s v="Online"/>
    <x v="0"/>
    <s v="Product-20"/>
    <n v="4.09"/>
    <n v="390.38"/>
    <n v="1624.15"/>
    <n v="0.15"/>
    <n v="1601.95"/>
    <n v="1106.44"/>
    <n v="495.51"/>
    <s v="Debit Card"/>
    <s v="Rohit"/>
    <s v="High"/>
  </r>
  <r>
    <s v="ORD00007"/>
    <d v="2024-07-16T00:00:00"/>
    <x v="5"/>
    <s v="2024-07-22"/>
    <s v="CUST2918"/>
    <x v="0"/>
    <x v="0"/>
    <s v="Maharashtra"/>
    <s v="Bengaluru"/>
    <s v="Online"/>
    <x v="1"/>
    <s v="Product-16"/>
    <n v="6.42"/>
    <n v="434.36"/>
    <n v="2535.0500000000002"/>
    <n v="0.14000000000000001"/>
    <n v="2094.64"/>
    <n v="1707.54"/>
    <n v="387.09999999999991"/>
    <s v="Net Banking"/>
    <s v="Pooja"/>
    <s v="Medium"/>
  </r>
  <r>
    <s v="ORD00105"/>
    <d v="2024-11-22T00:00:00"/>
    <x v="4"/>
    <s v="2024-11-23"/>
    <s v="CUST2231"/>
    <x v="0"/>
    <x v="1"/>
    <s v="Karnataka"/>
    <s v="Noida"/>
    <s v="Retail Store"/>
    <x v="0"/>
    <s v="Product-15"/>
    <n v="5.37"/>
    <n v="1224.96"/>
    <n v="6036.76"/>
    <n v="0.16"/>
    <n v="5120.6899999999996"/>
    <n v="3205.74"/>
    <n v="1914.9499999999998"/>
    <s v="Debit Card"/>
    <s v="Pooja"/>
    <s v="High"/>
  </r>
  <r>
    <s v="ORD00007"/>
    <d v="2024-07-16T00:00:00"/>
    <x v="5"/>
    <s v="2024-07-22"/>
    <s v="CUST2918"/>
    <x v="0"/>
    <x v="0"/>
    <s v="Maharashtra"/>
    <s v="Bengaluru"/>
    <s v="Online"/>
    <x v="1"/>
    <s v="Product-16"/>
    <n v="6.23"/>
    <n v="424.3"/>
    <n v="2364.0100000000002"/>
    <n v="0.15"/>
    <n v="2116.6"/>
    <n v="1671.37"/>
    <n v="445.23"/>
    <s v="Net Banking"/>
    <s v="Pooja"/>
    <s v="Medium"/>
  </r>
  <r>
    <s v="ORD00281"/>
    <d v="2024-11-15T00:00:00"/>
    <x v="4"/>
    <s v="2024-11-20"/>
    <s v="CUST4349"/>
    <x v="0"/>
    <x v="1"/>
    <s v="Delhi"/>
    <s v="Delhi"/>
    <s v="B2B"/>
    <x v="0"/>
    <s v="Product-13"/>
    <n v="9.02"/>
    <n v="1900.99"/>
    <n v="13928.19"/>
    <n v="0.05"/>
    <n v="13812.43"/>
    <n v="7416.98"/>
    <n v="6395.4500000000007"/>
    <s v="Net Banking"/>
    <s v="Pooja"/>
    <s v="High"/>
  </r>
  <r>
    <s v="ORD00289"/>
    <d v="2024-08-21T00:00:00"/>
    <x v="9"/>
    <s v="2024-08-25"/>
    <s v="CUST2307"/>
    <x v="2"/>
    <x v="0"/>
    <s v="Delhi"/>
    <s v="Mumbai"/>
    <s v="Retail Store"/>
    <x v="0"/>
    <s v="Product-12"/>
    <n v="9.67"/>
    <n v="2242.21"/>
    <n v="20926.21"/>
    <n v="0.05"/>
    <n v="19614.400000000001"/>
    <n v="16745.87"/>
    <n v="2868.5300000000025"/>
    <s v="Debit Card"/>
    <s v="Pooja"/>
    <s v="Medium"/>
  </r>
  <r>
    <s v="ORD00046"/>
    <d v="2024-03-23T00:00:00"/>
    <x v="8"/>
    <s v="2024-03-24"/>
    <s v="CUST8421"/>
    <x v="0"/>
    <x v="1"/>
    <s v="Tamil Nadu"/>
    <s v="Mumbai"/>
    <s v="B2B"/>
    <x v="0"/>
    <s v="Product-16"/>
    <n v="4.29"/>
    <n v="1920.97"/>
    <n v="7860.77"/>
    <n v="0.15"/>
    <n v="6057.86"/>
    <n v="4982.78"/>
    <n v="1075.08"/>
    <s v="UPI"/>
    <s v="Neha"/>
    <s v="Medium"/>
  </r>
  <r>
    <s v="ORD00050"/>
    <d v="2024-03-18T00:00:00"/>
    <x v="8"/>
    <s v="2024-03-23"/>
    <s v="CUST1647"/>
    <x v="2"/>
    <x v="2"/>
    <s v="Maharashtra"/>
    <s v="Noida"/>
    <s v="Online"/>
    <x v="1"/>
    <s v="Product-46"/>
    <n v="11.88"/>
    <n v="800.54"/>
    <n v="8589.69"/>
    <n v="0.14000000000000001"/>
    <n v="7431.46"/>
    <n v="4388.9399999999996"/>
    <n v="3042.5200000000004"/>
    <s v="Debit Card"/>
    <s v="Neha"/>
    <s v="High"/>
  </r>
  <r>
    <s v="ORD00092"/>
    <d v="2024-05-13T00:00:00"/>
    <x v="7"/>
    <s v="2024-05-14"/>
    <s v="CUST7029"/>
    <x v="0"/>
    <x v="1"/>
    <s v="Karnataka"/>
    <s v="Noida"/>
    <s v="B2B"/>
    <x v="0"/>
    <s v="Product-27"/>
    <n v="5.71"/>
    <n v="1289.0899999999999"/>
    <n v="6621.23"/>
    <n v="0.1"/>
    <n v="6191.02"/>
    <n v="4294.26"/>
    <n v="1896.7600000000002"/>
    <s v="UPI"/>
    <s v="Pooja"/>
    <s v="High"/>
  </r>
  <r>
    <s v="ORD00268"/>
    <d v="2024-03-25T00:00:00"/>
    <x v="8"/>
    <s v="2024-03-31"/>
    <s v="CUST7463"/>
    <x v="1"/>
    <x v="3"/>
    <s v="Tamil Nadu"/>
    <s v="Chennai"/>
    <s v="Retail Store"/>
    <x v="2"/>
    <s v="Product-23"/>
    <n v="2.99"/>
    <n v="3506.48"/>
    <n v="9303.51"/>
    <n v="0"/>
    <n v="10658.3"/>
    <n v="8057.01"/>
    <n v="2601.2899999999991"/>
    <s v="Credit Card"/>
    <s v="Neha"/>
    <s v="High"/>
  </r>
  <r>
    <s v="ORD00072"/>
    <d v="2024-11-21T00:00:00"/>
    <x v="4"/>
    <s v="2024-11-25"/>
    <s v="CUST4638"/>
    <x v="1"/>
    <x v="1"/>
    <s v="Uttar Pradesh"/>
    <s v="Mumbai"/>
    <s v="Retail Store"/>
    <x v="0"/>
    <s v="Product-37"/>
    <n v="2.3199999999999998"/>
    <n v="3141"/>
    <n v="6124.53"/>
    <n v="0.05"/>
    <n v="5386.74"/>
    <n v="4487.66"/>
    <n v="899.07999999999993"/>
    <s v="Credit Card"/>
    <s v="Amit"/>
    <s v="Medium"/>
  </r>
  <r>
    <s v="ORD00023"/>
    <d v="2024-05-03T00:00:00"/>
    <x v="7"/>
    <s v="2024-05-07"/>
    <s v="CUST3530"/>
    <x v="1"/>
    <x v="3"/>
    <s v="Maharashtra"/>
    <s v="Bengaluru"/>
    <s v="Online"/>
    <x v="2"/>
    <s v="Product-15"/>
    <n v="2.02"/>
    <n v="1119.0999999999999"/>
    <n v="2313.0700000000002"/>
    <n v="0.12"/>
    <n v="2054.9499999999998"/>
    <n v="1365.03"/>
    <n v="689.91999999999985"/>
    <s v="UPI"/>
    <s v="Pooja"/>
    <s v="Medium"/>
  </r>
  <r>
    <s v="ORD00127"/>
    <d v="2024-10-03T00:00:00"/>
    <x v="2"/>
    <s v="2024-10-04"/>
    <s v="CUST9536"/>
    <x v="0"/>
    <x v="3"/>
    <s v="Tamil Nadu"/>
    <s v="Noida"/>
    <s v="B2B"/>
    <x v="0"/>
    <s v="Product-13"/>
    <n v="9.35"/>
    <n v="2927.86"/>
    <n v="24593.89"/>
    <n v="0"/>
    <n v="26806.400000000001"/>
    <n v="16431.64"/>
    <n v="10374.760000000002"/>
    <s v="Credit Card"/>
    <s v="Neha"/>
    <s v="Low"/>
  </r>
  <r>
    <s v="ORD00194"/>
    <d v="2024-07-06T00:00:00"/>
    <x v="5"/>
    <s v="2024-07-12"/>
    <s v="CUST3010"/>
    <x v="2"/>
    <x v="3"/>
    <s v="Uttar Pradesh"/>
    <s v="Noida"/>
    <s v="Retail Store"/>
    <x v="1"/>
    <s v="Product-32"/>
    <n v="5.52"/>
    <n v="2737.02"/>
    <n v="16613.62"/>
    <n v="0"/>
    <n v="17256.96"/>
    <n v="13498.89"/>
    <n v="3758.0699999999997"/>
    <s v="UPI"/>
    <s v="Karan"/>
    <s v="Medium"/>
  </r>
  <r>
    <s v="ORD00240"/>
    <d v="2024-05-11T00:00:00"/>
    <x v="7"/>
    <s v="2024-05-17"/>
    <s v="CUST3185"/>
    <x v="2"/>
    <x v="2"/>
    <s v="Tamil Nadu"/>
    <s v="Bengaluru"/>
    <s v="Online"/>
    <x v="1"/>
    <s v="Product-21"/>
    <n v="7.54"/>
    <n v="2554.64"/>
    <n v="19343.3"/>
    <n v="0.05"/>
    <n v="20821.560000000001"/>
    <n v="15817.9"/>
    <n v="5003.6600000000017"/>
    <s v="Credit Card"/>
    <s v="Rohit"/>
    <s v="Medium"/>
  </r>
  <r>
    <s v="ORD00210"/>
    <d v="2024-07-04T00:00:00"/>
    <x v="5"/>
    <s v="2024-07-09"/>
    <s v="CUST8794"/>
    <x v="2"/>
    <x v="3"/>
    <s v="Maharashtra"/>
    <s v="Mumbai"/>
    <s v="Retail Store"/>
    <x v="0"/>
    <s v="Product-2"/>
    <n v="8.2100000000000009"/>
    <n v="3517.13"/>
    <n v="31482.71"/>
    <n v="0.05"/>
    <n v="27176.7"/>
    <n v="18335.57"/>
    <n v="8841.130000000001"/>
    <s v="Credit Card"/>
    <s v="Amit"/>
    <s v="Low"/>
  </r>
  <r>
    <s v="ORD00285"/>
    <d v="2024-09-02T00:00:00"/>
    <x v="3"/>
    <s v="2024-09-09"/>
    <s v="CUST9668"/>
    <x v="2"/>
    <x v="3"/>
    <s v="Delhi"/>
    <s v="Noida"/>
    <s v="Retail Store"/>
    <x v="0"/>
    <s v="Product-5"/>
    <n v="1.92"/>
    <n v="2891.26"/>
    <n v="5310.98"/>
    <n v="0"/>
    <n v="5185.5200000000004"/>
    <n v="3809.48"/>
    <n v="1376.0400000000004"/>
    <s v="UPI"/>
    <s v="Karan"/>
    <s v="High"/>
  </r>
  <r>
    <s v="ORD00226"/>
    <d v="2024-03-19T00:00:00"/>
    <x v="8"/>
    <s v="2024-03-25"/>
    <s v="CUST9562"/>
    <x v="1"/>
    <x v="3"/>
    <s v="Tamil Nadu"/>
    <s v="Delhi"/>
    <s v="Retail Store"/>
    <x v="2"/>
    <s v="Product-19"/>
    <n v="5.56"/>
    <n v="1589.62"/>
    <n v="7077.64"/>
    <n v="0.11"/>
    <n v="7464.85"/>
    <n v="4684.6099999999997"/>
    <n v="2780.2400000000007"/>
    <s v="Net Banking"/>
    <s v="Amit"/>
    <s v="Medium"/>
  </r>
  <r>
    <s v="ORD00243"/>
    <d v="2024-02-17T00:00:00"/>
    <x v="1"/>
    <s v="2024-02-19"/>
    <s v="CUST9859"/>
    <x v="2"/>
    <x v="2"/>
    <s v="Maharashtra"/>
    <s v="Chennai"/>
    <s v="Retail Store"/>
    <x v="0"/>
    <s v="Product-38"/>
    <n v="7.36"/>
    <n v="1170.9000000000001"/>
    <n v="10103.530000000001"/>
    <n v="0.1"/>
    <n v="9692.76"/>
    <n v="6457.7"/>
    <n v="3235.0600000000004"/>
    <s v="Debit Card"/>
    <s v="Amit"/>
    <s v="High"/>
  </r>
  <r>
    <s v="ORD00292"/>
    <d v="2024-11-17T00:00:00"/>
    <x v="4"/>
    <s v="2024-11-20"/>
    <s v="CUST3639"/>
    <x v="2"/>
    <x v="0"/>
    <s v="Uttar Pradesh"/>
    <s v="Mumbai"/>
    <s v="Retail Store"/>
    <x v="1"/>
    <s v="Product-45"/>
    <n v="5.96"/>
    <n v="595.66"/>
    <n v="3844.99"/>
    <n v="0"/>
    <n v="3473.92"/>
    <n v="2869.29"/>
    <n v="604.63000000000011"/>
    <s v="UPI"/>
    <s v="Neha"/>
    <s v="Low"/>
  </r>
  <r>
    <s v="ORD00179"/>
    <d v="2024-06-28T00:00:00"/>
    <x v="0"/>
    <s v="2024-07-04"/>
    <s v="CUST4944"/>
    <x v="0"/>
    <x v="0"/>
    <s v="Uttar Pradesh"/>
    <s v="Chennai"/>
    <s v="Online"/>
    <x v="1"/>
    <s v="Product-43"/>
    <n v="5.19"/>
    <n v="754.35"/>
    <n v="3950.35"/>
    <n v="0.05"/>
    <n v="3898.03"/>
    <n v="2988.97"/>
    <n v="909.0600000000004"/>
    <s v="Credit Card"/>
    <s v="Karan"/>
    <s v="Medium"/>
  </r>
  <r>
    <s v="ORD00196"/>
    <d v="2024-02-26T00:00:00"/>
    <x v="1"/>
    <s v="2024-02-27"/>
    <s v="CUST7239"/>
    <x v="2"/>
    <x v="3"/>
    <s v="Uttar Pradesh"/>
    <s v="Bengaluru"/>
    <s v="Retail Store"/>
    <x v="0"/>
    <s v="Product-2"/>
    <n v="5.48"/>
    <n v="1024.8900000000001"/>
    <n v="5110.96"/>
    <n v="0.1"/>
    <n v="4007.53"/>
    <n v="3416.6"/>
    <n v="590.93000000000029"/>
    <s v="Debit Card"/>
    <s v="Neha"/>
    <s v="Medium"/>
  </r>
  <r>
    <s v="ORD00073"/>
    <d v="2024-09-22T00:00:00"/>
    <x v="3"/>
    <s v="2024-09-24"/>
    <s v="CUST4155"/>
    <x v="2"/>
    <x v="0"/>
    <s v="Karnataka"/>
    <s v="Delhi"/>
    <s v="Retail Store"/>
    <x v="1"/>
    <s v="Product-30"/>
    <n v="6.66"/>
    <n v="1640.44"/>
    <n v="11085.91"/>
    <n v="0.05"/>
    <n v="10589.09"/>
    <n v="6960.55"/>
    <n v="3628.54"/>
    <s v="Debit Card"/>
    <s v="Pooja"/>
    <s v="Medium"/>
  </r>
  <r>
    <s v="ORD00238"/>
    <d v="2024-04-14T00:00:00"/>
    <x v="6"/>
    <s v="2024-04-15"/>
    <s v="CUST2178"/>
    <x v="1"/>
    <x v="1"/>
    <s v="Maharashtra"/>
    <s v="Delhi"/>
    <s v="B2B"/>
    <x v="1"/>
    <s v="Product-48"/>
    <n v="3.04"/>
    <n v="2040.08"/>
    <n v="6053.93"/>
    <n v="0"/>
    <n v="4677.54"/>
    <n v="3167.13"/>
    <n v="1510.4099999999999"/>
    <s v="Credit Card"/>
    <s v="Pooja"/>
    <s v="Low"/>
  </r>
  <r>
    <s v="ORD00185"/>
    <d v="2024-09-10T00:00:00"/>
    <x v="3"/>
    <s v="2024-09-14"/>
    <s v="CUST2314"/>
    <x v="2"/>
    <x v="2"/>
    <s v="Maharashtra"/>
    <s v="Mumbai"/>
    <s v="Retail Store"/>
    <x v="1"/>
    <s v="Product-26"/>
    <n v="8.69"/>
    <n v="2600.1799999999998"/>
    <n v="21976.36"/>
    <n v="0.11"/>
    <n v="17019.11"/>
    <n v="12914.49"/>
    <n v="4104.6200000000008"/>
    <s v="UPI"/>
    <s v="Amit"/>
    <s v="Medium"/>
  </r>
  <r>
    <s v="ORD00003"/>
    <d v="2024-10-03T00:00:00"/>
    <x v="2"/>
    <s v="2024-10-04"/>
    <s v="CUST4078"/>
    <x v="0"/>
    <x v="0"/>
    <s v="Uttar Pradesh"/>
    <s v="Delhi"/>
    <s v="B2B"/>
    <x v="0"/>
    <s v="Product-40"/>
    <n v="10.37"/>
    <n v="1260.6500000000001"/>
    <n v="12904.51"/>
    <n v="0.05"/>
    <n v="12839.53"/>
    <n v="7929.25"/>
    <n v="4910.2800000000007"/>
    <s v="Credit Card"/>
    <s v="Pooja"/>
    <s v="High"/>
  </r>
  <r>
    <s v="ORD00256"/>
    <d v="2024-06-05T00:00:00"/>
    <x v="0"/>
    <s v="2024-06-06"/>
    <s v="CUST8788"/>
    <x v="0"/>
    <x v="1"/>
    <s v="Uttar Pradesh"/>
    <s v="Bengaluru"/>
    <s v="Retail Store"/>
    <x v="0"/>
    <s v="Product-22"/>
    <n v="4.87"/>
    <n v="1948.23"/>
    <n v="8692.02"/>
    <n v="0"/>
    <n v="9766.36"/>
    <n v="8080.27"/>
    <n v="1686.0900000000001"/>
    <s v="Credit Card"/>
    <s v="Amit"/>
    <s v="Medium"/>
  </r>
  <r>
    <s v="ORD00073"/>
    <d v="2024-09-22T00:00:00"/>
    <x v="3"/>
    <s v="2024-09-24"/>
    <s v="CUST4155"/>
    <x v="2"/>
    <x v="0"/>
    <s v="Karnataka"/>
    <s v="Delhi"/>
    <s v="Retail Store"/>
    <x v="1"/>
    <s v="Product-30"/>
    <n v="7.02"/>
    <n v="1586.12"/>
    <n v="10235.56"/>
    <n v="0.05"/>
    <n v="10207.94"/>
    <n v="6041.23"/>
    <n v="4166.7100000000009"/>
    <s v="Debit Card"/>
    <s v="Pooja"/>
    <s v="Medium"/>
  </r>
  <r>
    <s v="ORD00157"/>
    <d v="2024-03-15T00:00:00"/>
    <x v="8"/>
    <s v="2024-03-19"/>
    <s v="CUST6408"/>
    <x v="0"/>
    <x v="2"/>
    <s v="Karnataka"/>
    <s v="Mumbai"/>
    <s v="Retail Store"/>
    <x v="0"/>
    <s v="Product-2"/>
    <n v="10.29"/>
    <n v="1606.06"/>
    <n v="18057.259999999998"/>
    <n v="0.05"/>
    <n v="16314.05"/>
    <n v="10410"/>
    <n v="5904.0499999999993"/>
    <s v="UPI"/>
    <s v="Rohit"/>
    <s v="High"/>
  </r>
  <r>
    <s v="ORD00149"/>
    <d v="2024-11-13T00:00:00"/>
    <x v="4"/>
    <s v="2024-11-16"/>
    <s v="CUST5105"/>
    <x v="2"/>
    <x v="0"/>
    <s v="Tamil Nadu"/>
    <s v="Mumbai"/>
    <s v="Online"/>
    <x v="2"/>
    <s v="Product-8"/>
    <n v="10.75"/>
    <n v="2690.24"/>
    <n v="25957.47"/>
    <n v="0"/>
    <n v="24552.76"/>
    <n v="19820.48"/>
    <n v="4732.2799999999988"/>
    <s v="Debit Card"/>
    <s v="Rohit"/>
    <s v="High"/>
  </r>
  <r>
    <s v="ORD00237"/>
    <d v="2024-09-29T00:00:00"/>
    <x v="3"/>
    <s v="2024-09-30"/>
    <s v="CUST4599"/>
    <x v="0"/>
    <x v="3"/>
    <s v="Maharashtra"/>
    <s v="Mumbai"/>
    <s v="B2B"/>
    <x v="1"/>
    <s v="Product-30"/>
    <n v="6.71"/>
    <n v="3393.9"/>
    <n v="20347.169999999998"/>
    <n v="0.11"/>
    <n v="22017.040000000001"/>
    <n v="10856.05"/>
    <n v="11160.990000000002"/>
    <s v="Net Banking"/>
    <s v="Pooja"/>
    <s v="Low"/>
  </r>
  <r>
    <s v="ORD00117"/>
    <d v="2024-11-09T00:00:00"/>
    <x v="4"/>
    <s v="2024-11-13"/>
    <s v="CUST8501"/>
    <x v="1"/>
    <x v="2"/>
    <s v="Delhi"/>
    <s v="Mumbai"/>
    <s v="Online"/>
    <x v="2"/>
    <s v="Product-50"/>
    <n v="9.59"/>
    <n v="866.96"/>
    <n v="9022"/>
    <n v="0"/>
    <n v="8704.76"/>
    <n v="5891.19"/>
    <n v="2813.5700000000006"/>
    <s v="UPI"/>
    <s v="Amit"/>
    <s v="Medium"/>
  </r>
  <r>
    <s v="ORD00233"/>
    <d v="2024-04-23T00:00:00"/>
    <x v="6"/>
    <s v="2024-04-30"/>
    <s v="CUST2445"/>
    <x v="2"/>
    <x v="1"/>
    <s v="Delhi"/>
    <s v="Mumbai"/>
    <s v="B2B"/>
    <x v="2"/>
    <s v="Product-31"/>
    <n v="1.96"/>
    <n v="2329.36"/>
    <n v="4363.72"/>
    <n v="0"/>
    <n v="3948.1"/>
    <n v="2909.63"/>
    <n v="1038.4699999999998"/>
    <s v="UPI"/>
    <s v="Karan"/>
    <s v="High"/>
  </r>
  <r>
    <s v="ORD00225"/>
    <d v="2024-07-05T00:00:00"/>
    <x v="5"/>
    <s v="2024-07-10"/>
    <s v="CUST3823"/>
    <x v="2"/>
    <x v="1"/>
    <s v="Maharashtra"/>
    <s v="Delhi"/>
    <s v="Retail Store"/>
    <x v="2"/>
    <s v="Product-24"/>
    <n v="4.3600000000000003"/>
    <n v="1842.89"/>
    <n v="8942.68"/>
    <n v="0.11"/>
    <n v="7335.3"/>
    <n v="5315.27"/>
    <n v="2020.0299999999997"/>
    <s v="Net Banking"/>
    <s v="Amit"/>
    <s v="Medium"/>
  </r>
  <r>
    <s v="ORD00202"/>
    <d v="2024-03-18T00:00:00"/>
    <x v="8"/>
    <s v="2024-03-20"/>
    <s v="CUST7489"/>
    <x v="1"/>
    <x v="3"/>
    <s v="Maharashtra"/>
    <s v="Noida"/>
    <s v="Online"/>
    <x v="0"/>
    <s v="Product-20"/>
    <n v="4.05"/>
    <n v="455.57"/>
    <n v="1879.89"/>
    <n v="0.14000000000000001"/>
    <n v="1435.63"/>
    <n v="921.86"/>
    <n v="513.7700000000001"/>
    <s v="Debit Card"/>
    <s v="Rohit"/>
    <s v="High"/>
  </r>
  <r>
    <s v="ORD00187"/>
    <d v="2024-08-12T00:00:00"/>
    <x v="9"/>
    <s v="2024-08-13"/>
    <s v="CUST3694"/>
    <x v="0"/>
    <x v="3"/>
    <s v="Delhi"/>
    <s v="Chennai"/>
    <s v="B2B"/>
    <x v="1"/>
    <s v="Product-23"/>
    <n v="9.23"/>
    <n v="3370.55"/>
    <n v="41160.800000000003"/>
    <n v="0.05"/>
    <n v="35699.35"/>
    <n v="29746.6"/>
    <n v="5952.75"/>
    <s v="Credit Card"/>
    <s v="Pooja"/>
    <s v="Low"/>
  </r>
  <r>
    <s v="ORD00045"/>
    <d v="2024-03-06T00:00:00"/>
    <x v="8"/>
    <s v="2024-03-08"/>
    <s v="CUST5262"/>
    <x v="0"/>
    <x v="2"/>
    <s v="Karnataka"/>
    <s v="Chennai"/>
    <s v="B2B"/>
    <x v="1"/>
    <s v="Product-26"/>
    <n v="8.15"/>
    <n v="1670.47"/>
    <n v="13350.35"/>
    <n v="0.1"/>
    <n v="13088.96"/>
    <n v="8678.1299999999992"/>
    <n v="4410.83"/>
    <s v="UPI"/>
    <s v="Neha"/>
    <s v="High"/>
  </r>
  <r>
    <s v="ORD00210"/>
    <d v="2024-07-04T00:00:00"/>
    <x v="5"/>
    <s v="2024-07-09"/>
    <s v="CUST8794"/>
    <x v="2"/>
    <x v="3"/>
    <s v="Maharashtra"/>
    <s v="Mumbai"/>
    <s v="Retail Store"/>
    <x v="0"/>
    <s v="Product-2"/>
    <n v="8.43"/>
    <n v="3191.73"/>
    <n v="27181.15"/>
    <n v="0.05"/>
    <n v="30350.58"/>
    <n v="19850.849999999999"/>
    <n v="10499.730000000003"/>
    <s v="Credit Card"/>
    <s v="Amit"/>
    <s v="Low"/>
  </r>
  <r>
    <s v="ORD00214"/>
    <d v="2024-06-15T00:00:00"/>
    <x v="0"/>
    <s v="2024-06-22"/>
    <s v="CUST9169"/>
    <x v="2"/>
    <x v="2"/>
    <s v="Tamil Nadu"/>
    <s v="Bengaluru"/>
    <s v="Online"/>
    <x v="2"/>
    <s v="Product-19"/>
    <n v="6.43"/>
    <n v="2562.59"/>
    <n v="16312.97"/>
    <n v="0.09"/>
    <n v="14932.2"/>
    <n v="11580.06"/>
    <n v="3352.1400000000012"/>
    <s v="UPI"/>
    <s v="Rohit"/>
    <s v="Low"/>
  </r>
  <r>
    <s v="ORD00209"/>
    <d v="2024-10-28T00:00:00"/>
    <x v="2"/>
    <s v="2024-11-04"/>
    <s v="CUST5224"/>
    <x v="1"/>
    <x v="1"/>
    <s v="Delhi"/>
    <s v="Bengaluru"/>
    <s v="B2B"/>
    <x v="1"/>
    <s v="Product-46"/>
    <n v="8.24"/>
    <n v="939.86"/>
    <n v="7468.74"/>
    <n v="0.09"/>
    <n v="6704.7"/>
    <n v="4706.47"/>
    <n v="1998.2299999999996"/>
    <s v="Net Banking"/>
    <s v="Karan"/>
    <s v="Medium"/>
  </r>
  <r>
    <s v="ORD00176"/>
    <d v="2024-07-20T00:00:00"/>
    <x v="5"/>
    <s v="2024-07-26"/>
    <s v="CUST6718"/>
    <x v="0"/>
    <x v="1"/>
    <s v="Karnataka"/>
    <s v="Noida"/>
    <s v="B2B"/>
    <x v="1"/>
    <s v="Product-41"/>
    <n v="9.98"/>
    <n v="2789.55"/>
    <n v="30392.59"/>
    <n v="0.1"/>
    <n v="25764.12"/>
    <n v="20554.099999999999"/>
    <n v="5210.0200000000004"/>
    <s v="Net Banking"/>
    <s v="Karan"/>
    <s v="Low"/>
  </r>
  <r>
    <s v="ORD00218"/>
    <d v="2024-02-03T00:00:00"/>
    <x v="1"/>
    <s v="2024-02-04"/>
    <s v="CUST1042"/>
    <x v="2"/>
    <x v="2"/>
    <s v="Uttar Pradesh"/>
    <s v="Mumbai"/>
    <s v="B2B"/>
    <x v="1"/>
    <s v="Product-35"/>
    <n v="2.19"/>
    <n v="3605.19"/>
    <n v="7242.14"/>
    <n v="0.05"/>
    <n v="5922.65"/>
    <n v="5067.97"/>
    <n v="854.67999999999938"/>
    <s v="UPI"/>
    <s v="Karan"/>
    <s v="Medium"/>
  </r>
  <r>
    <s v="ORD00258"/>
    <d v="2024-07-18T00:00:00"/>
    <x v="5"/>
    <s v="2024-07-21"/>
    <s v="CUST6759"/>
    <x v="1"/>
    <x v="1"/>
    <s v="Karnataka"/>
    <s v="Chennai"/>
    <s v="Retail Store"/>
    <x v="1"/>
    <s v="Product-39"/>
    <n v="6.08"/>
    <n v="3426.36"/>
    <n v="20079.27"/>
    <n v="0.1"/>
    <n v="17226.439999999999"/>
    <n v="12163.05"/>
    <n v="5063.3899999999994"/>
    <s v="Credit Card"/>
    <s v="Neha"/>
    <s v="Medium"/>
  </r>
  <r>
    <s v="ORD00237"/>
    <d v="2024-09-29T00:00:00"/>
    <x v="3"/>
    <s v="2024-09-30"/>
    <s v="CUST4599"/>
    <x v="0"/>
    <x v="3"/>
    <s v="Maharashtra"/>
    <s v="Mumbai"/>
    <s v="B2B"/>
    <x v="1"/>
    <s v="Product-30"/>
    <n v="7.65"/>
    <n v="3491.52"/>
    <n v="21137.93"/>
    <n v="0.1"/>
    <n v="22414.93"/>
    <n v="11107.82"/>
    <n v="11307.11"/>
    <s v="Net Banking"/>
    <s v="Pooja"/>
    <s v="Low"/>
  </r>
  <r>
    <s v="ORD00071"/>
    <d v="2024-03-15T00:00:00"/>
    <x v="8"/>
    <s v="2024-03-18"/>
    <s v="CUST2782"/>
    <x v="0"/>
    <x v="1"/>
    <s v="Maharashtra"/>
    <s v="Bengaluru"/>
    <s v="Online"/>
    <x v="0"/>
    <s v="Product-31"/>
    <n v="5.0599999999999996"/>
    <n v="815.16"/>
    <n v="4681.25"/>
    <n v="0.05"/>
    <n v="4202.0200000000004"/>
    <n v="3866.58"/>
    <n v="335.44000000000051"/>
    <s v="Debit Card"/>
    <s v="Amit"/>
    <s v="High"/>
  </r>
  <r>
    <s v="ORD00087"/>
    <d v="2024-05-14T00:00:00"/>
    <x v="7"/>
    <s v="2024-05-20"/>
    <s v="CUST9572"/>
    <x v="0"/>
    <x v="3"/>
    <s v="Maharashtra"/>
    <s v="Delhi"/>
    <s v="B2B"/>
    <x v="0"/>
    <s v="Product-11"/>
    <n v="0.91"/>
    <n v="1289.31"/>
    <n v="1265.99"/>
    <n v="0.16"/>
    <n v="1041.1199999999999"/>
    <n v="865.29"/>
    <n v="175.82999999999993"/>
    <s v="Debit Card"/>
    <s v="Neha"/>
    <s v="High"/>
  </r>
  <r>
    <s v="ORD00182"/>
    <d v="2024-02-25T00:00:00"/>
    <x v="1"/>
    <s v="2024-03-02"/>
    <s v="CUST9897"/>
    <x v="0"/>
    <x v="0"/>
    <s v="Karnataka"/>
    <s v="Delhi"/>
    <s v="B2B"/>
    <x v="2"/>
    <s v="Product-41"/>
    <n v="7.73"/>
    <n v="3290.55"/>
    <n v="26789.040000000001"/>
    <n v="0.14000000000000001"/>
    <n v="24732.31"/>
    <n v="15451.28"/>
    <n v="9281.0300000000007"/>
    <s v="Debit Card"/>
    <s v="Neha"/>
    <s v="Low"/>
  </r>
  <r>
    <s v="ORD00194"/>
    <d v="2024-07-06T00:00:00"/>
    <x v="5"/>
    <s v="2024-07-12"/>
    <s v="CUST3010"/>
    <x v="2"/>
    <x v="3"/>
    <s v="Uttar Pradesh"/>
    <s v="Noida"/>
    <s v="Retail Store"/>
    <x v="1"/>
    <s v="Product-32"/>
    <n v="5.19"/>
    <n v="2716.36"/>
    <n v="17077.419999999998"/>
    <n v="0"/>
    <n v="18714.990000000002"/>
    <n v="12161.36"/>
    <n v="6553.630000000001"/>
    <s v="UPI"/>
    <s v="Karan"/>
    <s v="Medium"/>
  </r>
  <r>
    <s v="ORD00114"/>
    <d v="2024-02-18T00:00:00"/>
    <x v="1"/>
    <s v="2024-02-25"/>
    <s v="CUST4452"/>
    <x v="0"/>
    <x v="1"/>
    <s v="Karnataka"/>
    <s v="Chennai"/>
    <s v="Retail Store"/>
    <x v="1"/>
    <s v="Product-4"/>
    <n v="11.92"/>
    <n v="1577"/>
    <n v="15875.31"/>
    <n v="0.14000000000000001"/>
    <n v="14754.63"/>
    <n v="10770.34"/>
    <n v="3984.2899999999991"/>
    <s v="Debit Card"/>
    <s v="Rohit"/>
    <s v="Medium"/>
  </r>
  <r>
    <s v="ORD00248"/>
    <d v="2024-07-06T00:00:00"/>
    <x v="5"/>
    <s v="2024-07-08"/>
    <s v="CUST4930"/>
    <x v="1"/>
    <x v="2"/>
    <s v="Delhi"/>
    <s v="Delhi"/>
    <s v="Online"/>
    <x v="0"/>
    <s v="Product-32"/>
    <n v="5.34"/>
    <n v="1645.03"/>
    <n v="8742.23"/>
    <n v="0.05"/>
    <n v="7900.81"/>
    <n v="6926.25"/>
    <n v="974.5600000000004"/>
    <s v="Credit Card"/>
    <s v="Neha"/>
    <s v="Low"/>
  </r>
  <r>
    <s v="ORD00238"/>
    <d v="2024-04-14T00:00:00"/>
    <x v="6"/>
    <s v="2024-04-15"/>
    <s v="CUST2178"/>
    <x v="1"/>
    <x v="1"/>
    <s v="Maharashtra"/>
    <s v="Delhi"/>
    <s v="B2B"/>
    <x v="1"/>
    <s v="Product-48"/>
    <n v="2.79"/>
    <n v="1756"/>
    <n v="5136.01"/>
    <n v="0"/>
    <n v="4988.1400000000003"/>
    <n v="3125.09"/>
    <n v="1863.0500000000002"/>
    <s v="Credit Card"/>
    <s v="Pooja"/>
    <s v="Low"/>
  </r>
  <r>
    <s v="ORD00079"/>
    <d v="2024-05-15T00:00:00"/>
    <x v="7"/>
    <s v="2024-05-16"/>
    <s v="CUST8422"/>
    <x v="1"/>
    <x v="0"/>
    <s v="Karnataka"/>
    <s v="Noida"/>
    <s v="B2B"/>
    <x v="2"/>
    <s v="Product-48"/>
    <n v="8.57"/>
    <n v="598.36"/>
    <n v="5192.01"/>
    <n v="0.1"/>
    <n v="4851.59"/>
    <n v="3437.96"/>
    <n v="1413.63"/>
    <s v="Debit Card"/>
    <s v="Rohit"/>
    <s v="Medium"/>
  </r>
  <r>
    <s v="ORD00007"/>
    <d v="2024-07-16T00:00:00"/>
    <x v="5"/>
    <s v="2024-07-22"/>
    <s v="CUST2918"/>
    <x v="0"/>
    <x v="0"/>
    <s v="Maharashtra"/>
    <s v="Bengaluru"/>
    <s v="Online"/>
    <x v="1"/>
    <s v="Product-16"/>
    <n v="6.71"/>
    <n v="443.4"/>
    <n v="2359.38"/>
    <n v="0.14000000000000001"/>
    <n v="1927.08"/>
    <n v="1767.89"/>
    <n v="159.18999999999983"/>
    <s v="Net Banking"/>
    <s v="Pooja"/>
    <s v="Medium"/>
  </r>
  <r>
    <s v="ORD00068"/>
    <d v="2024-09-04T00:00:00"/>
    <x v="3"/>
    <s v="2024-09-05"/>
    <s v="CUST3532"/>
    <x v="1"/>
    <x v="0"/>
    <s v="Maharashtra"/>
    <s v="Chennai"/>
    <s v="B2B"/>
    <x v="2"/>
    <s v="Product-27"/>
    <n v="6.88"/>
    <n v="809.1"/>
    <n v="5480.11"/>
    <n v="0.15"/>
    <n v="4077.27"/>
    <n v="3484.81"/>
    <n v="592.46"/>
    <s v="Debit Card"/>
    <s v="Rohit"/>
    <s v="Medium"/>
  </r>
  <r>
    <s v="ORD00281"/>
    <d v="2024-11-15T00:00:00"/>
    <x v="4"/>
    <s v="2024-11-20"/>
    <s v="CUST4349"/>
    <x v="0"/>
    <x v="1"/>
    <s v="Delhi"/>
    <s v="Delhi"/>
    <s v="B2B"/>
    <x v="0"/>
    <s v="Product-13"/>
    <n v="9.0500000000000007"/>
    <n v="1919.59"/>
    <n v="14847.93"/>
    <n v="0.05"/>
    <n v="13914.91"/>
    <n v="8090.98"/>
    <n v="5823.93"/>
    <s v="Net Banking"/>
    <s v="Pooja"/>
    <s v="High"/>
  </r>
  <r>
    <s v="ORD00267"/>
    <d v="2024-08-18T00:00:00"/>
    <x v="9"/>
    <s v="2024-08-25"/>
    <s v="CUST6895"/>
    <x v="0"/>
    <x v="2"/>
    <s v="Delhi"/>
    <s v="Noida"/>
    <s v="Online"/>
    <x v="1"/>
    <s v="Product-44"/>
    <n v="1.02"/>
    <n v="577.42999999999995"/>
    <n v="521.34"/>
    <n v="0.1"/>
    <n v="505.05"/>
    <n v="304.88"/>
    <n v="200.17000000000002"/>
    <s v="Net Banking"/>
    <s v="Amit"/>
    <s v="Medium"/>
  </r>
  <r>
    <s v="ORD00186"/>
    <d v="2024-09-02T00:00:00"/>
    <x v="3"/>
    <s v="2024-09-04"/>
    <s v="CUST9376"/>
    <x v="0"/>
    <x v="2"/>
    <s v="Karnataka"/>
    <s v="Delhi"/>
    <s v="B2B"/>
    <x v="0"/>
    <s v="Product-33"/>
    <n v="4.3099999999999996"/>
    <n v="2450.5300000000002"/>
    <n v="10098.35"/>
    <n v="0"/>
    <n v="9672.84"/>
    <n v="6334.57"/>
    <n v="3338.2700000000004"/>
    <s v="Net Banking"/>
    <s v="Rohit"/>
    <s v="Low"/>
  </r>
  <r>
    <s v="ORD00066"/>
    <d v="2024-09-19T00:00:00"/>
    <x v="3"/>
    <s v="2024-09-26"/>
    <s v="CUST1103"/>
    <x v="2"/>
    <x v="3"/>
    <s v="Maharashtra"/>
    <s v="Delhi"/>
    <s v="Retail Store"/>
    <x v="2"/>
    <s v="Product-10"/>
    <n v="3.3"/>
    <n v="1726.47"/>
    <n v="5800.02"/>
    <n v="0.1"/>
    <n v="5140.2"/>
    <n v="3525.94"/>
    <n v="1614.2599999999998"/>
    <s v="UPI"/>
    <s v="Neha"/>
    <s v="Medium"/>
  </r>
  <r>
    <s v="ORD00180"/>
    <d v="2024-07-26T00:00:00"/>
    <x v="5"/>
    <s v="2024-08-02"/>
    <s v="CUST8972"/>
    <x v="2"/>
    <x v="0"/>
    <s v="Delhi"/>
    <s v="Bengaluru"/>
    <s v="Retail Store"/>
    <x v="0"/>
    <s v="Product-8"/>
    <n v="3.85"/>
    <n v="721.22"/>
    <n v="3184.62"/>
    <n v="0.1"/>
    <n v="2928.19"/>
    <n v="1625.37"/>
    <n v="1302.8200000000002"/>
    <s v="Debit Card"/>
    <s v="Pooja"/>
    <s v="Low"/>
  </r>
  <r>
    <s v="ORD00042"/>
    <d v="2024-06-10T00:00:00"/>
    <x v="0"/>
    <s v="2024-06-11"/>
    <s v="CUST2966"/>
    <x v="2"/>
    <x v="0"/>
    <s v="Karnataka"/>
    <s v="Bengaluru"/>
    <s v="Retail Store"/>
    <x v="0"/>
    <s v="Product-26"/>
    <n v="6.38"/>
    <n v="352.97"/>
    <n v="2189.7199999999998"/>
    <n v="0.1"/>
    <n v="2319.23"/>
    <n v="1676.89"/>
    <n v="642.33999999999992"/>
    <s v="Net Banking"/>
    <s v="Karan"/>
    <s v="Low"/>
  </r>
  <r>
    <s v="ORD00262"/>
    <d v="2024-10-27T00:00:00"/>
    <x v="2"/>
    <s v="2024-11-01"/>
    <s v="CUST5601"/>
    <x v="1"/>
    <x v="2"/>
    <s v="Karnataka"/>
    <s v="Noida"/>
    <s v="Online"/>
    <x v="2"/>
    <s v="Product-36"/>
    <n v="9.2899999999999991"/>
    <n v="577.27"/>
    <n v="5301.31"/>
    <n v="0.14000000000000001"/>
    <n v="4411.58"/>
    <n v="2670.56"/>
    <n v="1741.02"/>
    <s v="Net Banking"/>
    <s v="Amit"/>
    <s v="High"/>
  </r>
  <r>
    <s v="ORD00021"/>
    <d v="2024-05-07T00:00:00"/>
    <x v="7"/>
    <s v="2024-05-09"/>
    <s v="CUST1456"/>
    <x v="2"/>
    <x v="1"/>
    <s v="Karnataka"/>
    <s v="Noida"/>
    <s v="B2B"/>
    <x v="1"/>
    <s v="Product-33"/>
    <n v="5.2"/>
    <n v="523.83000000000004"/>
    <n v="2600.64"/>
    <n v="0"/>
    <n v="2645.27"/>
    <n v="2002.67"/>
    <n v="642.59999999999991"/>
    <s v="Credit Card"/>
    <s v="Rohit"/>
    <s v="Medium"/>
  </r>
  <r>
    <s v="ORD00086"/>
    <d v="2024-09-01T00:00:00"/>
    <x v="3"/>
    <s v="2024-09-07"/>
    <s v="CUST8622"/>
    <x v="2"/>
    <x v="1"/>
    <s v="Maharashtra"/>
    <s v="Mumbai"/>
    <s v="Online"/>
    <x v="2"/>
    <s v="Product-15"/>
    <n v="8.36"/>
    <n v="413.61"/>
    <n v="3703.1"/>
    <n v="0.14000000000000001"/>
    <n v="3123.29"/>
    <n v="2628.08"/>
    <n v="495.21000000000004"/>
    <s v="UPI"/>
    <s v="Amit"/>
    <s v="Medium"/>
  </r>
  <r>
    <s v="ORD00193"/>
    <d v="2024-07-09T00:00:00"/>
    <x v="5"/>
    <s v="2024-07-10"/>
    <s v="CUST2974"/>
    <x v="1"/>
    <x v="2"/>
    <s v="Tamil Nadu"/>
    <s v="Delhi"/>
    <s v="B2B"/>
    <x v="0"/>
    <s v="Product-37"/>
    <n v="1.03"/>
    <n v="2617.77"/>
    <n v="2241.4299999999998"/>
    <n v="0.05"/>
    <n v="2593.4"/>
    <n v="1867.92"/>
    <n v="725.48"/>
    <s v="UPI"/>
    <s v="Rohit"/>
    <s v="Low"/>
  </r>
  <r>
    <s v="ORD00159"/>
    <d v="2024-02-04T00:00:00"/>
    <x v="1"/>
    <s v="2024-02-09"/>
    <s v="CUST3526"/>
    <x v="2"/>
    <x v="1"/>
    <s v="Tamil Nadu"/>
    <s v="Chennai"/>
    <s v="Retail Store"/>
    <x v="1"/>
    <s v="Product-38"/>
    <n v="3.93"/>
    <n v="725.42"/>
    <n v="3031.95"/>
    <n v="0.09"/>
    <n v="2586.1999999999998"/>
    <n v="1811.94"/>
    <n v="774.25999999999976"/>
    <s v="Debit Card"/>
    <s v="Karan"/>
    <s v="High"/>
  </r>
  <r>
    <s v="ORD00119"/>
    <d v="2024-09-24T00:00:00"/>
    <x v="3"/>
    <s v="2024-09-25"/>
    <s v="CUST7629"/>
    <x v="0"/>
    <x v="0"/>
    <s v="Delhi"/>
    <s v="Chennai"/>
    <s v="B2B"/>
    <x v="1"/>
    <s v="Product-43"/>
    <n v="2.0699999999999998"/>
    <n v="2940.2"/>
    <n v="5815.92"/>
    <n v="0.16"/>
    <n v="4754.8999999999996"/>
    <n v="3718.91"/>
    <n v="1035.9899999999998"/>
    <s v="Credit Card"/>
    <s v="Pooja"/>
    <s v="Medium"/>
  </r>
  <r>
    <s v="ORD00024"/>
    <d v="2024-03-24T00:00:00"/>
    <x v="8"/>
    <s v="2024-03-30"/>
    <s v="CUST7616"/>
    <x v="0"/>
    <x v="1"/>
    <s v="Maharashtra"/>
    <s v="Bengaluru"/>
    <s v="Retail Store"/>
    <x v="0"/>
    <s v="Product-47"/>
    <n v="3.94"/>
    <n v="920.01"/>
    <n v="3799.98"/>
    <n v="0.14000000000000001"/>
    <n v="2838.29"/>
    <n v="2470.5700000000002"/>
    <n v="367.7199999999998"/>
    <s v="Debit Card"/>
    <s v="Amit"/>
    <s v="Medium"/>
  </r>
  <r>
    <s v="ORD00060"/>
    <d v="2024-05-14T00:00:00"/>
    <x v="7"/>
    <s v="2024-05-20"/>
    <s v="CUST2070"/>
    <x v="2"/>
    <x v="2"/>
    <s v="Delhi"/>
    <s v="Chennai"/>
    <s v="B2B"/>
    <x v="2"/>
    <s v="Product-50"/>
    <n v="11.74"/>
    <n v="2585.9299999999998"/>
    <n v="30494.02"/>
    <n v="0.1"/>
    <n v="28905"/>
    <n v="19271.330000000002"/>
    <n v="9633.6699999999983"/>
    <s v="Net Banking"/>
    <s v="Rohit"/>
    <s v="Medium"/>
  </r>
  <r>
    <s v="ORD00189"/>
    <d v="2024-03-11T00:00:00"/>
    <x v="8"/>
    <s v="2024-03-14"/>
    <s v="CUST4645"/>
    <x v="1"/>
    <x v="1"/>
    <s v="Delhi"/>
    <s v="Mumbai"/>
    <s v="B2B"/>
    <x v="1"/>
    <s v="Product-24"/>
    <n v="5.68"/>
    <n v="1951.32"/>
    <n v="11977.3"/>
    <n v="0"/>
    <n v="11429.4"/>
    <n v="9386.31"/>
    <n v="2043.0900000000001"/>
    <s v="Net Banking"/>
    <s v="Rohit"/>
    <s v="High"/>
  </r>
  <r>
    <s v="ORD00068"/>
    <d v="2024-09-04T00:00:00"/>
    <x v="3"/>
    <s v="2024-09-05"/>
    <s v="CUST3532"/>
    <x v="1"/>
    <x v="0"/>
    <s v="Maharashtra"/>
    <s v="Chennai"/>
    <s v="B2B"/>
    <x v="2"/>
    <s v="Product-27"/>
    <n v="7.06"/>
    <n v="739.91"/>
    <n v="5519.21"/>
    <n v="0.17"/>
    <n v="4262.12"/>
    <n v="3548.57"/>
    <n v="713.54999999999973"/>
    <s v="Debit Card"/>
    <s v="Rohit"/>
    <s v="Medium"/>
  </r>
  <r>
    <s v="ORD00187"/>
    <d v="2024-08-12T00:00:00"/>
    <x v="9"/>
    <s v="2024-08-13"/>
    <s v="CUST3694"/>
    <x v="0"/>
    <x v="3"/>
    <s v="Delhi"/>
    <s v="Chennai"/>
    <s v="B2B"/>
    <x v="1"/>
    <s v="Product-23"/>
    <n v="11.79"/>
    <n v="3494.35"/>
    <n v="37123.22"/>
    <n v="0.05"/>
    <n v="36797.75"/>
    <n v="27196.84"/>
    <n v="9600.91"/>
    <s v="Credit Card"/>
    <s v="Pooja"/>
    <s v="Low"/>
  </r>
  <r>
    <s v="ORD00193"/>
    <d v="2024-07-09T00:00:00"/>
    <x v="5"/>
    <s v="2024-07-10"/>
    <s v="CUST2974"/>
    <x v="1"/>
    <x v="2"/>
    <s v="Tamil Nadu"/>
    <s v="Delhi"/>
    <s v="B2B"/>
    <x v="0"/>
    <s v="Product-37"/>
    <n v="1"/>
    <n v="2561.9699999999998"/>
    <n v="2414.38"/>
    <n v="0.05"/>
    <n v="2653.88"/>
    <n v="1948.73"/>
    <n v="705.15000000000009"/>
    <s v="UPI"/>
    <s v="Rohit"/>
    <s v="Low"/>
  </r>
  <r>
    <s v="ORD00238"/>
    <d v="2024-04-14T00:00:00"/>
    <x v="6"/>
    <s v="2024-04-15"/>
    <s v="CUST2178"/>
    <x v="1"/>
    <x v="1"/>
    <s v="Maharashtra"/>
    <s v="Delhi"/>
    <s v="B2B"/>
    <x v="1"/>
    <s v="Product-48"/>
    <n v="2.81"/>
    <n v="1722.67"/>
    <n v="4934.62"/>
    <n v="0"/>
    <n v="5292.21"/>
    <n v="2911.33"/>
    <n v="2380.88"/>
    <s v="Credit Card"/>
    <s v="Pooja"/>
    <s v="Low"/>
  </r>
  <r>
    <s v="ORD00150"/>
    <d v="2024-03-26T00:00:00"/>
    <x v="8"/>
    <s v="2024-03-27"/>
    <s v="CUST9746"/>
    <x v="2"/>
    <x v="1"/>
    <s v="Delhi"/>
    <s v="Noida"/>
    <s v="Online"/>
    <x v="2"/>
    <s v="Product-27"/>
    <n v="1.01"/>
    <n v="2306.9499999999998"/>
    <n v="2309.7600000000002"/>
    <n v="0.1"/>
    <n v="1940.55"/>
    <n v="1172.8699999999999"/>
    <n v="767.68000000000006"/>
    <s v="Debit Card"/>
    <s v="Rohit"/>
    <s v="Low"/>
  </r>
  <r>
    <s v="ORD00193"/>
    <d v="2024-07-09T00:00:00"/>
    <x v="5"/>
    <s v="2024-07-10"/>
    <s v="CUST2974"/>
    <x v="1"/>
    <x v="2"/>
    <s v="Tamil Nadu"/>
    <s v="Delhi"/>
    <s v="B2B"/>
    <x v="0"/>
    <s v="Product-37"/>
    <n v="1.05"/>
    <n v="2309.23"/>
    <n v="2573.3000000000002"/>
    <n v="0.05"/>
    <n v="2853.72"/>
    <n v="1764.92"/>
    <n v="1088.7999999999997"/>
    <s v="UPI"/>
    <s v="Rohit"/>
    <s v="Low"/>
  </r>
  <r>
    <s v="ORD00163"/>
    <d v="2024-09-17T00:00:00"/>
    <x v="3"/>
    <s v="2024-09-18"/>
    <s v="CUST9035"/>
    <x v="0"/>
    <x v="1"/>
    <s v="Delhi"/>
    <s v="Delhi"/>
    <s v="B2B"/>
    <x v="1"/>
    <s v="Product-21"/>
    <n v="1"/>
    <n v="660.53"/>
    <n v="704.33"/>
    <n v="0.05"/>
    <n v="705.16"/>
    <n v="577.95000000000005"/>
    <n v="127.20999999999992"/>
    <s v="Credit Card"/>
    <s v="Neha"/>
    <s v="Medium"/>
  </r>
  <r>
    <s v="ORD00244"/>
    <d v="2024-11-02T00:00:00"/>
    <x v="4"/>
    <s v="2024-11-03"/>
    <s v="CUST1820"/>
    <x v="2"/>
    <x v="3"/>
    <s v="Karnataka"/>
    <s v="Chennai"/>
    <s v="Retail Store"/>
    <x v="0"/>
    <s v="Product-22"/>
    <n v="0.99"/>
    <n v="1498.15"/>
    <n v="1365.85"/>
    <n v="0.05"/>
    <n v="1273.05"/>
    <n v="1165.07"/>
    <n v="107.98000000000002"/>
    <s v="Debit Card"/>
    <s v="Neha"/>
    <s v="Low"/>
  </r>
  <r>
    <s v="ORD00118"/>
    <d v="2024-03-12T00:00:00"/>
    <x v="8"/>
    <s v="2024-03-19"/>
    <s v="CUST4027"/>
    <x v="0"/>
    <x v="0"/>
    <s v="Karnataka"/>
    <s v="Delhi"/>
    <s v="Retail Store"/>
    <x v="1"/>
    <s v="Product-42"/>
    <n v="4.78"/>
    <n v="2318.2199999999998"/>
    <n v="10725.37"/>
    <n v="0.11"/>
    <n v="8759.42"/>
    <n v="8184.49"/>
    <n v="574.93000000000029"/>
    <s v="UPI"/>
    <s v="Pooja"/>
    <s v="High"/>
  </r>
  <r>
    <s v="ORD00048"/>
    <d v="2024-02-01T00:00:00"/>
    <x v="1"/>
    <s v="2024-02-05"/>
    <s v="CUST9247"/>
    <x v="1"/>
    <x v="2"/>
    <s v="Delhi"/>
    <s v="Bengaluru"/>
    <s v="Online"/>
    <x v="2"/>
    <s v="Product-26"/>
    <n v="4.74"/>
    <n v="2038.06"/>
    <n v="11360.94"/>
    <n v="0.11"/>
    <n v="10250.219999999999"/>
    <n v="6582.21"/>
    <n v="3668.0099999999993"/>
    <s v="Net Banking"/>
    <s v="Pooja"/>
    <s v="Medium"/>
  </r>
  <r>
    <s v="ORD00284"/>
    <d v="2024-04-12T00:00:00"/>
    <x v="6"/>
    <s v="2024-04-19"/>
    <s v="CUST4597"/>
    <x v="1"/>
    <x v="0"/>
    <s v="Uttar Pradesh"/>
    <s v="Noida"/>
    <s v="Retail Store"/>
    <x v="2"/>
    <s v="Product-3"/>
    <n v="1.0900000000000001"/>
    <n v="493.45"/>
    <n v="468.56"/>
    <n v="0"/>
    <n v="477.68"/>
    <n v="376.89"/>
    <n v="100.79000000000002"/>
    <s v="Credit Card"/>
    <s v="Pooja"/>
    <s v="Low"/>
  </r>
  <r>
    <s v="ORD00021"/>
    <d v="2024-05-07T00:00:00"/>
    <x v="7"/>
    <s v="2024-05-09"/>
    <s v="CUST1456"/>
    <x v="2"/>
    <x v="1"/>
    <s v="Karnataka"/>
    <s v="Noida"/>
    <s v="B2B"/>
    <x v="1"/>
    <s v="Product-33"/>
    <n v="4.6500000000000004"/>
    <n v="566.91999999999996"/>
    <n v="2557.0500000000002"/>
    <n v="0"/>
    <n v="2824.81"/>
    <n v="1757.65"/>
    <n v="1067.1599999999999"/>
    <s v="Credit Card"/>
    <s v="Rohit"/>
    <s v="Medium"/>
  </r>
  <r>
    <s v="ORD00260"/>
    <d v="2024-08-01T00:00:00"/>
    <x v="9"/>
    <s v="2024-08-02"/>
    <s v="CUST5846"/>
    <x v="0"/>
    <x v="3"/>
    <s v="Tamil Nadu"/>
    <s v="Noida"/>
    <s v="B2B"/>
    <x v="0"/>
    <s v="Product-42"/>
    <n v="10.33"/>
    <n v="2350.0100000000002"/>
    <n v="21570.5"/>
    <n v="0.13"/>
    <n v="17641.23"/>
    <n v="12173.34"/>
    <n v="5467.8899999999994"/>
    <s v="Net Banking"/>
    <s v="Pooja"/>
    <s v="Medium"/>
  </r>
  <r>
    <s v="ORD00219"/>
    <d v="2024-09-11T00:00:00"/>
    <x v="3"/>
    <s v="2024-09-12"/>
    <s v="CUST5472"/>
    <x v="1"/>
    <x v="2"/>
    <s v="Delhi"/>
    <s v="Bengaluru"/>
    <s v="Retail Store"/>
    <x v="0"/>
    <s v="Product-3"/>
    <n v="5.75"/>
    <n v="3660.33"/>
    <n v="20257.14"/>
    <n v="0.05"/>
    <n v="19944.509999999998"/>
    <n v="16052.27"/>
    <n v="3892.239999999998"/>
    <s v="Credit Card"/>
    <s v="Karan"/>
    <s v="Low"/>
  </r>
  <r>
    <s v="ORD00128"/>
    <d v="2024-04-02T00:00:00"/>
    <x v="6"/>
    <s v="2024-04-09"/>
    <s v="CUST9474"/>
    <x v="2"/>
    <x v="2"/>
    <s v="Delhi"/>
    <s v="Chennai"/>
    <s v="Retail Store"/>
    <x v="0"/>
    <s v="Product-24"/>
    <n v="12.77"/>
    <n v="1248.9100000000001"/>
    <n v="14088.99"/>
    <n v="0.1"/>
    <n v="13673.14"/>
    <n v="9740.27"/>
    <n v="3932.869999999999"/>
    <s v="Net Banking"/>
    <s v="Amit"/>
    <s v="Low"/>
  </r>
  <r>
    <s v="ORD00194"/>
    <d v="2024-07-06T00:00:00"/>
    <x v="5"/>
    <s v="2024-07-12"/>
    <s v="CUST3010"/>
    <x v="2"/>
    <x v="3"/>
    <s v="Uttar Pradesh"/>
    <s v="Noida"/>
    <s v="Retail Store"/>
    <x v="1"/>
    <s v="Product-32"/>
    <n v="4.72"/>
    <n v="2683.85"/>
    <n v="15759.3"/>
    <n v="0"/>
    <n v="17329.16"/>
    <n v="12706.85"/>
    <n v="4622.3099999999995"/>
    <s v="UPI"/>
    <s v="Karan"/>
    <s v="Medium"/>
  </r>
  <r>
    <s v="ORD00286"/>
    <d v="2024-02-13T00:00:00"/>
    <x v="1"/>
    <s v="2024-02-18"/>
    <s v="CUST9936"/>
    <x v="1"/>
    <x v="3"/>
    <s v="Tamil Nadu"/>
    <s v="Chennai"/>
    <s v="B2B"/>
    <x v="0"/>
    <s v="Product-36"/>
    <n v="8.74"/>
    <n v="2124.0300000000002"/>
    <n v="21262.53"/>
    <n v="0"/>
    <n v="21427.33"/>
    <n v="15316.79"/>
    <n v="6110.5400000000009"/>
    <s v="Credit Card"/>
    <s v="Amit"/>
    <s v="Low"/>
  </r>
  <r>
    <s v="ORD00012"/>
    <d v="2024-05-09T00:00:00"/>
    <x v="7"/>
    <s v="2024-05-12"/>
    <s v="CUST8996"/>
    <x v="0"/>
    <x v="1"/>
    <s v="Tamil Nadu"/>
    <s v="Bengaluru"/>
    <s v="Online"/>
    <x v="0"/>
    <s v="Product-7"/>
    <n v="9.1199999999999992"/>
    <n v="1566.15"/>
    <n v="14942.62"/>
    <n v="0"/>
    <n v="16624.02"/>
    <n v="9171.17"/>
    <n v="7452.85"/>
    <s v="Debit Card"/>
    <s v="Rohit"/>
    <s v="Medium"/>
  </r>
  <r>
    <s v="ORD00276"/>
    <d v="2024-04-09T00:00:00"/>
    <x v="6"/>
    <s v="2024-04-10"/>
    <s v="CUST4239"/>
    <x v="1"/>
    <x v="2"/>
    <s v="Karnataka"/>
    <s v="Mumbai"/>
    <s v="B2B"/>
    <x v="1"/>
    <s v="Product-19"/>
    <n v="13.11"/>
    <n v="2927.52"/>
    <n v="35063.14"/>
    <n v="0"/>
    <n v="36857"/>
    <n v="27238.48"/>
    <n v="9618.52"/>
    <s v="UPI"/>
    <s v="Karan"/>
    <s v="High"/>
  </r>
  <r>
    <s v="ORD00137"/>
    <d v="2024-02-25T00:00:00"/>
    <x v="1"/>
    <s v="2024-02-28"/>
    <s v="CUST9412"/>
    <x v="2"/>
    <x v="2"/>
    <s v="Uttar Pradesh"/>
    <s v="Chennai"/>
    <s v="Retail Store"/>
    <x v="0"/>
    <s v="Product-17"/>
    <n v="8.33"/>
    <n v="3045.37"/>
    <n v="26637.84"/>
    <n v="0"/>
    <n v="24303.46"/>
    <n v="16172.31"/>
    <n v="8131.15"/>
    <s v="Credit Card"/>
    <s v="Rohit"/>
    <s v="Medium"/>
  </r>
  <r>
    <s v="ORD00120"/>
    <d v="2024-10-07T00:00:00"/>
    <x v="2"/>
    <s v="2024-10-08"/>
    <s v="CUST1254"/>
    <x v="0"/>
    <x v="0"/>
    <s v="Delhi"/>
    <s v="Delhi"/>
    <s v="Online"/>
    <x v="0"/>
    <s v="Product-8"/>
    <n v="1.84"/>
    <n v="2326.2199999999998"/>
    <n v="4878.3900000000003"/>
    <n v="0.05"/>
    <n v="4358.99"/>
    <n v="3922.45"/>
    <n v="436.53999999999996"/>
    <s v="Credit Card"/>
    <s v="Pooja"/>
    <s v="Low"/>
  </r>
  <r>
    <s v="ORD00090"/>
    <d v="2024-01-15T00:00:00"/>
    <x v="10"/>
    <s v="2024-01-16"/>
    <s v="CUST1764"/>
    <x v="2"/>
    <x v="3"/>
    <s v="Maharashtra"/>
    <s v="Noida"/>
    <s v="B2B"/>
    <x v="0"/>
    <s v="Product-49"/>
    <n v="0.96"/>
    <n v="910.08"/>
    <n v="863.14"/>
    <n v="0"/>
    <n v="780.47"/>
    <n v="693.85"/>
    <n v="86.62"/>
    <s v="Net Banking"/>
    <s v="Amit"/>
    <s v="Low"/>
  </r>
  <r>
    <s v="ORD00084"/>
    <d v="2024-10-23T00:00:00"/>
    <x v="2"/>
    <s v="2024-10-27"/>
    <s v="CUST1006"/>
    <x v="2"/>
    <x v="0"/>
    <s v="Uttar Pradesh"/>
    <s v="Delhi"/>
    <s v="Retail Store"/>
    <x v="0"/>
    <s v="Product-16"/>
    <n v="9.9700000000000006"/>
    <n v="3512.72"/>
    <n v="34811.18"/>
    <n v="0.14000000000000001"/>
    <n v="28187.56"/>
    <n v="16988.91"/>
    <n v="11198.650000000001"/>
    <s v="Credit Card"/>
    <s v="Amit"/>
    <s v="Low"/>
  </r>
  <r>
    <s v="ORD00074"/>
    <d v="2024-10-25T00:00:00"/>
    <x v="2"/>
    <s v="2024-10-27"/>
    <s v="CUST8181"/>
    <x v="2"/>
    <x v="0"/>
    <s v="Delhi"/>
    <s v="Noida"/>
    <s v="Retail Store"/>
    <x v="2"/>
    <s v="Product-16"/>
    <n v="6.89"/>
    <n v="1735.56"/>
    <n v="10495.01"/>
    <n v="0.1"/>
    <n v="9521.24"/>
    <n v="6798.92"/>
    <n v="2722.3199999999997"/>
    <s v="Net Banking"/>
    <s v="Karan"/>
    <s v="Medium"/>
  </r>
  <r>
    <s v="ORD00026"/>
    <d v="2024-05-18T00:00:00"/>
    <x v="7"/>
    <s v="2024-05-25"/>
    <s v="CUST9791"/>
    <x v="1"/>
    <x v="1"/>
    <s v="Karnataka"/>
    <s v="Delhi"/>
    <s v="Retail Store"/>
    <x v="0"/>
    <s v="Product-45"/>
    <n v="3.3"/>
    <n v="3008"/>
    <n v="7966.63"/>
    <n v="0.1"/>
    <n v="7780.22"/>
    <n v="5932.28"/>
    <n v="1847.9400000000005"/>
    <s v="Credit Card"/>
    <s v="Pooja"/>
    <s v="Low"/>
  </r>
  <r>
    <s v="ORD00033"/>
    <d v="2024-07-14T00:00:00"/>
    <x v="5"/>
    <s v="2024-07-15"/>
    <s v="CUST1081"/>
    <x v="2"/>
    <x v="3"/>
    <s v="Delhi"/>
    <s v="Mumbai"/>
    <s v="Retail Store"/>
    <x v="1"/>
    <s v="Product-3"/>
    <n v="7.91"/>
    <n v="1375.98"/>
    <n v="10764.21"/>
    <n v="0.05"/>
    <n v="9464.83"/>
    <n v="6346.18"/>
    <n v="3118.6499999999996"/>
    <s v="Net Banking"/>
    <s v="Amit"/>
    <s v="Medium"/>
  </r>
  <r>
    <s v="ORD00142"/>
    <d v="2024-07-06T00:00:00"/>
    <x v="5"/>
    <s v="2024-07-07"/>
    <s v="CUST8303"/>
    <x v="1"/>
    <x v="0"/>
    <s v="Delhi"/>
    <s v="Bengaluru"/>
    <s v="B2B"/>
    <x v="0"/>
    <s v="Product-21"/>
    <n v="2.72"/>
    <n v="2735.33"/>
    <n v="7882.53"/>
    <n v="0"/>
    <n v="7140.08"/>
    <n v="5692.9"/>
    <n v="1447.1800000000003"/>
    <s v="Net Banking"/>
    <s v="Karan"/>
    <s v="Low"/>
  </r>
  <r>
    <s v="ORD00133"/>
    <d v="2024-03-15T00:00:00"/>
    <x v="8"/>
    <s v="2024-03-18"/>
    <s v="CUST8229"/>
    <x v="1"/>
    <x v="0"/>
    <s v="Tamil Nadu"/>
    <s v="Bengaluru"/>
    <s v="Retail Store"/>
    <x v="2"/>
    <s v="Product-25"/>
    <n v="1.01"/>
    <n v="3266.42"/>
    <n v="3288.62"/>
    <n v="0.09"/>
    <n v="2980.94"/>
    <n v="2301.6799999999998"/>
    <n v="679.26000000000022"/>
    <s v="UPI"/>
    <s v="Rohit"/>
    <s v="Medium"/>
  </r>
  <r>
    <s v="ORD00237"/>
    <d v="2024-09-29T00:00:00"/>
    <x v="3"/>
    <s v="2024-09-30"/>
    <s v="CUST4599"/>
    <x v="0"/>
    <x v="3"/>
    <s v="Maharashtra"/>
    <s v="Mumbai"/>
    <s v="B2B"/>
    <x v="1"/>
    <s v="Product-30"/>
    <n v="7.47"/>
    <n v="3683.51"/>
    <n v="24534.67"/>
    <n v="0.1"/>
    <n v="21486.17"/>
    <n v="12751.84"/>
    <n v="8734.3299999999981"/>
    <s v="Net Banking"/>
    <s v="Pooja"/>
    <s v="Low"/>
  </r>
  <r>
    <s v="ORD00087"/>
    <d v="2024-05-14T00:00:00"/>
    <x v="7"/>
    <s v="2024-05-20"/>
    <s v="CUST9572"/>
    <x v="0"/>
    <x v="3"/>
    <s v="Maharashtra"/>
    <s v="Delhi"/>
    <s v="B2B"/>
    <x v="0"/>
    <s v="Product-11"/>
    <n v="1.03"/>
    <n v="1338.21"/>
    <n v="1307.19"/>
    <n v="0.14000000000000001"/>
    <n v="1139.3"/>
    <n v="798.65"/>
    <n v="340.65"/>
    <s v="Debit Card"/>
    <s v="Neha"/>
    <s v="High"/>
  </r>
  <r>
    <s v="ORD00268"/>
    <d v="2024-03-25T00:00:00"/>
    <x v="8"/>
    <s v="2024-03-31"/>
    <s v="CUST7463"/>
    <x v="1"/>
    <x v="3"/>
    <s v="Tamil Nadu"/>
    <s v="Chennai"/>
    <s v="Retail Store"/>
    <x v="2"/>
    <s v="Product-23"/>
    <n v="2.94"/>
    <n v="3572.21"/>
    <n v="9839.1299999999992"/>
    <n v="0"/>
    <n v="10886.87"/>
    <n v="8347.65"/>
    <n v="2539.2200000000012"/>
    <s v="Credit Card"/>
    <s v="Neha"/>
    <s v="High"/>
  </r>
  <r>
    <s v="ORD00194"/>
    <d v="2024-07-06T00:00:00"/>
    <x v="5"/>
    <s v="2024-07-12"/>
    <s v="CUST3010"/>
    <x v="2"/>
    <x v="3"/>
    <s v="Uttar Pradesh"/>
    <s v="Noida"/>
    <s v="Retail Store"/>
    <x v="1"/>
    <s v="Product-32"/>
    <n v="5.47"/>
    <n v="3099.75"/>
    <n v="18696.57"/>
    <n v="0"/>
    <n v="18851.34"/>
    <n v="15382.6"/>
    <n v="3468.74"/>
    <s v="UPI"/>
    <s v="Karan"/>
    <s v="Medium"/>
  </r>
  <r>
    <s v="ORD00073"/>
    <d v="2024-09-22T00:00:00"/>
    <x v="3"/>
    <s v="2024-09-24"/>
    <s v="CUST4155"/>
    <x v="2"/>
    <x v="0"/>
    <s v="Karnataka"/>
    <s v="Delhi"/>
    <s v="Retail Store"/>
    <x v="1"/>
    <s v="Product-30"/>
    <n v="7.28"/>
    <n v="1785.77"/>
    <n v="11302.54"/>
    <n v="0.05"/>
    <n v="10730.06"/>
    <n v="7248.72"/>
    <n v="3481.3399999999992"/>
    <s v="Debit Card"/>
    <s v="Pooja"/>
    <s v="Medium"/>
  </r>
  <r>
    <s v="ORD00151"/>
    <d v="2024-02-14T00:00:00"/>
    <x v="1"/>
    <s v="2024-02-20"/>
    <s v="CUST4630"/>
    <x v="1"/>
    <x v="1"/>
    <s v="Maharashtra"/>
    <s v="Noida"/>
    <s v="B2B"/>
    <x v="2"/>
    <s v="Product-30"/>
    <n v="9.7899999999999991"/>
    <n v="1301.52"/>
    <n v="11119.11"/>
    <n v="0.16"/>
    <n v="10397.790000000001"/>
    <n v="7602.37"/>
    <n v="2795.420000000001"/>
    <s v="Debit Card"/>
    <s v="Karan"/>
    <s v="Medium"/>
  </r>
  <r>
    <s v="ORD00165"/>
    <d v="2024-01-23T00:00:00"/>
    <x v="10"/>
    <s v="2024-01-27"/>
    <s v="CUST3611"/>
    <x v="1"/>
    <x v="2"/>
    <s v="Karnataka"/>
    <s v="Delhi"/>
    <s v="Retail Store"/>
    <x v="2"/>
    <s v="Product-27"/>
    <n v="1.17"/>
    <n v="2372.4499999999998"/>
    <n v="2519.5700000000002"/>
    <n v="0.05"/>
    <n v="1796.15"/>
    <n v="1497.45"/>
    <n v="298.70000000000005"/>
    <s v="Debit Card"/>
    <s v="Pooja"/>
    <s v="Low"/>
  </r>
  <r>
    <s v="ORD00139"/>
    <d v="2024-09-26T00:00:00"/>
    <x v="3"/>
    <s v="2024-09-29"/>
    <s v="CUST4576"/>
    <x v="0"/>
    <x v="2"/>
    <s v="Maharashtra"/>
    <s v="Mumbai"/>
    <s v="B2B"/>
    <x v="0"/>
    <s v="Product-46"/>
    <n v="3.07"/>
    <n v="1558.72"/>
    <n v="4563.5200000000004"/>
    <n v="0"/>
    <n v="4522.58"/>
    <n v="4096.9399999999996"/>
    <n v="425.64000000000033"/>
    <s v="Credit Card"/>
    <s v="Neha"/>
    <s v="High"/>
  </r>
  <r>
    <s v="ORD00169"/>
    <d v="2024-08-27T00:00:00"/>
    <x v="9"/>
    <s v="2024-09-03"/>
    <s v="CUST7638"/>
    <x v="0"/>
    <x v="2"/>
    <s v="Karnataka"/>
    <s v="Chennai"/>
    <s v="B2B"/>
    <x v="0"/>
    <s v="Product-15"/>
    <n v="3.85"/>
    <n v="904.96"/>
    <n v="3391.43"/>
    <n v="0.11"/>
    <n v="3110.44"/>
    <n v="1794.51"/>
    <n v="1315.93"/>
    <s v="Net Banking"/>
    <s v="Neha"/>
    <s v="High"/>
  </r>
  <r>
    <s v="ORD00265"/>
    <d v="2024-11-13T00:00:00"/>
    <x v="4"/>
    <s v="2024-11-16"/>
    <s v="CUST6236"/>
    <x v="0"/>
    <x v="1"/>
    <s v="Karnataka"/>
    <s v="Delhi"/>
    <s v="Online"/>
    <x v="1"/>
    <s v="Product-29"/>
    <n v="7.62"/>
    <n v="1517.47"/>
    <n v="13338.07"/>
    <n v="0.09"/>
    <n v="11054.6"/>
    <n v="8422.26"/>
    <n v="2632.34"/>
    <s v="Net Banking"/>
    <s v="Neha"/>
    <s v="Medium"/>
  </r>
  <r>
    <s v="ORD00202"/>
    <d v="2024-03-18T00:00:00"/>
    <x v="8"/>
    <s v="2024-03-20"/>
    <s v="CUST7489"/>
    <x v="1"/>
    <x v="3"/>
    <s v="Maharashtra"/>
    <s v="Noida"/>
    <s v="Online"/>
    <x v="0"/>
    <s v="Product-20"/>
    <n v="4.37"/>
    <n v="464.41"/>
    <n v="1640.59"/>
    <n v="0.14000000000000001"/>
    <n v="1309.73"/>
    <n v="987.36"/>
    <n v="322.37"/>
    <s v="Debit Card"/>
    <s v="Rohit"/>
    <s v="High"/>
  </r>
  <r>
    <s v="ORD00265"/>
    <d v="2024-11-13T00:00:00"/>
    <x v="4"/>
    <s v="2024-11-16"/>
    <s v="CUST6236"/>
    <x v="0"/>
    <x v="1"/>
    <s v="Karnataka"/>
    <s v="Delhi"/>
    <s v="Online"/>
    <x v="1"/>
    <s v="Product-29"/>
    <n v="7.28"/>
    <n v="1574.24"/>
    <n v="12902.26"/>
    <n v="0.08"/>
    <n v="11521.43"/>
    <n v="7615.48"/>
    <n v="3905.9500000000007"/>
    <s v="Net Banking"/>
    <s v="Neha"/>
    <s v="Medium"/>
  </r>
  <r>
    <s v="ORD00051"/>
    <d v="2024-05-08T00:00:00"/>
    <x v="7"/>
    <s v="2024-05-13"/>
    <s v="CUST5920"/>
    <x v="1"/>
    <x v="2"/>
    <s v="Tamil Nadu"/>
    <s v="Bengaluru"/>
    <s v="Online"/>
    <x v="1"/>
    <s v="Product-1"/>
    <n v="11.56"/>
    <n v="1647.91"/>
    <n v="20078.560000000001"/>
    <n v="0"/>
    <n v="17823.830000000002"/>
    <n v="12037.37"/>
    <n v="5786.4600000000009"/>
    <s v="UPI"/>
    <s v="Karan"/>
    <s v="Medium"/>
  </r>
  <r>
    <s v="ORD00255"/>
    <d v="2024-09-09T00:00:00"/>
    <x v="3"/>
    <s v="2024-09-14"/>
    <s v="CUST7468"/>
    <x v="1"/>
    <x v="3"/>
    <s v="Tamil Nadu"/>
    <s v="Chennai"/>
    <s v="Online"/>
    <x v="0"/>
    <s v="Product-42"/>
    <n v="11.01"/>
    <n v="3191.35"/>
    <n v="32077.34"/>
    <n v="0"/>
    <n v="38023.07"/>
    <n v="25410.02"/>
    <n v="12613.05"/>
    <s v="Debit Card"/>
    <s v="Karan"/>
    <s v="Medium"/>
  </r>
  <r>
    <s v="ORD00021"/>
    <d v="2024-05-07T00:00:00"/>
    <x v="7"/>
    <s v="2024-05-09"/>
    <s v="CUST1456"/>
    <x v="2"/>
    <x v="1"/>
    <s v="Karnataka"/>
    <s v="Noida"/>
    <s v="B2B"/>
    <x v="1"/>
    <s v="Product-33"/>
    <n v="5"/>
    <n v="569.42999999999995"/>
    <n v="2882.24"/>
    <n v="0"/>
    <n v="2555.65"/>
    <n v="2036.43"/>
    <n v="519.22"/>
    <s v="Credit Card"/>
    <s v="Rohit"/>
    <s v="Medium"/>
  </r>
  <r>
    <s v="ORD00189"/>
    <d v="2024-03-11T00:00:00"/>
    <x v="8"/>
    <s v="2024-03-14"/>
    <s v="CUST4645"/>
    <x v="1"/>
    <x v="1"/>
    <s v="Delhi"/>
    <s v="Mumbai"/>
    <s v="B2B"/>
    <x v="1"/>
    <s v="Product-24"/>
    <n v="5.26"/>
    <n v="2015.56"/>
    <n v="11476.43"/>
    <n v="0"/>
    <n v="13783.06"/>
    <n v="9431.11"/>
    <n v="4351.9499999999989"/>
    <s v="Net Banking"/>
    <s v="Rohit"/>
    <s v="High"/>
  </r>
  <r>
    <s v="ORD00021"/>
    <d v="2024-05-07T00:00:00"/>
    <x v="7"/>
    <s v="2024-05-09"/>
    <s v="CUST1456"/>
    <x v="2"/>
    <x v="1"/>
    <s v="Karnataka"/>
    <s v="Noida"/>
    <s v="B2B"/>
    <x v="1"/>
    <s v="Product-33"/>
    <n v="4.62"/>
    <n v="558.33000000000004"/>
    <n v="2803.76"/>
    <n v="0"/>
    <n v="2786.47"/>
    <n v="1762.15"/>
    <n v="1024.3199999999997"/>
    <s v="Credit Card"/>
    <s v="Rohit"/>
    <s v="Medium"/>
  </r>
  <r>
    <s v="ORD00176"/>
    <d v="2024-07-20T00:00:00"/>
    <x v="5"/>
    <s v="2024-07-26"/>
    <s v="CUST6718"/>
    <x v="0"/>
    <x v="1"/>
    <s v="Karnataka"/>
    <s v="Noida"/>
    <s v="B2B"/>
    <x v="1"/>
    <s v="Product-41"/>
    <n v="10.76"/>
    <n v="3001.82"/>
    <n v="29543.15"/>
    <n v="0.1"/>
    <n v="28036.59"/>
    <n v="21745.279999999999"/>
    <n v="6291.3100000000013"/>
    <s v="Net Banking"/>
    <s v="Karan"/>
    <s v="Low"/>
  </r>
  <r>
    <s v="ORD00239"/>
    <d v="2024-05-30T00:00:00"/>
    <x v="7"/>
    <s v="2024-06-06"/>
    <s v="CUST4389"/>
    <x v="1"/>
    <x v="0"/>
    <s v="Tamil Nadu"/>
    <s v="Delhi"/>
    <s v="Online"/>
    <x v="0"/>
    <s v="Product-4"/>
    <n v="4"/>
    <n v="2024.03"/>
    <n v="8992.4500000000007"/>
    <n v="0.05"/>
    <n v="7617.31"/>
    <n v="4542.09"/>
    <n v="3075.2200000000003"/>
    <s v="Net Banking"/>
    <s v="Neha"/>
    <s v="High"/>
  </r>
  <r>
    <s v="ORD00034"/>
    <d v="2024-06-04T00:00:00"/>
    <x v="0"/>
    <s v="2024-06-10"/>
    <s v="CUST7381"/>
    <x v="0"/>
    <x v="1"/>
    <s v="Maharashtra"/>
    <s v="Bengaluru"/>
    <s v="B2B"/>
    <x v="1"/>
    <s v="Product-42"/>
    <n v="4.3600000000000003"/>
    <n v="722.99"/>
    <n v="2606.98"/>
    <n v="0.05"/>
    <n v="2266.08"/>
    <n v="1822.82"/>
    <n v="443.26"/>
    <s v="Credit Card"/>
    <s v="Amit"/>
    <s v="High"/>
  </r>
  <r>
    <s v="ORD00170"/>
    <d v="2024-05-13T00:00:00"/>
    <x v="7"/>
    <s v="2024-05-18"/>
    <s v="CUST7621"/>
    <x v="1"/>
    <x v="2"/>
    <s v="Maharashtra"/>
    <s v="Delhi"/>
    <s v="B2B"/>
    <x v="1"/>
    <s v="Product-6"/>
    <n v="8.02"/>
    <n v="2402.25"/>
    <n v="18392.650000000001"/>
    <n v="0.09"/>
    <n v="16896.509999999998"/>
    <n v="12233.12"/>
    <n v="4663.3899999999976"/>
    <s v="Debit Card"/>
    <s v="Pooja"/>
    <s v="Low"/>
  </r>
  <r>
    <s v="ORD00288"/>
    <d v="2024-02-15T00:00:00"/>
    <x v="1"/>
    <s v="2024-02-18"/>
    <s v="CUST6486"/>
    <x v="2"/>
    <x v="0"/>
    <s v="Delhi"/>
    <s v="Delhi"/>
    <s v="Online"/>
    <x v="0"/>
    <s v="Product-44"/>
    <n v="4.7300000000000004"/>
    <n v="1407.1"/>
    <n v="6528.57"/>
    <n v="0.1"/>
    <n v="6166.7"/>
    <n v="4181.8500000000004"/>
    <n v="1984.8499999999995"/>
    <s v="Credit Card"/>
    <s v="Karan"/>
    <s v="Medium"/>
  </r>
  <r>
    <s v="ORD00221"/>
    <d v="2024-08-04T00:00:00"/>
    <x v="9"/>
    <s v="2024-08-07"/>
    <s v="CUST7314"/>
    <x v="0"/>
    <x v="2"/>
    <s v="Delhi"/>
    <s v="Mumbai"/>
    <s v="B2B"/>
    <x v="1"/>
    <s v="Product-17"/>
    <n v="8.65"/>
    <n v="1707.92"/>
    <n v="15532.13"/>
    <n v="0.05"/>
    <n v="15185.01"/>
    <n v="9198.11"/>
    <n v="5986.9"/>
    <s v="Net Banking"/>
    <s v="Neha"/>
    <s v="Low"/>
  </r>
  <r>
    <s v="ORD00172"/>
    <d v="2024-06-08T00:00:00"/>
    <x v="0"/>
    <s v="2024-06-09"/>
    <s v="CUST7608"/>
    <x v="0"/>
    <x v="2"/>
    <s v="Karnataka"/>
    <s v="Mumbai"/>
    <s v="Online"/>
    <x v="2"/>
    <s v="Product-44"/>
    <n v="3.68"/>
    <n v="1234.95"/>
    <n v="5402.07"/>
    <n v="0.16"/>
    <n v="4595.6099999999997"/>
    <n v="3198.32"/>
    <n v="1397.2899999999995"/>
    <s v="Debit Card"/>
    <s v="Pooja"/>
    <s v="Low"/>
  </r>
  <r>
    <s v="ORD00278"/>
    <d v="2024-03-30T00:00:00"/>
    <x v="8"/>
    <s v="2024-04-05"/>
    <s v="CUST8455"/>
    <x v="2"/>
    <x v="3"/>
    <s v="Delhi"/>
    <s v="Mumbai"/>
    <s v="Retail Store"/>
    <x v="2"/>
    <s v="Product-32"/>
    <n v="5.56"/>
    <n v="1868.15"/>
    <n v="10781.41"/>
    <n v="0"/>
    <n v="9778.06"/>
    <n v="7391.4"/>
    <n v="2386.66"/>
    <s v="UPI"/>
    <s v="Rohit"/>
    <s v="Medium"/>
  </r>
  <r>
    <s v="ORD00060"/>
    <d v="2024-05-14T00:00:00"/>
    <x v="7"/>
    <s v="2024-05-20"/>
    <s v="CUST2070"/>
    <x v="2"/>
    <x v="2"/>
    <s v="Delhi"/>
    <s v="Chennai"/>
    <s v="B2B"/>
    <x v="2"/>
    <s v="Product-50"/>
    <n v="12.76"/>
    <n v="2462.27"/>
    <n v="30311.42"/>
    <n v="0.11"/>
    <n v="24764.18"/>
    <n v="18238.939999999999"/>
    <n v="6525.2400000000016"/>
    <s v="Net Banking"/>
    <s v="Rohit"/>
    <s v="Medium"/>
  </r>
  <r>
    <s v="ORD00194"/>
    <d v="2024-07-06T00:00:00"/>
    <x v="5"/>
    <s v="2024-07-12"/>
    <s v="CUST3010"/>
    <x v="2"/>
    <x v="3"/>
    <s v="Uttar Pradesh"/>
    <s v="Noida"/>
    <s v="Retail Store"/>
    <x v="1"/>
    <s v="Product-32"/>
    <n v="5.4"/>
    <n v="2656.46"/>
    <n v="18056.89"/>
    <n v="0"/>
    <n v="18400.560000000001"/>
    <n v="13691.37"/>
    <n v="4709.1900000000005"/>
    <s v="UPI"/>
    <s v="Karan"/>
    <s v="Medium"/>
  </r>
  <r>
    <s v="ORD00079"/>
    <d v="2024-05-15T00:00:00"/>
    <x v="7"/>
    <s v="2024-05-16"/>
    <s v="CUST8422"/>
    <x v="1"/>
    <x v="0"/>
    <s v="Karnataka"/>
    <s v="Noida"/>
    <s v="B2B"/>
    <x v="2"/>
    <s v="Product-48"/>
    <n v="9.65"/>
    <n v="525.62"/>
    <n v="5164.78"/>
    <n v="0.1"/>
    <n v="4531.71"/>
    <n v="3858.82"/>
    <n v="672.88999999999987"/>
    <s v="Debit Card"/>
    <s v="Rohit"/>
    <s v="Medium"/>
  </r>
  <r>
    <s v="ORD00225"/>
    <d v="2024-07-05T00:00:00"/>
    <x v="5"/>
    <s v="2024-07-10"/>
    <s v="CUST3823"/>
    <x v="2"/>
    <x v="1"/>
    <s v="Maharashtra"/>
    <s v="Delhi"/>
    <s v="Retail Store"/>
    <x v="2"/>
    <s v="Product-24"/>
    <n v="4.1500000000000004"/>
    <n v="1720.04"/>
    <n v="9558.07"/>
    <n v="0.12"/>
    <n v="7017.88"/>
    <n v="5728.37"/>
    <n v="1289.5100000000002"/>
    <s v="Net Banking"/>
    <s v="Amit"/>
    <s v="Medium"/>
  </r>
  <r>
    <s v="ORD00018"/>
    <d v="2024-10-07T00:00:00"/>
    <x v="2"/>
    <s v="2024-10-12"/>
    <s v="CUST3281"/>
    <x v="0"/>
    <x v="2"/>
    <s v="Maharashtra"/>
    <s v="Delhi"/>
    <s v="Retail Store"/>
    <x v="0"/>
    <s v="Product-19"/>
    <n v="3.05"/>
    <n v="471.78"/>
    <n v="1414.63"/>
    <n v="0"/>
    <n v="1319.74"/>
    <n v="948.13"/>
    <n v="371.61"/>
    <s v="Credit Card"/>
    <s v="Karan"/>
    <s v="Medium"/>
  </r>
  <r>
    <s v="ORD00181"/>
    <d v="2024-03-23T00:00:00"/>
    <x v="8"/>
    <s v="2024-03-26"/>
    <s v="CUST2176"/>
    <x v="2"/>
    <x v="0"/>
    <s v="Tamil Nadu"/>
    <s v="Chennai"/>
    <s v="Online"/>
    <x v="1"/>
    <s v="Product-46"/>
    <n v="8.06"/>
    <n v="1839.21"/>
    <n v="15464.2"/>
    <n v="0.1"/>
    <n v="13042.35"/>
    <n v="9035.07"/>
    <n v="4007.2800000000007"/>
    <s v="Debit Card"/>
    <s v="Karan"/>
    <s v="Medium"/>
  </r>
  <r>
    <s v="ORD00271"/>
    <d v="2024-07-15T00:00:00"/>
    <x v="5"/>
    <s v="2024-07-20"/>
    <s v="CUST4667"/>
    <x v="0"/>
    <x v="0"/>
    <s v="Karnataka"/>
    <s v="Noida"/>
    <s v="Online"/>
    <x v="2"/>
    <s v="Product-2"/>
    <n v="4.63"/>
    <n v="2804.1"/>
    <n v="12881.5"/>
    <n v="0.1"/>
    <n v="12084.7"/>
    <n v="9703.5400000000009"/>
    <n v="2381.16"/>
    <s v="UPI"/>
    <s v="Amit"/>
    <s v="Medium"/>
  </r>
  <r>
    <s v="ORD00300"/>
    <d v="2024-11-24T00:00:00"/>
    <x v="4"/>
    <s v="2024-11-28"/>
    <s v="CUST7183"/>
    <x v="0"/>
    <x v="2"/>
    <s v="Karnataka"/>
    <s v="Delhi"/>
    <s v="Retail Store"/>
    <x v="2"/>
    <s v="Product-32"/>
    <n v="5.01"/>
    <n v="2971.24"/>
    <n v="15717.2"/>
    <n v="0"/>
    <n v="15520.4"/>
    <n v="9023.2199999999993"/>
    <n v="6497.18"/>
    <s v="UPI"/>
    <s v="Amit"/>
    <s v="Medium"/>
  </r>
  <r>
    <s v="ORD00036"/>
    <d v="2024-07-11T00:00:00"/>
    <x v="5"/>
    <s v="2024-07-18"/>
    <s v="CUST5006"/>
    <x v="0"/>
    <x v="3"/>
    <s v="Delhi"/>
    <s v="Chennai"/>
    <s v="Online"/>
    <x v="1"/>
    <s v="Product-33"/>
    <n v="8.02"/>
    <n v="2007.6"/>
    <n v="17953"/>
    <n v="0"/>
    <n v="16971.669999999998"/>
    <n v="13311.13"/>
    <n v="3660.5399999999991"/>
    <s v="UPI"/>
    <s v="Karan"/>
    <s v="Low"/>
  </r>
  <r>
    <s v="ORD00180"/>
    <d v="2024-07-26T00:00:00"/>
    <x v="5"/>
    <s v="2024-08-02"/>
    <s v="CUST8972"/>
    <x v="2"/>
    <x v="0"/>
    <s v="Delhi"/>
    <s v="Bengaluru"/>
    <s v="Retail Store"/>
    <x v="0"/>
    <s v="Product-8"/>
    <n v="4.0199999999999996"/>
    <n v="780.73"/>
    <n v="3017.32"/>
    <n v="0.1"/>
    <n v="2473.31"/>
    <n v="1560.75"/>
    <n v="912.56"/>
    <s v="Debit Card"/>
    <s v="Pooja"/>
    <s v="Low"/>
  </r>
  <r>
    <s v="ORD00233"/>
    <d v="2024-04-23T00:00:00"/>
    <x v="6"/>
    <s v="2024-04-30"/>
    <s v="CUST2445"/>
    <x v="2"/>
    <x v="1"/>
    <s v="Delhi"/>
    <s v="Mumbai"/>
    <s v="B2B"/>
    <x v="2"/>
    <s v="Product-31"/>
    <n v="1.94"/>
    <n v="2162.04"/>
    <n v="4031.38"/>
    <n v="0"/>
    <n v="4083.81"/>
    <n v="2548.3000000000002"/>
    <n v="1535.5099999999998"/>
    <s v="UPI"/>
    <s v="Karan"/>
    <s v="High"/>
  </r>
  <r>
    <s v="ORD00264"/>
    <d v="2024-02-01T00:00:00"/>
    <x v="1"/>
    <s v="2024-02-03"/>
    <s v="CUST1876"/>
    <x v="1"/>
    <x v="3"/>
    <s v="Tamil Nadu"/>
    <s v="Bengaluru"/>
    <s v="B2B"/>
    <x v="0"/>
    <s v="Product-18"/>
    <n v="5.13"/>
    <n v="2868.52"/>
    <n v="13910.67"/>
    <n v="0.05"/>
    <n v="12817.25"/>
    <n v="9247.09"/>
    <n v="3570.16"/>
    <s v="Debit Card"/>
    <s v="Pooja"/>
    <s v="Low"/>
  </r>
  <r>
    <s v="ORD00021"/>
    <d v="2024-05-07T00:00:00"/>
    <x v="7"/>
    <s v="2024-05-09"/>
    <s v="CUST1456"/>
    <x v="2"/>
    <x v="1"/>
    <s v="Karnataka"/>
    <s v="Noida"/>
    <s v="B2B"/>
    <x v="1"/>
    <s v="Product-33"/>
    <n v="4.78"/>
    <n v="609.66999999999996"/>
    <n v="3001.29"/>
    <n v="0"/>
    <n v="2470.11"/>
    <n v="2062.9899999999998"/>
    <n v="407.12000000000035"/>
    <s v="Credit Card"/>
    <s v="Rohit"/>
    <s v="Medium"/>
  </r>
  <r>
    <s v="ORD00128"/>
    <d v="2024-04-02T00:00:00"/>
    <x v="6"/>
    <s v="2024-04-09"/>
    <s v="CUST9474"/>
    <x v="2"/>
    <x v="2"/>
    <s v="Delhi"/>
    <s v="Chennai"/>
    <s v="Retail Store"/>
    <x v="0"/>
    <s v="Product-24"/>
    <n v="13.58"/>
    <n v="1228.53"/>
    <n v="14398.29"/>
    <n v="0.1"/>
    <n v="13609.54"/>
    <n v="10533.91"/>
    <n v="3075.630000000001"/>
    <s v="Net Banking"/>
    <s v="Amit"/>
    <s v="Low"/>
  </r>
  <r>
    <s v="ORD00142"/>
    <d v="2024-07-06T00:00:00"/>
    <x v="5"/>
    <s v="2024-07-07"/>
    <s v="CUST8303"/>
    <x v="1"/>
    <x v="0"/>
    <s v="Delhi"/>
    <s v="Bengaluru"/>
    <s v="B2B"/>
    <x v="0"/>
    <s v="Product-21"/>
    <n v="3.2"/>
    <n v="2701.1"/>
    <n v="7732.43"/>
    <n v="0"/>
    <n v="7165.4"/>
    <n v="5148.66"/>
    <n v="2016.7399999999998"/>
    <s v="Net Banking"/>
    <s v="Karan"/>
    <s v="Low"/>
  </r>
  <r>
    <s v="ORD00063"/>
    <d v="2024-08-03T00:00:00"/>
    <x v="9"/>
    <s v="2024-08-07"/>
    <s v="CUST7829"/>
    <x v="0"/>
    <x v="2"/>
    <s v="Uttar Pradesh"/>
    <s v="Delhi"/>
    <s v="Retail Store"/>
    <x v="2"/>
    <s v="Product-18"/>
    <n v="11.87"/>
    <n v="3391.9"/>
    <n v="42333.22"/>
    <n v="0.05"/>
    <n v="35761.54"/>
    <n v="26235.38"/>
    <n v="9526.16"/>
    <s v="Debit Card"/>
    <s v="Rohit"/>
    <s v="Medium"/>
  </r>
  <r>
    <s v="ORD00042"/>
    <d v="2024-06-10T00:00:00"/>
    <x v="0"/>
    <s v="2024-06-11"/>
    <s v="CUST2966"/>
    <x v="2"/>
    <x v="0"/>
    <s v="Karnataka"/>
    <s v="Bengaluru"/>
    <s v="Retail Store"/>
    <x v="0"/>
    <s v="Product-26"/>
    <n v="5.82"/>
    <n v="361.56"/>
    <n v="2348.13"/>
    <n v="0.11"/>
    <n v="2215.75"/>
    <n v="1509.57"/>
    <n v="706.18000000000006"/>
    <s v="Net Banking"/>
    <s v="Karan"/>
    <s v="Low"/>
  </r>
  <r>
    <s v="ORD00067"/>
    <d v="2024-01-20T00:00:00"/>
    <x v="10"/>
    <s v="2024-01-25"/>
    <s v="CUST6361"/>
    <x v="0"/>
    <x v="3"/>
    <s v="Maharashtra"/>
    <s v="Noida"/>
    <s v="Retail Store"/>
    <x v="0"/>
    <s v="Product-14"/>
    <n v="13.03"/>
    <n v="2607.11"/>
    <n v="25078.39"/>
    <n v="0.05"/>
    <n v="23907.58"/>
    <n v="21596.73"/>
    <n v="2310.8500000000022"/>
    <s v="UPI"/>
    <s v="Pooja"/>
    <s v="High"/>
  </r>
  <r>
    <s v="ORD00172"/>
    <d v="2024-06-08T00:00:00"/>
    <x v="0"/>
    <s v="2024-06-09"/>
    <s v="CUST7608"/>
    <x v="0"/>
    <x v="2"/>
    <s v="Karnataka"/>
    <s v="Mumbai"/>
    <s v="Online"/>
    <x v="2"/>
    <s v="Product-44"/>
    <n v="3.52"/>
    <n v="1326.39"/>
    <n v="5179.5"/>
    <n v="0.17"/>
    <n v="4399.09"/>
    <n v="2981.55"/>
    <n v="1417.54"/>
    <s v="Debit Card"/>
    <s v="Pooja"/>
    <s v="Low"/>
  </r>
  <r>
    <s v="ORD00176"/>
    <d v="2024-07-20T00:00:00"/>
    <x v="5"/>
    <s v="2024-07-26"/>
    <s v="CUST6718"/>
    <x v="0"/>
    <x v="1"/>
    <s v="Karnataka"/>
    <s v="Noida"/>
    <s v="B2B"/>
    <x v="1"/>
    <s v="Product-41"/>
    <n v="10.45"/>
    <n v="2854.97"/>
    <n v="33091.54"/>
    <n v="0.11"/>
    <n v="27908.29"/>
    <n v="21747.78"/>
    <n v="6160.510000000002"/>
    <s v="Net Banking"/>
    <s v="Karan"/>
    <s v="Low"/>
  </r>
  <r>
    <s v="ORD00265"/>
    <d v="2024-11-13T00:00:00"/>
    <x v="4"/>
    <s v="2024-11-16"/>
    <s v="CUST6236"/>
    <x v="0"/>
    <x v="1"/>
    <s v="Karnataka"/>
    <s v="Delhi"/>
    <s v="Online"/>
    <x v="1"/>
    <s v="Product-29"/>
    <n v="9.08"/>
    <n v="1700.65"/>
    <n v="13554.44"/>
    <n v="0.09"/>
    <n v="12090"/>
    <n v="7466.55"/>
    <n v="4623.45"/>
    <s v="Net Banking"/>
    <s v="Neha"/>
    <s v="Medium"/>
  </r>
  <r>
    <s v="ORD00199"/>
    <d v="2024-10-23T00:00:00"/>
    <x v="2"/>
    <s v="2024-10-27"/>
    <s v="CUST1743"/>
    <x v="1"/>
    <x v="2"/>
    <s v="Maharashtra"/>
    <s v="Bengaluru"/>
    <s v="Retail Store"/>
    <x v="2"/>
    <s v="Product-5"/>
    <n v="5.64"/>
    <n v="1171.82"/>
    <n v="5784.22"/>
    <n v="0.05"/>
    <n v="6895.43"/>
    <n v="5237.93"/>
    <n v="1657.5"/>
    <s v="Debit Card"/>
    <s v="Rohit"/>
    <s v="High"/>
  </r>
  <r>
    <s v="ORD00183"/>
    <d v="2024-03-11T00:00:00"/>
    <x v="8"/>
    <s v="2024-03-17"/>
    <s v="CUST5854"/>
    <x v="0"/>
    <x v="2"/>
    <s v="Uttar Pradesh"/>
    <s v="Mumbai"/>
    <s v="Online"/>
    <x v="1"/>
    <s v="Product-20"/>
    <n v="1.03"/>
    <n v="520.24"/>
    <n v="417.45"/>
    <n v="0.13"/>
    <n v="461.65"/>
    <n v="312.43"/>
    <n v="149.21999999999997"/>
    <s v="Debit Card"/>
    <s v="Pooja"/>
    <s v="Low"/>
  </r>
  <r>
    <s v="ORD00141"/>
    <d v="2024-09-23T00:00:00"/>
    <x v="3"/>
    <s v="2024-09-27"/>
    <s v="CUST9077"/>
    <x v="2"/>
    <x v="0"/>
    <s v="Tamil Nadu"/>
    <s v="Chennai"/>
    <s v="Online"/>
    <x v="1"/>
    <s v="Product-18"/>
    <n v="13.01"/>
    <n v="2972.31"/>
    <n v="35456.86"/>
    <n v="0.1"/>
    <n v="36759.72"/>
    <n v="25110.94"/>
    <n v="11648.780000000002"/>
    <s v="Credit Card"/>
    <s v="Neha"/>
    <s v="High"/>
  </r>
  <r>
    <s v="ORD00044"/>
    <d v="2024-01-15T00:00:00"/>
    <x v="10"/>
    <s v="2024-01-22"/>
    <s v="CUST1810"/>
    <x v="1"/>
    <x v="1"/>
    <s v="Tamil Nadu"/>
    <s v="Noida"/>
    <s v="Online"/>
    <x v="1"/>
    <s v="Product-19"/>
    <n v="11.66"/>
    <n v="1538.5"/>
    <n v="16975.650000000001"/>
    <n v="0.05"/>
    <n v="15444.32"/>
    <n v="14388.51"/>
    <n v="1055.8099999999995"/>
    <s v="Net Banking"/>
    <s v="Amit"/>
    <s v="High"/>
  </r>
  <r>
    <s v="ORD00119"/>
    <d v="2024-09-24T00:00:00"/>
    <x v="3"/>
    <s v="2024-09-25"/>
    <s v="CUST7629"/>
    <x v="0"/>
    <x v="0"/>
    <s v="Delhi"/>
    <s v="Chennai"/>
    <s v="B2B"/>
    <x v="1"/>
    <s v="Product-43"/>
    <n v="2.2200000000000002"/>
    <n v="2957.73"/>
    <n v="5946.23"/>
    <n v="0.16"/>
    <n v="4911.37"/>
    <n v="3637.65"/>
    <n v="1273.7199999999998"/>
    <s v="Credit Card"/>
    <s v="Pooja"/>
    <s v="Medium"/>
  </r>
  <r>
    <s v="ORD00009"/>
    <d v="2024-03-18T00:00:00"/>
    <x v="8"/>
    <s v="2024-03-20"/>
    <s v="CUST3987"/>
    <x v="0"/>
    <x v="3"/>
    <s v="Delhi"/>
    <s v="Mumbai"/>
    <s v="Retail Store"/>
    <x v="1"/>
    <s v="Product-24"/>
    <n v="9.92"/>
    <n v="1119.67"/>
    <n v="11669.18"/>
    <n v="0.16"/>
    <n v="10077.19"/>
    <n v="8284.35"/>
    <n v="1792.8400000000001"/>
    <s v="Debit Card"/>
    <s v="Neha"/>
    <s v="High"/>
  </r>
  <r>
    <s v="ORD00229"/>
    <d v="2024-09-09T00:00:00"/>
    <x v="3"/>
    <s v="2024-09-16"/>
    <s v="CUST5758"/>
    <x v="1"/>
    <x v="3"/>
    <s v="Delhi"/>
    <s v="Chennai"/>
    <s v="Retail Store"/>
    <x v="2"/>
    <s v="Product-3"/>
    <n v="1.96"/>
    <n v="1044.58"/>
    <n v="1920.33"/>
    <n v="0.15"/>
    <n v="1712.45"/>
    <n v="1530.26"/>
    <n v="182.19000000000005"/>
    <s v="Debit Card"/>
    <s v="Pooja"/>
    <s v="Medium"/>
  </r>
  <r>
    <s v="ORD00265"/>
    <d v="2024-11-13T00:00:00"/>
    <x v="4"/>
    <s v="2024-11-16"/>
    <s v="CUST6236"/>
    <x v="0"/>
    <x v="1"/>
    <s v="Karnataka"/>
    <s v="Delhi"/>
    <s v="Online"/>
    <x v="1"/>
    <s v="Product-29"/>
    <n v="9"/>
    <n v="1951.21"/>
    <n v="14580.78"/>
    <n v="0.09"/>
    <n v="12742.36"/>
    <n v="8532.51"/>
    <n v="4209.8500000000004"/>
    <s v="Net Banking"/>
    <s v="Neha"/>
    <s v="Medium"/>
  </r>
  <r>
    <s v="ORD00034"/>
    <d v="2024-06-04T00:00:00"/>
    <x v="0"/>
    <s v="2024-06-10"/>
    <s v="CUST7381"/>
    <x v="0"/>
    <x v="1"/>
    <s v="Maharashtra"/>
    <s v="Bengaluru"/>
    <s v="B2B"/>
    <x v="1"/>
    <s v="Product-42"/>
    <n v="4.0599999999999996"/>
    <n v="714.79"/>
    <n v="2672.53"/>
    <n v="0.05"/>
    <n v="2087.79"/>
    <n v="1927.37"/>
    <n v="160.42000000000007"/>
    <s v="Credit Card"/>
    <s v="Amit"/>
    <s v="High"/>
  </r>
  <r>
    <s v="ORD00265"/>
    <d v="2024-11-13T00:00:00"/>
    <x v="4"/>
    <s v="2024-11-16"/>
    <s v="CUST6236"/>
    <x v="0"/>
    <x v="1"/>
    <s v="Karnataka"/>
    <s v="Delhi"/>
    <s v="Online"/>
    <x v="1"/>
    <s v="Product-29"/>
    <n v="8.42"/>
    <n v="1698.3"/>
    <n v="14445.61"/>
    <n v="0.09"/>
    <n v="13162.47"/>
    <n v="7352.26"/>
    <n v="5810.2099999999991"/>
    <s v="Net Banking"/>
    <s v="Neha"/>
    <s v="Medium"/>
  </r>
  <r>
    <s v="ORD00170"/>
    <d v="2024-05-13T00:00:00"/>
    <x v="7"/>
    <s v="2024-05-18"/>
    <s v="CUST7621"/>
    <x v="1"/>
    <x v="2"/>
    <s v="Maharashtra"/>
    <s v="Delhi"/>
    <s v="B2B"/>
    <x v="1"/>
    <s v="Product-6"/>
    <n v="8.6300000000000008"/>
    <n v="2365.84"/>
    <n v="17628.93"/>
    <n v="0.08"/>
    <n v="15528.27"/>
    <n v="13082.82"/>
    <n v="2445.4500000000007"/>
    <s v="Debit Card"/>
    <s v="Pooja"/>
    <s v="Low"/>
  </r>
  <r>
    <s v="ORD00176"/>
    <d v="2024-07-20T00:00:00"/>
    <x v="5"/>
    <s v="2024-07-26"/>
    <s v="CUST6718"/>
    <x v="0"/>
    <x v="1"/>
    <s v="Karnataka"/>
    <s v="Noida"/>
    <s v="B2B"/>
    <x v="1"/>
    <s v="Product-41"/>
    <n v="9.8800000000000008"/>
    <n v="2631.78"/>
    <n v="25010.59"/>
    <n v="0.1"/>
    <n v="27442.54"/>
    <n v="21174.79"/>
    <n v="6267.75"/>
    <s v="Net Banking"/>
    <s v="Karan"/>
    <s v="Low"/>
  </r>
  <r>
    <s v="ORD00291"/>
    <d v="2024-10-02T00:00:00"/>
    <x v="2"/>
    <s v="2024-10-03"/>
    <s v="CUST6385"/>
    <x v="2"/>
    <x v="2"/>
    <s v="Karnataka"/>
    <s v="Delhi"/>
    <s v="B2B"/>
    <x v="0"/>
    <s v="Product-7"/>
    <n v="6.48"/>
    <n v="1118.52"/>
    <n v="6756.79"/>
    <n v="0.11"/>
    <n v="6219.58"/>
    <n v="5389.86"/>
    <n v="829.72000000000025"/>
    <s v="UPI"/>
    <s v="Rohit"/>
    <s v="Medium"/>
  </r>
  <r>
    <s v="ORD00060"/>
    <d v="2024-05-14T00:00:00"/>
    <x v="7"/>
    <s v="2024-05-20"/>
    <s v="CUST2070"/>
    <x v="2"/>
    <x v="2"/>
    <s v="Delhi"/>
    <s v="Chennai"/>
    <s v="B2B"/>
    <x v="2"/>
    <s v="Product-50"/>
    <n v="12.03"/>
    <n v="2789.67"/>
    <n v="30248.71"/>
    <n v="0.11"/>
    <n v="26972.92"/>
    <n v="18867.87"/>
    <n v="8105.0499999999993"/>
    <s v="Net Banking"/>
    <s v="Rohit"/>
    <s v="Medium"/>
  </r>
  <r>
    <s v="ORD00200"/>
    <d v="2024-10-20T00:00:00"/>
    <x v="2"/>
    <s v="2024-10-25"/>
    <s v="CUST2560"/>
    <x v="2"/>
    <x v="1"/>
    <s v="Uttar Pradesh"/>
    <s v="Delhi"/>
    <s v="Retail Store"/>
    <x v="2"/>
    <s v="Product-16"/>
    <n v="10.92"/>
    <n v="3164.15"/>
    <n v="33641.660000000003"/>
    <n v="0"/>
    <n v="31306.79"/>
    <n v="26975.83"/>
    <n v="4330.9599999999991"/>
    <s v="Credit Card"/>
    <s v="Amit"/>
    <s v="Medium"/>
  </r>
  <r>
    <s v="ORD00037"/>
    <d v="2024-08-30T00:00:00"/>
    <x v="9"/>
    <s v="2024-09-02"/>
    <s v="CUST4362"/>
    <x v="2"/>
    <x v="1"/>
    <s v="Tamil Nadu"/>
    <s v="Chennai"/>
    <s v="Online"/>
    <x v="2"/>
    <s v="Product-44"/>
    <n v="2.13"/>
    <n v="2997.26"/>
    <n v="6543.42"/>
    <n v="0.05"/>
    <n v="6023.14"/>
    <n v="4938.97"/>
    <n v="1084.17"/>
    <s v="Debit Card"/>
    <s v="Amit"/>
    <s v="High"/>
  </r>
  <r>
    <s v="ORD00278"/>
    <d v="2024-03-30T00:00:00"/>
    <x v="8"/>
    <s v="2024-04-05"/>
    <s v="CUST8455"/>
    <x v="2"/>
    <x v="3"/>
    <s v="Delhi"/>
    <s v="Mumbai"/>
    <s v="Retail Store"/>
    <x v="2"/>
    <s v="Product-32"/>
    <n v="5.93"/>
    <n v="1722.6"/>
    <n v="11131.66"/>
    <n v="0"/>
    <n v="10267.66"/>
    <n v="7400.88"/>
    <n v="2866.7799999999997"/>
    <s v="UPI"/>
    <s v="Rohit"/>
    <s v="Medium"/>
  </r>
  <r>
    <s v="ORD00256"/>
    <d v="2024-06-05T00:00:00"/>
    <x v="0"/>
    <s v="2024-06-06"/>
    <s v="CUST8788"/>
    <x v="0"/>
    <x v="1"/>
    <s v="Uttar Pradesh"/>
    <s v="Bengaluru"/>
    <s v="Retail Store"/>
    <x v="0"/>
    <s v="Product-22"/>
    <n v="5.61"/>
    <n v="1908.53"/>
    <n v="8851.06"/>
    <n v="0"/>
    <n v="9377.11"/>
    <n v="9354.84"/>
    <n v="22.270000000000437"/>
    <s v="Credit Card"/>
    <s v="Amit"/>
    <s v="Medium"/>
  </r>
  <r>
    <s v="ORD00172"/>
    <d v="2024-06-08T00:00:00"/>
    <x v="0"/>
    <s v="2024-06-09"/>
    <s v="CUST7608"/>
    <x v="0"/>
    <x v="2"/>
    <s v="Karnataka"/>
    <s v="Mumbai"/>
    <s v="Online"/>
    <x v="2"/>
    <s v="Product-44"/>
    <n v="3.87"/>
    <n v="1386.58"/>
    <n v="4865.95"/>
    <n v="0.16"/>
    <n v="4461.1899999999996"/>
    <n v="3227.34"/>
    <n v="1233.8499999999995"/>
    <s v="Debit Card"/>
    <s v="Pooja"/>
    <s v="Low"/>
  </r>
  <r>
    <s v="ORD00217"/>
    <d v="2024-10-26T00:00:00"/>
    <x v="2"/>
    <s v="2024-10-28"/>
    <s v="CUST9270"/>
    <x v="1"/>
    <x v="2"/>
    <s v="Uttar Pradesh"/>
    <s v="Chennai"/>
    <s v="B2B"/>
    <x v="0"/>
    <s v="Product-47"/>
    <n v="4.17"/>
    <n v="2769.37"/>
    <n v="11295.68"/>
    <n v="0"/>
    <n v="12421.21"/>
    <n v="7656.06"/>
    <n v="4765.1499999999987"/>
    <s v="UPI"/>
    <s v="Amit"/>
    <s v="Medium"/>
  </r>
  <r>
    <s v="ORD00280"/>
    <d v="2024-08-11T00:00:00"/>
    <x v="9"/>
    <s v="2024-08-13"/>
    <s v="CUST9704"/>
    <x v="0"/>
    <x v="0"/>
    <s v="Delhi"/>
    <s v="Delhi"/>
    <s v="Retail Store"/>
    <x v="0"/>
    <s v="Product-14"/>
    <n v="2.89"/>
    <n v="413.23"/>
    <n v="1221.03"/>
    <n v="0.05"/>
    <n v="1239.82"/>
    <n v="933.69"/>
    <n v="306.12999999999988"/>
    <s v="UPI"/>
    <s v="Rohit"/>
    <s v="Medium"/>
  </r>
  <r>
    <s v="ORD00071"/>
    <d v="2024-03-15T00:00:00"/>
    <x v="8"/>
    <s v="2024-03-18"/>
    <s v="CUST2782"/>
    <x v="0"/>
    <x v="1"/>
    <s v="Maharashtra"/>
    <s v="Bengaluru"/>
    <s v="Online"/>
    <x v="0"/>
    <s v="Product-31"/>
    <n v="5.0999999999999996"/>
    <n v="906.61"/>
    <n v="4709.8900000000003"/>
    <n v="0.05"/>
    <n v="4600.1000000000004"/>
    <n v="3431.55"/>
    <n v="1168.5500000000002"/>
    <s v="Debit Card"/>
    <s v="Amit"/>
    <s v="High"/>
  </r>
  <r>
    <s v="ORD00092"/>
    <d v="2024-05-13T00:00:00"/>
    <x v="7"/>
    <s v="2024-05-14"/>
    <s v="CUST7029"/>
    <x v="0"/>
    <x v="1"/>
    <s v="Karnataka"/>
    <s v="Noida"/>
    <s v="B2B"/>
    <x v="0"/>
    <s v="Product-27"/>
    <n v="5.84"/>
    <n v="1310.69"/>
    <n v="6851.76"/>
    <n v="0.11"/>
    <n v="7145"/>
    <n v="3765.5"/>
    <n v="3379.5"/>
    <s v="UPI"/>
    <s v="Pooja"/>
    <s v="High"/>
  </r>
  <r>
    <s v="ORD00147"/>
    <d v="2024-07-24T00:00:00"/>
    <x v="5"/>
    <s v="2024-07-26"/>
    <s v="CUST1877"/>
    <x v="0"/>
    <x v="2"/>
    <s v="Karnataka"/>
    <s v="Mumbai"/>
    <s v="Retail Store"/>
    <x v="1"/>
    <s v="Product-41"/>
    <n v="5.41"/>
    <n v="2652.79"/>
    <n v="16264.65"/>
    <n v="0.11"/>
    <n v="14300.91"/>
    <n v="11062.73"/>
    <n v="3238.1800000000003"/>
    <s v="UPI"/>
    <s v="Rohit"/>
    <s v="Low"/>
  </r>
  <r>
    <s v="ORD00076"/>
    <d v="2024-06-09T00:00:00"/>
    <x v="0"/>
    <s v="2024-06-16"/>
    <s v="CUST7190"/>
    <x v="1"/>
    <x v="2"/>
    <s v="Delhi"/>
    <s v="Delhi"/>
    <s v="B2B"/>
    <x v="1"/>
    <s v="Product-45"/>
    <n v="11.09"/>
    <n v="2017.07"/>
    <n v="19782.25"/>
    <n v="0"/>
    <n v="22145.64"/>
    <n v="17827.96"/>
    <n v="4317.68"/>
    <s v="UPI"/>
    <s v="Neha"/>
    <s v="Low"/>
  </r>
  <r>
    <s v="ORD00120"/>
    <d v="2024-10-07T00:00:00"/>
    <x v="2"/>
    <s v="2024-10-08"/>
    <s v="CUST1254"/>
    <x v="0"/>
    <x v="0"/>
    <s v="Delhi"/>
    <s v="Delhi"/>
    <s v="Online"/>
    <x v="0"/>
    <s v="Product-8"/>
    <n v="1.85"/>
    <n v="2296.92"/>
    <n v="5090.3900000000003"/>
    <n v="0.05"/>
    <n v="4741.68"/>
    <n v="3597.84"/>
    <n v="1143.8400000000001"/>
    <s v="Credit Card"/>
    <s v="Pooja"/>
    <s v="Low"/>
  </r>
  <r>
    <s v="ORD00003"/>
    <d v="2024-10-03T00:00:00"/>
    <x v="2"/>
    <s v="2024-10-04"/>
    <s v="CUST4078"/>
    <x v="0"/>
    <x v="0"/>
    <s v="Uttar Pradesh"/>
    <s v="Delhi"/>
    <s v="B2B"/>
    <x v="0"/>
    <s v="Product-40"/>
    <n v="9.8699999999999992"/>
    <n v="1248.0899999999999"/>
    <n v="14219.75"/>
    <n v="0.05"/>
    <n v="12690.15"/>
    <n v="8397.68"/>
    <n v="4292.4699999999993"/>
    <s v="Credit Card"/>
    <s v="Pooja"/>
    <s v="High"/>
  </r>
  <r>
    <s v="ORD00247"/>
    <d v="2024-02-18T00:00:00"/>
    <x v="1"/>
    <s v="2024-02-19"/>
    <s v="CUST9864"/>
    <x v="2"/>
    <x v="3"/>
    <s v="Tamil Nadu"/>
    <s v="Mumbai"/>
    <s v="Online"/>
    <x v="1"/>
    <s v="Product-35"/>
    <n v="4.04"/>
    <n v="810.13"/>
    <n v="3045.81"/>
    <n v="0.15"/>
    <n v="2685"/>
    <n v="1578.5"/>
    <n v="1106.5"/>
    <s v="UPI"/>
    <s v="Karan"/>
    <s v="Medium"/>
  </r>
  <r>
    <s v="ORD00176"/>
    <d v="2024-07-20T00:00:00"/>
    <x v="5"/>
    <s v="2024-07-26"/>
    <s v="CUST6718"/>
    <x v="0"/>
    <x v="1"/>
    <s v="Karnataka"/>
    <s v="Noida"/>
    <s v="B2B"/>
    <x v="1"/>
    <s v="Product-41"/>
    <n v="9"/>
    <n v="2682.75"/>
    <n v="31597.14"/>
    <n v="0.1"/>
    <n v="24945.85"/>
    <n v="20755.28"/>
    <n v="4190.57"/>
    <s v="Net Banking"/>
    <s v="Karan"/>
    <s v="Low"/>
  </r>
  <r>
    <s v="ORD00021"/>
    <d v="2024-05-07T00:00:00"/>
    <x v="7"/>
    <s v="2024-05-09"/>
    <s v="CUST1456"/>
    <x v="2"/>
    <x v="1"/>
    <s v="Karnataka"/>
    <s v="Noida"/>
    <s v="B2B"/>
    <x v="1"/>
    <s v="Product-33"/>
    <n v="4.9000000000000004"/>
    <n v="574.78"/>
    <n v="2403.6999999999998"/>
    <n v="0"/>
    <n v="2595.85"/>
    <n v="1824.99"/>
    <n v="770.8599999999999"/>
    <s v="Credit Card"/>
    <s v="Rohit"/>
    <s v="Medium"/>
  </r>
  <r>
    <s v="ORD00171"/>
    <d v="2024-10-17T00:00:00"/>
    <x v="2"/>
    <s v="2024-10-19"/>
    <s v="CUST4793"/>
    <x v="0"/>
    <x v="2"/>
    <s v="Delhi"/>
    <s v="Delhi"/>
    <s v="B2B"/>
    <x v="2"/>
    <s v="Product-33"/>
    <n v="4.68"/>
    <n v="393.2"/>
    <n v="2264.9699999999998"/>
    <n v="0"/>
    <n v="1932.25"/>
    <n v="1701.3"/>
    <n v="230.95000000000005"/>
    <s v="Debit Card"/>
    <s v="Neha"/>
    <s v="Low"/>
  </r>
  <r>
    <s v="ORD00079"/>
    <d v="2024-05-15T00:00:00"/>
    <x v="7"/>
    <s v="2024-05-16"/>
    <s v="CUST8422"/>
    <x v="1"/>
    <x v="0"/>
    <s v="Karnataka"/>
    <s v="Noida"/>
    <s v="B2B"/>
    <x v="2"/>
    <s v="Product-48"/>
    <n v="8.1"/>
    <n v="499.96"/>
    <n v="5428.3"/>
    <n v="0.11"/>
    <n v="4327.5"/>
    <n v="3805.18"/>
    <n v="522.32000000000016"/>
    <s v="Debit Card"/>
    <s v="Rohit"/>
    <s v="Medium"/>
  </r>
  <r>
    <s v="ORD00286"/>
    <d v="2024-02-13T00:00:00"/>
    <x v="1"/>
    <s v="2024-02-18"/>
    <s v="CUST9936"/>
    <x v="1"/>
    <x v="3"/>
    <s v="Tamil Nadu"/>
    <s v="Chennai"/>
    <s v="B2B"/>
    <x v="0"/>
    <s v="Product-36"/>
    <n v="8.6300000000000008"/>
    <n v="2071.35"/>
    <n v="19790.52"/>
    <n v="0"/>
    <n v="20408.72"/>
    <n v="15639.99"/>
    <n v="4768.7300000000014"/>
    <s v="Credit Card"/>
    <s v="Amit"/>
    <s v="Low"/>
  </r>
  <r>
    <s v="ORD00255"/>
    <d v="2024-09-09T00:00:00"/>
    <x v="3"/>
    <s v="2024-09-14"/>
    <s v="CUST7468"/>
    <x v="1"/>
    <x v="3"/>
    <s v="Tamil Nadu"/>
    <s v="Chennai"/>
    <s v="Online"/>
    <x v="0"/>
    <s v="Product-42"/>
    <n v="10.58"/>
    <n v="3330.32"/>
    <n v="32991.49"/>
    <n v="0"/>
    <n v="39612.42"/>
    <n v="26548.15"/>
    <n v="13064.269999999997"/>
    <s v="Debit Card"/>
    <s v="Karan"/>
    <s v="Medium"/>
  </r>
  <r>
    <s v="ORD00265"/>
    <d v="2024-11-13T00:00:00"/>
    <x v="4"/>
    <s v="2024-11-16"/>
    <s v="CUST6236"/>
    <x v="0"/>
    <x v="1"/>
    <s v="Karnataka"/>
    <s v="Delhi"/>
    <s v="Online"/>
    <x v="1"/>
    <s v="Product-29"/>
    <n v="7.79"/>
    <n v="1667.03"/>
    <n v="13686.44"/>
    <n v="0.1"/>
    <n v="10802.96"/>
    <n v="8706.19"/>
    <n v="2096.7699999999986"/>
    <s v="Net Banking"/>
    <s v="Neha"/>
    <s v="Medium"/>
  </r>
  <r>
    <s v="ORD00087"/>
    <d v="2024-05-14T00:00:00"/>
    <x v="7"/>
    <s v="2024-05-20"/>
    <s v="CUST9572"/>
    <x v="0"/>
    <x v="3"/>
    <s v="Maharashtra"/>
    <s v="Delhi"/>
    <s v="B2B"/>
    <x v="0"/>
    <s v="Product-11"/>
    <n v="0.83"/>
    <n v="1308.75"/>
    <n v="1385.77"/>
    <n v="0.17"/>
    <n v="973.88"/>
    <n v="943.26"/>
    <n v="30.620000000000005"/>
    <s v="Debit Card"/>
    <s v="Neha"/>
    <s v="High"/>
  </r>
  <r>
    <s v="ORD00240"/>
    <d v="2024-05-11T00:00:00"/>
    <x v="7"/>
    <s v="2024-05-17"/>
    <s v="CUST3185"/>
    <x v="2"/>
    <x v="2"/>
    <s v="Tamil Nadu"/>
    <s v="Bengaluru"/>
    <s v="Online"/>
    <x v="1"/>
    <s v="Product-21"/>
    <n v="7.82"/>
    <n v="2387.5"/>
    <n v="22218.11"/>
    <n v="0.05"/>
    <n v="18872.669999999998"/>
    <n v="14548.22"/>
    <n v="4324.4499999999989"/>
    <s v="Credit Card"/>
    <s v="Rohit"/>
    <s v="Medium"/>
  </r>
  <r>
    <s v="ORD00268"/>
    <d v="2024-03-25T00:00:00"/>
    <x v="8"/>
    <s v="2024-03-31"/>
    <s v="CUST7463"/>
    <x v="1"/>
    <x v="3"/>
    <s v="Tamil Nadu"/>
    <s v="Chennai"/>
    <s v="Retail Store"/>
    <x v="2"/>
    <s v="Product-23"/>
    <n v="2.86"/>
    <n v="3252.6"/>
    <n v="10451.99"/>
    <n v="0"/>
    <n v="9490.82"/>
    <n v="7324.24"/>
    <n v="2166.58"/>
    <s v="Credit Card"/>
    <s v="Neha"/>
    <s v="High"/>
  </r>
  <r>
    <s v="ORD00139"/>
    <d v="2024-09-26T00:00:00"/>
    <x v="3"/>
    <s v="2024-09-29"/>
    <s v="CUST4576"/>
    <x v="0"/>
    <x v="2"/>
    <s v="Maharashtra"/>
    <s v="Mumbai"/>
    <s v="B2B"/>
    <x v="0"/>
    <s v="Product-46"/>
    <n v="3.36"/>
    <n v="1643.09"/>
    <n v="4279.58"/>
    <n v="0"/>
    <n v="4236.62"/>
    <n v="4341.49"/>
    <n v="-104.86999999999989"/>
    <s v="Credit Card"/>
    <s v="Neha"/>
    <s v="High"/>
  </r>
  <r>
    <s v="ORD00128"/>
    <d v="2024-04-02T00:00:00"/>
    <x v="6"/>
    <s v="2024-04-09"/>
    <s v="CUST9474"/>
    <x v="2"/>
    <x v="2"/>
    <s v="Delhi"/>
    <s v="Chennai"/>
    <s v="Retail Store"/>
    <x v="0"/>
    <s v="Product-24"/>
    <n v="13.05"/>
    <n v="1260.53"/>
    <n v="16625.189999999999"/>
    <n v="0.09"/>
    <n v="14956.64"/>
    <n v="9736.74"/>
    <n v="5219.8999999999996"/>
    <s v="Net Banking"/>
    <s v="Amit"/>
    <s v="Low"/>
  </r>
  <r>
    <s v="ORD00081"/>
    <d v="2024-01-18T00:00:00"/>
    <x v="10"/>
    <s v="2024-01-20"/>
    <s v="CUST6965"/>
    <x v="2"/>
    <x v="2"/>
    <s v="Tamil Nadu"/>
    <s v="Mumbai"/>
    <s v="B2B"/>
    <x v="1"/>
    <s v="Product-3"/>
    <n v="3.09"/>
    <n v="1340.69"/>
    <n v="4205.8599999999997"/>
    <n v="0.15"/>
    <n v="3360.51"/>
    <n v="2203.87"/>
    <n v="1156.6400000000003"/>
    <s v="UPI"/>
    <s v="Amit"/>
    <s v="Low"/>
  </r>
  <r>
    <s v="ORD00140"/>
    <d v="2024-02-10T00:00:00"/>
    <x v="1"/>
    <s v="2024-02-17"/>
    <s v="CUST3872"/>
    <x v="2"/>
    <x v="2"/>
    <s v="Uttar Pradesh"/>
    <s v="Mumbai"/>
    <s v="B2B"/>
    <x v="2"/>
    <s v="Product-13"/>
    <n v="1.83"/>
    <n v="3346.49"/>
    <n v="7090.23"/>
    <n v="0.15"/>
    <n v="5381.1"/>
    <n v="4349.83"/>
    <n v="1031.2700000000004"/>
    <s v="UPI"/>
    <s v="Amit"/>
    <s v="High"/>
  </r>
  <r>
    <s v="ORD00014"/>
    <d v="2024-10-04T00:00:00"/>
    <x v="2"/>
    <s v="2024-10-11"/>
    <s v="CUST4197"/>
    <x v="2"/>
    <x v="1"/>
    <s v="Maharashtra"/>
    <s v="Mumbai"/>
    <s v="B2B"/>
    <x v="2"/>
    <s v="Product-23"/>
    <n v="8.67"/>
    <n v="1614.65"/>
    <n v="14062.79"/>
    <n v="0.05"/>
    <n v="11221.46"/>
    <n v="8992.17"/>
    <n v="2229.2899999999991"/>
    <s v="UPI"/>
    <s v="Amit"/>
    <s v="Medium"/>
  </r>
  <r>
    <s v="ORD00170"/>
    <d v="2024-05-13T00:00:00"/>
    <x v="7"/>
    <s v="2024-05-18"/>
    <s v="CUST7621"/>
    <x v="1"/>
    <x v="2"/>
    <s v="Maharashtra"/>
    <s v="Delhi"/>
    <s v="B2B"/>
    <x v="1"/>
    <s v="Product-6"/>
    <n v="7.74"/>
    <n v="2265.35"/>
    <n v="16510.79"/>
    <n v="0.1"/>
    <n v="14403.05"/>
    <n v="12512.11"/>
    <n v="1890.9399999999987"/>
    <s v="Debit Card"/>
    <s v="Pooja"/>
    <s v="Low"/>
  </r>
  <r>
    <s v="ORD00084"/>
    <d v="2024-10-23T00:00:00"/>
    <x v="2"/>
    <s v="2024-10-27"/>
    <s v="CUST1006"/>
    <x v="2"/>
    <x v="0"/>
    <s v="Uttar Pradesh"/>
    <s v="Delhi"/>
    <s v="Retail Store"/>
    <x v="0"/>
    <s v="Product-16"/>
    <n v="10.49"/>
    <n v="2860.87"/>
    <n v="36376.81"/>
    <n v="0.15"/>
    <n v="28400.54"/>
    <n v="18322.490000000002"/>
    <n v="10078.049999999999"/>
    <s v="Credit Card"/>
    <s v="Amit"/>
    <s v="Low"/>
  </r>
  <r>
    <s v="ORD00296"/>
    <d v="2024-07-28T00:00:00"/>
    <x v="5"/>
    <s v="2024-08-03"/>
    <s v="CUST8546"/>
    <x v="0"/>
    <x v="3"/>
    <s v="Maharashtra"/>
    <s v="Delhi"/>
    <s v="Retail Store"/>
    <x v="0"/>
    <s v="Product-7"/>
    <n v="12.7"/>
    <n v="938.42"/>
    <n v="10545.95"/>
    <n v="0"/>
    <n v="12323.81"/>
    <n v="8471.24"/>
    <n v="3852.5699999999997"/>
    <s v="Credit Card"/>
    <s v="Rohit"/>
    <s v="High"/>
  </r>
  <r>
    <s v="ORD00053"/>
    <d v="2024-09-12T00:00:00"/>
    <x v="3"/>
    <s v="2024-09-18"/>
    <s v="CUST7952"/>
    <x v="0"/>
    <x v="2"/>
    <s v="Tamil Nadu"/>
    <s v="Delhi"/>
    <s v="B2B"/>
    <x v="2"/>
    <s v="Product-46"/>
    <n v="10.17"/>
    <n v="1669.31"/>
    <n v="17727.87"/>
    <n v="0.11"/>
    <n v="16373.27"/>
    <n v="11894.11"/>
    <n v="4479.16"/>
    <s v="Net Banking"/>
    <s v="Rohit"/>
    <s v="High"/>
  </r>
  <r>
    <s v="ORD00151"/>
    <d v="2024-02-14T00:00:00"/>
    <x v="1"/>
    <s v="2024-02-20"/>
    <s v="CUST4630"/>
    <x v="1"/>
    <x v="1"/>
    <s v="Maharashtra"/>
    <s v="Noida"/>
    <s v="B2B"/>
    <x v="2"/>
    <s v="Product-30"/>
    <n v="10.29"/>
    <n v="1194.17"/>
    <n v="10527.04"/>
    <n v="0.16"/>
    <n v="10949.85"/>
    <n v="6993.01"/>
    <n v="3956.84"/>
    <s v="Debit Card"/>
    <s v="Karan"/>
    <s v="Medium"/>
  </r>
  <r>
    <s v="ORD00260"/>
    <d v="2024-08-01T00:00:00"/>
    <x v="9"/>
    <s v="2024-08-02"/>
    <s v="CUST5846"/>
    <x v="0"/>
    <x v="3"/>
    <s v="Tamil Nadu"/>
    <s v="Noida"/>
    <s v="B2B"/>
    <x v="0"/>
    <s v="Product-42"/>
    <n v="10.16"/>
    <n v="2436.71"/>
    <n v="20719.759999999998"/>
    <n v="0.14000000000000001"/>
    <n v="18479.43"/>
    <n v="11662.94"/>
    <n v="6816.49"/>
    <s v="Net Banking"/>
    <s v="Pooja"/>
    <s v="Medium"/>
  </r>
  <r>
    <s v="ORD00202"/>
    <d v="2024-03-18T00:00:00"/>
    <x v="8"/>
    <s v="2024-03-20"/>
    <s v="CUST7489"/>
    <x v="1"/>
    <x v="3"/>
    <s v="Maharashtra"/>
    <s v="Noida"/>
    <s v="Online"/>
    <x v="0"/>
    <s v="Product-20"/>
    <n v="4.54"/>
    <n v="487.51"/>
    <n v="1512.53"/>
    <n v="0.14000000000000001"/>
    <n v="1206.8"/>
    <n v="1020.01"/>
    <n v="186.78999999999996"/>
    <s v="Debit Card"/>
    <s v="Rohit"/>
    <s v="High"/>
  </r>
  <r>
    <s v="ORD00207"/>
    <d v="2024-07-31T00:00:00"/>
    <x v="5"/>
    <s v="2024-08-07"/>
    <s v="CUST7546"/>
    <x v="0"/>
    <x v="1"/>
    <s v="Delhi"/>
    <s v="Delhi"/>
    <s v="Retail Store"/>
    <x v="1"/>
    <s v="Product-42"/>
    <n v="1.04"/>
    <n v="708.67"/>
    <n v="667.16"/>
    <n v="0.1"/>
    <n v="557.75"/>
    <n v="485.17"/>
    <n v="72.579999999999984"/>
    <s v="Debit Card"/>
    <s v="Amit"/>
    <s v="Medium"/>
  </r>
  <r>
    <s v="ORD00176"/>
    <d v="2024-07-20T00:00:00"/>
    <x v="5"/>
    <s v="2024-07-26"/>
    <s v="CUST6718"/>
    <x v="0"/>
    <x v="1"/>
    <s v="Karnataka"/>
    <s v="Noida"/>
    <s v="B2B"/>
    <x v="1"/>
    <s v="Product-41"/>
    <n v="9.01"/>
    <n v="2886.08"/>
    <n v="29065.68"/>
    <n v="0.1"/>
    <n v="27216.240000000002"/>
    <n v="20946.77"/>
    <n v="6269.4700000000012"/>
    <s v="Net Banking"/>
    <s v="Karan"/>
    <s v="Low"/>
  </r>
  <r>
    <s v="ORD00226"/>
    <d v="2024-03-19T00:00:00"/>
    <x v="8"/>
    <s v="2024-03-25"/>
    <s v="CUST9562"/>
    <x v="1"/>
    <x v="3"/>
    <s v="Tamil Nadu"/>
    <s v="Delhi"/>
    <s v="Retail Store"/>
    <x v="2"/>
    <s v="Product-19"/>
    <n v="5.31"/>
    <n v="1561.66"/>
    <n v="7543.89"/>
    <n v="0.12"/>
    <n v="7592.46"/>
    <n v="4537.71"/>
    <n v="3054.75"/>
    <s v="Net Banking"/>
    <s v="Amit"/>
    <s v="Medium"/>
  </r>
  <r>
    <s v="ORD00031"/>
    <d v="2024-01-28T00:00:00"/>
    <x v="10"/>
    <s v="2024-02-04"/>
    <s v="CUST1907"/>
    <x v="2"/>
    <x v="1"/>
    <s v="Uttar Pradesh"/>
    <s v="Bengaluru"/>
    <s v="B2B"/>
    <x v="0"/>
    <s v="Product-45"/>
    <n v="2.85"/>
    <n v="472.93"/>
    <n v="1290.81"/>
    <n v="0.1"/>
    <n v="1230.3"/>
    <n v="885.85"/>
    <n v="344.44999999999993"/>
    <s v="Debit Card"/>
    <s v="Amit"/>
    <s v="Medium"/>
  </r>
  <r>
    <s v="ORD00044"/>
    <d v="2024-01-15T00:00:00"/>
    <x v="10"/>
    <s v="2024-01-22"/>
    <s v="CUST1810"/>
    <x v="1"/>
    <x v="1"/>
    <s v="Tamil Nadu"/>
    <s v="Noida"/>
    <s v="Online"/>
    <x v="1"/>
    <s v="Product-19"/>
    <n v="10.42"/>
    <n v="1756.59"/>
    <n v="17772.16"/>
    <n v="0.05"/>
    <n v="15774.54"/>
    <n v="14111.96"/>
    <n v="1662.5800000000017"/>
    <s v="Net Banking"/>
    <s v="Amit"/>
    <s v="High"/>
  </r>
  <r>
    <s v="ORD00264"/>
    <d v="2024-02-01T00:00:00"/>
    <x v="1"/>
    <s v="2024-02-03"/>
    <s v="CUST1876"/>
    <x v="1"/>
    <x v="3"/>
    <s v="Tamil Nadu"/>
    <s v="Bengaluru"/>
    <s v="B2B"/>
    <x v="0"/>
    <s v="Product-18"/>
    <n v="5.04"/>
    <n v="2741.58"/>
    <n v="11244.32"/>
    <n v="0.05"/>
    <n v="12638.47"/>
    <n v="10587.99"/>
    <n v="2050.4799999999996"/>
    <s v="Debit Card"/>
    <s v="Pooja"/>
    <s v="Low"/>
  </r>
  <r>
    <s v="ORD00196"/>
    <d v="2024-02-26T00:00:00"/>
    <x v="1"/>
    <s v="2024-02-27"/>
    <s v="CUST7239"/>
    <x v="2"/>
    <x v="3"/>
    <s v="Uttar Pradesh"/>
    <s v="Bengaluru"/>
    <s v="Retail Store"/>
    <x v="0"/>
    <s v="Product-2"/>
    <n v="5.43"/>
    <n v="1060.93"/>
    <n v="5246.28"/>
    <n v="0.1"/>
    <n v="4647.22"/>
    <n v="3363.38"/>
    <n v="1283.8400000000001"/>
    <s v="Debit Card"/>
    <s v="Neha"/>
    <s v="Medium"/>
  </r>
  <r>
    <s v="ORD00180"/>
    <d v="2024-07-26T00:00:00"/>
    <x v="5"/>
    <s v="2024-08-02"/>
    <s v="CUST8972"/>
    <x v="2"/>
    <x v="0"/>
    <s v="Delhi"/>
    <s v="Bengaluru"/>
    <s v="Retail Store"/>
    <x v="0"/>
    <s v="Product-8"/>
    <n v="4.03"/>
    <n v="778.88"/>
    <n v="2947.02"/>
    <n v="0.11"/>
    <n v="2895.98"/>
    <n v="1542.58"/>
    <n v="1353.4"/>
    <s v="Debit Card"/>
    <s v="Pooja"/>
    <s v="Low"/>
  </r>
  <r>
    <s v="ORD00265"/>
    <d v="2024-11-13T00:00:00"/>
    <x v="4"/>
    <s v="2024-11-16"/>
    <s v="CUST6236"/>
    <x v="0"/>
    <x v="1"/>
    <s v="Karnataka"/>
    <s v="Delhi"/>
    <s v="Online"/>
    <x v="1"/>
    <s v="Product-29"/>
    <n v="6.71"/>
    <n v="1498.9"/>
    <n v="14158.19"/>
    <n v="0.08"/>
    <n v="10981.63"/>
    <n v="7143.29"/>
    <n v="3838.3399999999992"/>
    <s v="Net Banking"/>
    <s v="Neha"/>
    <s v="Medium"/>
  </r>
  <r>
    <s v="ORD00274"/>
    <d v="2024-09-15T00:00:00"/>
    <x v="3"/>
    <s v="2024-09-18"/>
    <s v="CUST2841"/>
    <x v="0"/>
    <x v="1"/>
    <s v="Uttar Pradesh"/>
    <s v="Noida"/>
    <s v="Retail Store"/>
    <x v="0"/>
    <s v="Product-43"/>
    <n v="6.56"/>
    <n v="1610.9"/>
    <n v="10319.49"/>
    <n v="0.1"/>
    <n v="9899.07"/>
    <n v="8207.11"/>
    <n v="1691.9599999999991"/>
    <s v="UPI"/>
    <s v="Rohit"/>
    <s v="High"/>
  </r>
  <r>
    <s v="ORD00087"/>
    <d v="2024-05-14T00:00:00"/>
    <x v="7"/>
    <s v="2024-05-20"/>
    <s v="CUST9572"/>
    <x v="0"/>
    <x v="3"/>
    <s v="Maharashtra"/>
    <s v="Delhi"/>
    <s v="B2B"/>
    <x v="0"/>
    <s v="Product-11"/>
    <n v="1.1200000000000001"/>
    <n v="1443.14"/>
    <n v="1234.8900000000001"/>
    <n v="0.13"/>
    <n v="1111.08"/>
    <n v="747.68"/>
    <n v="363.4"/>
    <s v="Debit Card"/>
    <s v="Neha"/>
    <s v="High"/>
  </r>
  <r>
    <s v="ORD00188"/>
    <d v="2024-10-04T00:00:00"/>
    <x v="2"/>
    <s v="2024-10-07"/>
    <s v="CUST2334"/>
    <x v="2"/>
    <x v="3"/>
    <s v="Uttar Pradesh"/>
    <s v="Bengaluru"/>
    <s v="B2B"/>
    <x v="1"/>
    <s v="Product-27"/>
    <n v="8.76"/>
    <n v="1719.53"/>
    <n v="16060.33"/>
    <n v="0.05"/>
    <n v="16434.79"/>
    <n v="14000.45"/>
    <n v="2434.34"/>
    <s v="Debit Card"/>
    <s v="Pooja"/>
    <s v="High"/>
  </r>
  <r>
    <s v="ORD00084"/>
    <d v="2024-10-23T00:00:00"/>
    <x v="2"/>
    <s v="2024-10-27"/>
    <s v="CUST1006"/>
    <x v="2"/>
    <x v="0"/>
    <s v="Uttar Pradesh"/>
    <s v="Delhi"/>
    <s v="Retail Store"/>
    <x v="0"/>
    <s v="Product-16"/>
    <n v="10.86"/>
    <n v="3125.7"/>
    <n v="34853.17"/>
    <n v="0.14000000000000001"/>
    <n v="30610.65"/>
    <n v="19184.55"/>
    <n v="11426.100000000002"/>
    <s v="Credit Card"/>
    <s v="Amit"/>
    <s v="Low"/>
  </r>
  <r>
    <s v="ORD00067"/>
    <d v="2024-01-20T00:00:00"/>
    <x v="10"/>
    <s v="2024-01-25"/>
    <s v="CUST6361"/>
    <x v="0"/>
    <x v="3"/>
    <s v="Maharashtra"/>
    <s v="Noida"/>
    <s v="Retail Store"/>
    <x v="0"/>
    <s v="Product-14"/>
    <n v="13.03"/>
    <n v="2798.14"/>
    <n v="23629.040000000001"/>
    <n v="0.05"/>
    <n v="24039.93"/>
    <n v="22961.03"/>
    <n v="1078.9000000000015"/>
    <s v="UPI"/>
    <s v="Pooja"/>
    <s v="High"/>
  </r>
  <r>
    <s v="ORD00256"/>
    <d v="2024-06-05T00:00:00"/>
    <x v="0"/>
    <s v="2024-06-06"/>
    <s v="CUST8788"/>
    <x v="0"/>
    <x v="1"/>
    <s v="Uttar Pradesh"/>
    <s v="Bengaluru"/>
    <s v="Retail Store"/>
    <x v="0"/>
    <s v="Product-22"/>
    <n v="5.18"/>
    <n v="2136.15"/>
    <n v="7835.3"/>
    <n v="0"/>
    <n v="8796.02"/>
    <n v="8771.82"/>
    <n v="24.200000000000728"/>
    <s v="Credit Card"/>
    <s v="Amit"/>
    <s v="Medium"/>
  </r>
  <r>
    <s v="ORD00073"/>
    <d v="2024-09-22T00:00:00"/>
    <x v="3"/>
    <s v="2024-09-24"/>
    <s v="CUST4155"/>
    <x v="2"/>
    <x v="0"/>
    <s v="Karnataka"/>
    <s v="Delhi"/>
    <s v="Retail Store"/>
    <x v="1"/>
    <s v="Product-30"/>
    <n v="6.85"/>
    <n v="1630.79"/>
    <n v="11059.55"/>
    <n v="0.05"/>
    <n v="9786.35"/>
    <n v="6566.59"/>
    <n v="3219.76"/>
    <s v="Debit Card"/>
    <s v="Pooja"/>
    <s v="Medium"/>
  </r>
  <r>
    <s v="ORD00261"/>
    <d v="2024-01-10T00:00:00"/>
    <x v="10"/>
    <s v="2024-01-11"/>
    <s v="CUST9396"/>
    <x v="2"/>
    <x v="1"/>
    <s v="Delhi"/>
    <s v="Bengaluru"/>
    <s v="Retail Store"/>
    <x v="0"/>
    <s v="Product-1"/>
    <n v="11.05"/>
    <n v="813.82"/>
    <n v="8373.85"/>
    <n v="0.16"/>
    <n v="7617.24"/>
    <n v="5043.78"/>
    <n v="2573.46"/>
    <s v="Debit Card"/>
    <s v="Neha"/>
    <s v="Low"/>
  </r>
  <r>
    <s v="ORD00271"/>
    <d v="2024-07-15T00:00:00"/>
    <x v="5"/>
    <s v="2024-07-20"/>
    <s v="CUST4667"/>
    <x v="0"/>
    <x v="0"/>
    <s v="Karnataka"/>
    <s v="Noida"/>
    <s v="Online"/>
    <x v="2"/>
    <s v="Product-2"/>
    <n v="5.6"/>
    <n v="2530.88"/>
    <n v="11874.21"/>
    <n v="0.08"/>
    <n v="11830.65"/>
    <n v="9086.86"/>
    <n v="2743.7899999999991"/>
    <s v="UPI"/>
    <s v="Amit"/>
    <s v="Medium"/>
  </r>
  <r>
    <s v="ORD00060"/>
    <d v="2024-05-14T00:00:00"/>
    <x v="7"/>
    <s v="2024-05-20"/>
    <s v="CUST2070"/>
    <x v="2"/>
    <x v="2"/>
    <s v="Delhi"/>
    <s v="Chennai"/>
    <s v="B2B"/>
    <x v="2"/>
    <s v="Product-50"/>
    <n v="10.75"/>
    <n v="2466.08"/>
    <n v="32652.89"/>
    <n v="0.12"/>
    <n v="26815.03"/>
    <n v="17455.240000000002"/>
    <n v="9359.7899999999972"/>
    <s v="Net Banking"/>
    <s v="Rohit"/>
    <s v="Medium"/>
  </r>
  <r>
    <s v="ORD00052"/>
    <d v="2024-08-23T00:00:00"/>
    <x v="9"/>
    <s v="2024-08-26"/>
    <s v="CUST4846"/>
    <x v="1"/>
    <x v="2"/>
    <s v="Delhi"/>
    <s v="Chennai"/>
    <s v="B2B"/>
    <x v="1"/>
    <s v="Product-20"/>
    <n v="5.9"/>
    <n v="2245.2600000000002"/>
    <n v="14292.44"/>
    <n v="0.05"/>
    <n v="11640.34"/>
    <n v="9635.2900000000009"/>
    <n v="2005.0499999999993"/>
    <s v="UPI"/>
    <s v="Amit"/>
    <s v="Low"/>
  </r>
  <r>
    <s v="ORD00276"/>
    <d v="2024-04-09T00:00:00"/>
    <x v="6"/>
    <s v="2024-04-10"/>
    <s v="CUST4239"/>
    <x v="1"/>
    <x v="2"/>
    <s v="Karnataka"/>
    <s v="Mumbai"/>
    <s v="B2B"/>
    <x v="1"/>
    <s v="Product-19"/>
    <n v="11.41"/>
    <n v="3379.73"/>
    <n v="37532.35"/>
    <n v="0"/>
    <n v="35938.51"/>
    <n v="27121.29"/>
    <n v="8817.2200000000012"/>
    <s v="UPI"/>
    <s v="Karan"/>
    <s v="High"/>
  </r>
  <r>
    <s v="ORD00262"/>
    <d v="2024-10-27T00:00:00"/>
    <x v="2"/>
    <s v="2024-11-01"/>
    <s v="CUST5601"/>
    <x v="1"/>
    <x v="2"/>
    <s v="Karnataka"/>
    <s v="Noida"/>
    <s v="Online"/>
    <x v="2"/>
    <s v="Product-36"/>
    <n v="9.26"/>
    <n v="621.59"/>
    <n v="4885.3500000000004"/>
    <n v="0.15"/>
    <n v="4425.8999999999996"/>
    <n v="2606.66"/>
    <n v="1819.2399999999998"/>
    <s v="Net Banking"/>
    <s v="Amit"/>
    <s v="High"/>
  </r>
  <r>
    <s v="ORD00260"/>
    <d v="2024-08-01T00:00:00"/>
    <x v="9"/>
    <s v="2024-08-02"/>
    <s v="CUST5846"/>
    <x v="0"/>
    <x v="3"/>
    <s v="Tamil Nadu"/>
    <s v="Noida"/>
    <s v="B2B"/>
    <x v="0"/>
    <s v="Product-42"/>
    <n v="9.27"/>
    <n v="2347.9699999999998"/>
    <n v="21042.639999999999"/>
    <n v="0.14000000000000001"/>
    <n v="16718.689999999999"/>
    <n v="11982.91"/>
    <n v="4735.7799999999988"/>
    <s v="Net Banking"/>
    <s v="Pooja"/>
    <s v="Medium"/>
  </r>
  <r>
    <s v="ORD00119"/>
    <d v="2024-09-24T00:00:00"/>
    <x v="3"/>
    <s v="2024-09-25"/>
    <s v="CUST7629"/>
    <x v="0"/>
    <x v="0"/>
    <s v="Delhi"/>
    <s v="Chennai"/>
    <s v="B2B"/>
    <x v="1"/>
    <s v="Product-43"/>
    <n v="2.38"/>
    <n v="2859.5"/>
    <n v="6197.49"/>
    <n v="0.15"/>
    <n v="5341.33"/>
    <n v="3381.5"/>
    <n v="1959.83"/>
    <s v="Credit Card"/>
    <s v="Pooja"/>
    <s v="Medium"/>
  </r>
  <r>
    <s v="ORD00146"/>
    <d v="2024-10-20T00:00:00"/>
    <x v="2"/>
    <s v="2024-10-24"/>
    <s v="CUST7369"/>
    <x v="1"/>
    <x v="1"/>
    <s v="Uttar Pradesh"/>
    <s v="Noida"/>
    <s v="B2B"/>
    <x v="0"/>
    <s v="Product-26"/>
    <n v="12.12"/>
    <n v="1472.28"/>
    <n v="17643.78"/>
    <n v="0"/>
    <n v="17654.900000000001"/>
    <n v="14750.75"/>
    <n v="2904.1500000000015"/>
    <s v="UPI"/>
    <s v="Rohit"/>
    <s v="Medium"/>
  </r>
  <r>
    <s v="ORD00073"/>
    <d v="2024-09-22T00:00:00"/>
    <x v="3"/>
    <s v="2024-09-24"/>
    <s v="CUST4155"/>
    <x v="2"/>
    <x v="0"/>
    <s v="Karnataka"/>
    <s v="Delhi"/>
    <s v="Retail Store"/>
    <x v="1"/>
    <s v="Product-30"/>
    <n v="5.83"/>
    <n v="1633.82"/>
    <n v="10964.64"/>
    <n v="0.05"/>
    <n v="8991.1"/>
    <n v="7420.52"/>
    <n v="1570.58"/>
    <s v="Debit Card"/>
    <s v="Pooja"/>
    <s v="Medium"/>
  </r>
  <r>
    <s v="ORD00271"/>
    <d v="2024-07-15T00:00:00"/>
    <x v="5"/>
    <s v="2024-07-20"/>
    <s v="CUST4667"/>
    <x v="0"/>
    <x v="0"/>
    <s v="Karnataka"/>
    <s v="Noida"/>
    <s v="Online"/>
    <x v="2"/>
    <s v="Product-2"/>
    <n v="5.01"/>
    <n v="2722.82"/>
    <n v="12157.67"/>
    <n v="0.1"/>
    <n v="11371.6"/>
    <n v="9410.76"/>
    <n v="1960.8400000000001"/>
    <s v="UPI"/>
    <s v="Amit"/>
    <s v="Medium"/>
  </r>
  <r>
    <s v="ORD00136"/>
    <d v="2024-08-19T00:00:00"/>
    <x v="9"/>
    <s v="2024-08-24"/>
    <s v="CUST7746"/>
    <x v="2"/>
    <x v="2"/>
    <s v="Delhi"/>
    <s v="Bengaluru"/>
    <s v="B2B"/>
    <x v="2"/>
    <s v="Product-22"/>
    <n v="3.27"/>
    <n v="1813.63"/>
    <n v="4975.6499999999996"/>
    <n v="0.05"/>
    <n v="5226.1099999999997"/>
    <n v="3357.76"/>
    <n v="1868.3499999999995"/>
    <s v="Credit Card"/>
    <s v="Rohit"/>
    <s v="Medium"/>
  </r>
  <r>
    <s v="ORD00250"/>
    <d v="2024-10-31T00:00:00"/>
    <x v="2"/>
    <s v="2024-11-07"/>
    <s v="CUST2196"/>
    <x v="1"/>
    <x v="3"/>
    <s v="Delhi"/>
    <s v="Delhi"/>
    <s v="Online"/>
    <x v="1"/>
    <s v="Product-50"/>
    <n v="9.52"/>
    <n v="2444.86"/>
    <n v="23621.439999999999"/>
    <n v="0"/>
    <n v="23085.33"/>
    <n v="20551.53"/>
    <n v="2533.8000000000029"/>
    <s v="Credit Card"/>
    <s v="Rohit"/>
    <s v="Medium"/>
  </r>
  <r>
    <s v="ORD00237"/>
    <d v="2024-09-29T00:00:00"/>
    <x v="3"/>
    <s v="2024-09-30"/>
    <s v="CUST4599"/>
    <x v="0"/>
    <x v="3"/>
    <s v="Maharashtra"/>
    <s v="Mumbai"/>
    <s v="B2B"/>
    <x v="1"/>
    <s v="Product-30"/>
    <n v="6.43"/>
    <n v="3253.33"/>
    <n v="23631.14"/>
    <n v="0.11"/>
    <n v="24488.14"/>
    <n v="10719.55"/>
    <n v="13768.59"/>
    <s v="Net Banking"/>
    <s v="Pooja"/>
    <s v="Low"/>
  </r>
  <r>
    <s v="ORD00226"/>
    <d v="2024-03-19T00:00:00"/>
    <x v="8"/>
    <s v="2024-03-25"/>
    <s v="CUST9562"/>
    <x v="1"/>
    <x v="3"/>
    <s v="Tamil Nadu"/>
    <s v="Delhi"/>
    <s v="Retail Store"/>
    <x v="2"/>
    <s v="Product-19"/>
    <n v="4.8499999999999996"/>
    <n v="1575.13"/>
    <n v="7545.41"/>
    <n v="0.09"/>
    <n v="6892.47"/>
    <n v="5050.16"/>
    <n v="1842.3100000000004"/>
    <s v="Net Banking"/>
    <s v="Amit"/>
    <s v="Medium"/>
  </r>
  <r>
    <s v="ORD00266"/>
    <d v="2024-01-23T00:00:00"/>
    <x v="10"/>
    <s v="2024-01-25"/>
    <s v="CUST7745"/>
    <x v="2"/>
    <x v="3"/>
    <s v="Tamil Nadu"/>
    <s v="Bengaluru"/>
    <s v="B2B"/>
    <x v="2"/>
    <s v="Product-34"/>
    <n v="4.88"/>
    <n v="2920.95"/>
    <n v="14954.47"/>
    <n v="0.16"/>
    <n v="11116.55"/>
    <n v="9795.02"/>
    <n v="1321.5299999999988"/>
    <s v="Debit Card"/>
    <s v="Amit"/>
    <s v="Medium"/>
  </r>
  <r>
    <s v="ORD00012"/>
    <d v="2024-05-09T00:00:00"/>
    <x v="7"/>
    <s v="2024-05-12"/>
    <s v="CUST8996"/>
    <x v="0"/>
    <x v="1"/>
    <s v="Tamil Nadu"/>
    <s v="Bengaluru"/>
    <s v="Online"/>
    <x v="0"/>
    <s v="Product-7"/>
    <n v="9.3800000000000008"/>
    <n v="1584.91"/>
    <n v="16114.68"/>
    <n v="0"/>
    <n v="17392.22"/>
    <n v="9327.6"/>
    <n v="8064.6200000000008"/>
    <s v="Debit Card"/>
    <s v="Rohit"/>
    <s v="Medium"/>
  </r>
  <r>
    <s v="ORD00180"/>
    <d v="2024-07-26T00:00:00"/>
    <x v="5"/>
    <s v="2024-08-02"/>
    <s v="CUST8972"/>
    <x v="2"/>
    <x v="0"/>
    <s v="Delhi"/>
    <s v="Bengaluru"/>
    <s v="Retail Store"/>
    <x v="0"/>
    <s v="Product-8"/>
    <n v="3.97"/>
    <n v="799.1"/>
    <n v="2547.7399999999998"/>
    <n v="0.12"/>
    <n v="2303.02"/>
    <n v="1789.78"/>
    <n v="513.24"/>
    <s v="Debit Card"/>
    <s v="Pooja"/>
    <s v="Low"/>
  </r>
  <r>
    <s v="ORD00293"/>
    <d v="2024-05-27T00:00:00"/>
    <x v="7"/>
    <s v="2024-06-03"/>
    <s v="CUST3888"/>
    <x v="1"/>
    <x v="1"/>
    <s v="Uttar Pradesh"/>
    <s v="Mumbai"/>
    <s v="B2B"/>
    <x v="1"/>
    <s v="Product-19"/>
    <n v="1"/>
    <n v="2217.42"/>
    <n v="2820.41"/>
    <n v="0.15"/>
    <n v="2216.42"/>
    <n v="1869.7"/>
    <n v="346.72"/>
    <s v="Net Banking"/>
    <s v="Neha"/>
    <s v="Medium"/>
  </r>
  <r>
    <s v="ORD00137"/>
    <d v="2024-02-25T00:00:00"/>
    <x v="1"/>
    <s v="2024-02-28"/>
    <s v="CUST9412"/>
    <x v="2"/>
    <x v="2"/>
    <s v="Uttar Pradesh"/>
    <s v="Chennai"/>
    <s v="Retail Store"/>
    <x v="0"/>
    <s v="Product-17"/>
    <n v="7.81"/>
    <n v="3265.64"/>
    <n v="26241.84"/>
    <n v="0"/>
    <n v="23430.02"/>
    <n v="15330.88"/>
    <n v="8099.1400000000012"/>
    <s v="Credit Card"/>
    <s v="Rohit"/>
    <s v="Medium"/>
  </r>
  <r>
    <s v="ORD00065"/>
    <d v="2024-08-25T00:00:00"/>
    <x v="9"/>
    <s v="2024-08-26"/>
    <s v="CUST7125"/>
    <x v="2"/>
    <x v="3"/>
    <s v="Maharashtra"/>
    <s v="Delhi"/>
    <s v="Online"/>
    <x v="0"/>
    <s v="Product-39"/>
    <n v="1.96"/>
    <n v="426.03"/>
    <n v="795.51"/>
    <n v="0.05"/>
    <n v="860.72"/>
    <n v="598.11"/>
    <n v="262.61"/>
    <s v="Credit Card"/>
    <s v="Amit"/>
    <s v="Medium"/>
  </r>
  <r>
    <s v="ORD00045"/>
    <d v="2024-03-06T00:00:00"/>
    <x v="8"/>
    <s v="2024-03-08"/>
    <s v="CUST5262"/>
    <x v="0"/>
    <x v="2"/>
    <s v="Karnataka"/>
    <s v="Chennai"/>
    <s v="B2B"/>
    <x v="1"/>
    <s v="Product-26"/>
    <n v="8.6300000000000008"/>
    <n v="1563.44"/>
    <n v="13666.65"/>
    <n v="0.09"/>
    <n v="11334.36"/>
    <n v="8770.81"/>
    <n v="2563.5500000000011"/>
    <s v="UPI"/>
    <s v="Neha"/>
    <s v="High"/>
  </r>
  <r>
    <s v="ORD00276"/>
    <d v="2024-04-09T00:00:00"/>
    <x v="6"/>
    <s v="2024-04-10"/>
    <s v="CUST4239"/>
    <x v="1"/>
    <x v="2"/>
    <s v="Karnataka"/>
    <s v="Mumbai"/>
    <s v="B2B"/>
    <x v="1"/>
    <s v="Product-19"/>
    <n v="11.93"/>
    <n v="2700.72"/>
    <n v="35990.83"/>
    <n v="0"/>
    <n v="34743.949999999997"/>
    <n v="28210.240000000002"/>
    <n v="6533.7099999999955"/>
    <s v="UPI"/>
    <s v="Karan"/>
    <s v="High"/>
  </r>
  <r>
    <s v="ORD00189"/>
    <d v="2024-03-11T00:00:00"/>
    <x v="8"/>
    <s v="2024-03-14"/>
    <s v="CUST4645"/>
    <x v="1"/>
    <x v="1"/>
    <s v="Delhi"/>
    <s v="Mumbai"/>
    <s v="B2B"/>
    <x v="1"/>
    <s v="Product-24"/>
    <n v="5.31"/>
    <n v="1818.22"/>
    <n v="11576.59"/>
    <n v="0"/>
    <n v="13676.69"/>
    <n v="8639.48"/>
    <n v="5037.2100000000009"/>
    <s v="Net Banking"/>
    <s v="Rohit"/>
    <s v="High"/>
  </r>
  <r>
    <s v="ORD00264"/>
    <d v="2024-02-01T00:00:00"/>
    <x v="1"/>
    <s v="2024-02-03"/>
    <s v="CUST1876"/>
    <x v="1"/>
    <x v="3"/>
    <s v="Tamil Nadu"/>
    <s v="Bengaluru"/>
    <s v="B2B"/>
    <x v="0"/>
    <s v="Product-18"/>
    <n v="5.48"/>
    <n v="2481.19"/>
    <n v="10217.41"/>
    <n v="0.05"/>
    <n v="13781.66"/>
    <n v="11550.93"/>
    <n v="2230.7299999999996"/>
    <s v="Debit Card"/>
    <s v="Pooja"/>
    <s v="Low"/>
  </r>
  <r>
    <s v="ORD00248"/>
    <d v="2024-07-06T00:00:00"/>
    <x v="5"/>
    <s v="2024-07-08"/>
    <s v="CUST4930"/>
    <x v="1"/>
    <x v="2"/>
    <s v="Delhi"/>
    <s v="Delhi"/>
    <s v="Online"/>
    <x v="0"/>
    <s v="Product-32"/>
    <n v="5.13"/>
    <n v="1614.47"/>
    <n v="8401.48"/>
    <n v="0.05"/>
    <n v="8262"/>
    <n v="6819.85"/>
    <n v="1442.1499999999996"/>
    <s v="Credit Card"/>
    <s v="Neha"/>
    <s v="Low"/>
  </r>
  <r>
    <s v="ORD00238"/>
    <d v="2024-04-14T00:00:00"/>
    <x v="6"/>
    <s v="2024-04-15"/>
    <s v="CUST2178"/>
    <x v="1"/>
    <x v="1"/>
    <s v="Maharashtra"/>
    <s v="Delhi"/>
    <s v="B2B"/>
    <x v="1"/>
    <s v="Product-48"/>
    <n v="3.18"/>
    <n v="2059.06"/>
    <n v="5184.08"/>
    <n v="0"/>
    <n v="4905.1899999999996"/>
    <n v="3047.63"/>
    <n v="1857.5599999999995"/>
    <s v="Credit Card"/>
    <s v="Pooja"/>
    <s v="Low"/>
  </r>
  <r>
    <s v="ORD00227"/>
    <d v="2024-11-20T00:00:00"/>
    <x v="4"/>
    <s v="2024-11-24"/>
    <s v="CUST3138"/>
    <x v="0"/>
    <x v="1"/>
    <s v="Uttar Pradesh"/>
    <s v="Mumbai"/>
    <s v="B2B"/>
    <x v="2"/>
    <s v="Product-34"/>
    <n v="12.96"/>
    <n v="3134.33"/>
    <n v="32323.439999999999"/>
    <n v="0.05"/>
    <n v="35758.07"/>
    <n v="21244.65"/>
    <n v="14513.419999999998"/>
    <s v="Debit Card"/>
    <s v="Pooja"/>
    <s v="Medium"/>
  </r>
  <r>
    <s v="ORD00260"/>
    <d v="2024-08-01T00:00:00"/>
    <x v="9"/>
    <s v="2024-08-02"/>
    <s v="CUST5846"/>
    <x v="0"/>
    <x v="3"/>
    <s v="Tamil Nadu"/>
    <s v="Noida"/>
    <s v="B2B"/>
    <x v="0"/>
    <s v="Product-42"/>
    <n v="8.86"/>
    <n v="2569.7199999999998"/>
    <n v="22487.13"/>
    <n v="0.15"/>
    <n v="17080.810000000001"/>
    <n v="12525.05"/>
    <n v="4555.760000000002"/>
    <s v="Net Banking"/>
    <s v="Pooja"/>
    <s v="Medium"/>
  </r>
  <r>
    <s v="ORD00060"/>
    <d v="2024-05-14T00:00:00"/>
    <x v="7"/>
    <s v="2024-05-20"/>
    <s v="CUST2070"/>
    <x v="2"/>
    <x v="2"/>
    <s v="Delhi"/>
    <s v="Chennai"/>
    <s v="B2B"/>
    <x v="2"/>
    <s v="Product-50"/>
    <n v="12.18"/>
    <n v="2658.95"/>
    <n v="30737.74"/>
    <n v="0.11"/>
    <n v="25275.200000000001"/>
    <n v="18303.43"/>
    <n v="6971.77"/>
    <s v="Net Banking"/>
    <s v="Rohit"/>
    <s v="Medium"/>
  </r>
  <r>
    <s v="ORD00151"/>
    <d v="2024-02-14T00:00:00"/>
    <x v="1"/>
    <s v="2024-02-20"/>
    <s v="CUST4630"/>
    <x v="1"/>
    <x v="1"/>
    <s v="Maharashtra"/>
    <s v="Noida"/>
    <s v="B2B"/>
    <x v="2"/>
    <s v="Product-30"/>
    <n v="9.8000000000000007"/>
    <n v="1261.95"/>
    <n v="10616.28"/>
    <n v="0.17"/>
    <n v="9504.2800000000007"/>
    <n v="7712.62"/>
    <n v="1791.6600000000008"/>
    <s v="Debit Card"/>
    <s v="Karan"/>
    <s v="Medium"/>
  </r>
  <r>
    <s v="ORD00151"/>
    <d v="2024-02-14T00:00:00"/>
    <x v="1"/>
    <s v="2024-02-20"/>
    <s v="CUST4630"/>
    <x v="1"/>
    <x v="1"/>
    <s v="Maharashtra"/>
    <s v="Noida"/>
    <s v="B2B"/>
    <x v="2"/>
    <s v="Product-30"/>
    <n v="8.1"/>
    <n v="1285.58"/>
    <n v="11395.65"/>
    <n v="0.17"/>
    <n v="8841.4"/>
    <n v="8382.2800000000007"/>
    <n v="459.11999999999898"/>
    <s v="Debit Card"/>
    <s v="Karan"/>
    <s v="Medium"/>
  </r>
  <r>
    <s v="ORD00241"/>
    <d v="2024-06-15T00:00:00"/>
    <x v="0"/>
    <s v="2024-06-20"/>
    <s v="CUST1539"/>
    <x v="0"/>
    <x v="1"/>
    <s v="Maharashtra"/>
    <s v="Bengaluru"/>
    <s v="Online"/>
    <x v="1"/>
    <s v="Product-35"/>
    <n v="4.0599999999999996"/>
    <n v="837.41"/>
    <n v="3353.84"/>
    <n v="0.05"/>
    <n v="3329.95"/>
    <n v="2168.65"/>
    <n v="1161.2999999999997"/>
    <s v="UPI"/>
    <s v="Neha"/>
    <s v="Medium"/>
  </r>
  <r>
    <s v="ORD00149"/>
    <d v="2024-11-13T00:00:00"/>
    <x v="4"/>
    <s v="2024-11-16"/>
    <s v="CUST5105"/>
    <x v="2"/>
    <x v="0"/>
    <s v="Tamil Nadu"/>
    <s v="Mumbai"/>
    <s v="Online"/>
    <x v="2"/>
    <s v="Product-8"/>
    <n v="11.45"/>
    <n v="2239.39"/>
    <n v="27791.94"/>
    <n v="0"/>
    <n v="26035.45"/>
    <n v="21100.639999999999"/>
    <n v="4934.8100000000013"/>
    <s v="Debit Card"/>
    <s v="Rohit"/>
    <s v="High"/>
  </r>
  <r>
    <s v="ORD00170"/>
    <d v="2024-05-13T00:00:00"/>
    <x v="7"/>
    <s v="2024-05-18"/>
    <s v="CUST7621"/>
    <x v="1"/>
    <x v="2"/>
    <s v="Maharashtra"/>
    <s v="Delhi"/>
    <s v="B2B"/>
    <x v="1"/>
    <s v="Product-6"/>
    <n v="7.74"/>
    <n v="2211.7800000000002"/>
    <n v="18911.150000000001"/>
    <n v="0.09"/>
    <n v="15582.73"/>
    <n v="11897.4"/>
    <n v="3685.33"/>
    <s v="Debit Card"/>
    <s v="Pooja"/>
    <s v="Low"/>
  </r>
  <r>
    <s v="ORD00268"/>
    <d v="2024-03-25T00:00:00"/>
    <x v="8"/>
    <s v="2024-03-31"/>
    <s v="CUST7463"/>
    <x v="1"/>
    <x v="3"/>
    <s v="Tamil Nadu"/>
    <s v="Chennai"/>
    <s v="Retail Store"/>
    <x v="2"/>
    <s v="Product-23"/>
    <n v="3.2"/>
    <n v="3305.07"/>
    <n v="9407.33"/>
    <n v="0"/>
    <n v="10309.58"/>
    <n v="8847.35"/>
    <n v="1462.2299999999996"/>
    <s v="Credit Card"/>
    <s v="Neha"/>
    <s v="High"/>
  </r>
  <r>
    <s v="ORD00157"/>
    <d v="2024-03-15T00:00:00"/>
    <x v="8"/>
    <s v="2024-03-19"/>
    <s v="CUST6408"/>
    <x v="0"/>
    <x v="2"/>
    <s v="Karnataka"/>
    <s v="Mumbai"/>
    <s v="Retail Store"/>
    <x v="0"/>
    <s v="Product-2"/>
    <n v="9.7899999999999991"/>
    <n v="1560.96"/>
    <n v="14264.3"/>
    <n v="0.05"/>
    <n v="16296.81"/>
    <n v="10100"/>
    <n v="6196.8099999999995"/>
    <s v="UPI"/>
    <s v="Rohit"/>
    <s v="High"/>
  </r>
  <r>
    <s v="ORD00220"/>
    <d v="2024-07-27T00:00:00"/>
    <x v="5"/>
    <s v="2024-08-03"/>
    <s v="CUST1678"/>
    <x v="1"/>
    <x v="1"/>
    <s v="Uttar Pradesh"/>
    <s v="Bengaluru"/>
    <s v="B2B"/>
    <x v="2"/>
    <s v="Product-45"/>
    <n v="8.4"/>
    <n v="3317.02"/>
    <n v="30647.84"/>
    <n v="0.1"/>
    <n v="27403.24"/>
    <n v="16347.77"/>
    <n v="11055.470000000001"/>
    <s v="Net Banking"/>
    <s v="Rohit"/>
    <s v="Medium"/>
  </r>
  <r>
    <s v="ORD00292"/>
    <d v="2024-11-17T00:00:00"/>
    <x v="4"/>
    <s v="2024-11-20"/>
    <s v="CUST3639"/>
    <x v="2"/>
    <x v="0"/>
    <s v="Uttar Pradesh"/>
    <s v="Mumbai"/>
    <s v="Retail Store"/>
    <x v="1"/>
    <s v="Product-45"/>
    <n v="6.1"/>
    <n v="656.03"/>
    <n v="3426.21"/>
    <n v="0"/>
    <n v="3818.75"/>
    <n v="3012.18"/>
    <n v="806.57000000000016"/>
    <s v="UPI"/>
    <s v="Neha"/>
    <s v="Low"/>
  </r>
  <r>
    <s v="ORD00025"/>
    <d v="2024-10-10T00:00:00"/>
    <x v="2"/>
    <s v="2024-10-14"/>
    <s v="CUST5840"/>
    <x v="1"/>
    <x v="0"/>
    <s v="Delhi"/>
    <s v="Mumbai"/>
    <s v="Online"/>
    <x v="0"/>
    <s v="Product-17"/>
    <n v="7.99"/>
    <n v="2205.75"/>
    <n v="20402.7"/>
    <n v="0.14000000000000001"/>
    <n v="15408.96"/>
    <n v="11119.28"/>
    <n v="4289.6799999999985"/>
    <s v="Debit Card"/>
    <s v="Amit"/>
    <s v="Low"/>
  </r>
  <r>
    <s v="ORD00221"/>
    <d v="2024-08-04T00:00:00"/>
    <x v="9"/>
    <s v="2024-08-07"/>
    <s v="CUST7314"/>
    <x v="0"/>
    <x v="2"/>
    <s v="Delhi"/>
    <s v="Mumbai"/>
    <s v="B2B"/>
    <x v="1"/>
    <s v="Product-17"/>
    <n v="8.26"/>
    <n v="1650.23"/>
    <n v="14562.2"/>
    <n v="0.05"/>
    <n v="13984.88"/>
    <n v="10122.19"/>
    <n v="3862.6899999999987"/>
    <s v="Net Banking"/>
    <s v="Neha"/>
    <s v="Low"/>
  </r>
  <r>
    <s v="ORD00040"/>
    <d v="2024-08-18T00:00:00"/>
    <x v="9"/>
    <s v="2024-08-21"/>
    <s v="CUST2479"/>
    <x v="2"/>
    <x v="3"/>
    <s v="Karnataka"/>
    <s v="Mumbai"/>
    <s v="B2B"/>
    <x v="1"/>
    <s v="Product-33"/>
    <n v="6.33"/>
    <n v="1099.92"/>
    <n v="6671.39"/>
    <n v="0.05"/>
    <n v="7284.47"/>
    <n v="4469.6400000000003"/>
    <n v="2814.83"/>
    <s v="Debit Card"/>
    <s v="Amit"/>
    <s v="High"/>
  </r>
  <r>
    <s v="ORD00094"/>
    <d v="2024-06-27T00:00:00"/>
    <x v="0"/>
    <s v="2024-07-01"/>
    <s v="CUST6688"/>
    <x v="1"/>
    <x v="3"/>
    <s v="Uttar Pradesh"/>
    <s v="Mumbai"/>
    <s v="Retail Store"/>
    <x v="0"/>
    <s v="Product-45"/>
    <n v="2.31"/>
    <n v="1761.41"/>
    <n v="3615.27"/>
    <n v="0.05"/>
    <n v="3904.11"/>
    <n v="3336.68"/>
    <n v="567.43000000000029"/>
    <s v="Credit Card"/>
    <s v="Pooja"/>
    <s v="Low"/>
  </r>
  <r>
    <s v="ORD00051"/>
    <d v="2024-05-08T00:00:00"/>
    <x v="7"/>
    <s v="2024-05-13"/>
    <s v="CUST5920"/>
    <x v="1"/>
    <x v="2"/>
    <s v="Tamil Nadu"/>
    <s v="Bengaluru"/>
    <s v="Online"/>
    <x v="1"/>
    <s v="Product-1"/>
    <n v="10.55"/>
    <n v="1585.83"/>
    <n v="20235"/>
    <n v="0"/>
    <n v="17817.580000000002"/>
    <n v="11949.44"/>
    <n v="5868.1400000000012"/>
    <s v="UPI"/>
    <s v="Karan"/>
    <s v="Medium"/>
  </r>
  <r>
    <s v="ORD00073"/>
    <d v="2024-09-22T00:00:00"/>
    <x v="3"/>
    <s v="2024-09-24"/>
    <s v="CUST4155"/>
    <x v="2"/>
    <x v="0"/>
    <s v="Karnataka"/>
    <s v="Delhi"/>
    <s v="Retail Store"/>
    <x v="1"/>
    <s v="Product-30"/>
    <n v="6.05"/>
    <n v="1750.48"/>
    <n v="9860.0400000000009"/>
    <n v="0.05"/>
    <n v="10461.879999999999"/>
    <n v="6834.45"/>
    <n v="3627.4299999999994"/>
    <s v="Debit Card"/>
    <s v="Pooja"/>
    <s v="Medium"/>
  </r>
  <r>
    <s v="ORD00202"/>
    <d v="2024-03-18T00:00:00"/>
    <x v="8"/>
    <s v="2024-03-20"/>
    <s v="CUST7489"/>
    <x v="1"/>
    <x v="3"/>
    <s v="Maharashtra"/>
    <s v="Noida"/>
    <s v="Online"/>
    <x v="0"/>
    <s v="Product-20"/>
    <n v="4.25"/>
    <n v="420.98"/>
    <n v="1716.81"/>
    <n v="0.13"/>
    <n v="1198.01"/>
    <n v="931.63"/>
    <n v="266.38"/>
    <s v="Debit Card"/>
    <s v="Rohit"/>
    <s v="High"/>
  </r>
  <r>
    <s v="ORD00141"/>
    <d v="2024-09-23T00:00:00"/>
    <x v="3"/>
    <s v="2024-09-27"/>
    <s v="CUST9077"/>
    <x v="2"/>
    <x v="0"/>
    <s v="Tamil Nadu"/>
    <s v="Chennai"/>
    <s v="Online"/>
    <x v="1"/>
    <s v="Product-18"/>
    <n v="12.75"/>
    <n v="3409.98"/>
    <n v="41071.160000000003"/>
    <n v="0.09"/>
    <n v="31769.279999999999"/>
    <n v="21712.54"/>
    <n v="10056.739999999998"/>
    <s v="Credit Card"/>
    <s v="Neha"/>
    <s v="High"/>
  </r>
  <r>
    <s v="ORD00057"/>
    <d v="2024-07-12T00:00:00"/>
    <x v="5"/>
    <s v="2024-07-19"/>
    <s v="CUST1047"/>
    <x v="2"/>
    <x v="3"/>
    <s v="Delhi"/>
    <s v="Bengaluru"/>
    <s v="Retail Store"/>
    <x v="0"/>
    <s v="Product-36"/>
    <n v="5.73"/>
    <n v="3351.35"/>
    <n v="21532.21"/>
    <n v="0.16"/>
    <n v="18792.07"/>
    <n v="11303.89"/>
    <n v="7488.18"/>
    <s v="Credit Card"/>
    <s v="Pooja"/>
    <s v="Medium"/>
  </r>
  <r>
    <s v="ORD00068"/>
    <d v="2024-09-04T00:00:00"/>
    <x v="3"/>
    <s v="2024-09-05"/>
    <s v="CUST3532"/>
    <x v="1"/>
    <x v="0"/>
    <s v="Maharashtra"/>
    <s v="Chennai"/>
    <s v="B2B"/>
    <x v="2"/>
    <s v="Product-27"/>
    <n v="6.54"/>
    <n v="765.48"/>
    <n v="5342.46"/>
    <n v="0.17"/>
    <n v="4751.8100000000004"/>
    <n v="3395.19"/>
    <n v="1356.6200000000003"/>
    <s v="Debit Card"/>
    <s v="Rohit"/>
    <s v="Medium"/>
  </r>
  <r>
    <s v="ORD00038"/>
    <d v="2024-11-19T00:00:00"/>
    <x v="4"/>
    <s v="2024-11-25"/>
    <s v="CUST5987"/>
    <x v="1"/>
    <x v="2"/>
    <s v="Delhi"/>
    <s v="Chennai"/>
    <s v="Online"/>
    <x v="2"/>
    <s v="Product-18"/>
    <n v="4.18"/>
    <n v="681"/>
    <n v="2561.77"/>
    <n v="0.05"/>
    <n v="2384.2199999999998"/>
    <n v="1553.94"/>
    <n v="830.27999999999975"/>
    <s v="UPI"/>
    <s v="Neha"/>
    <s v="High"/>
  </r>
  <r>
    <s v="ORD00189"/>
    <d v="2024-03-11T00:00:00"/>
    <x v="8"/>
    <s v="2024-03-14"/>
    <s v="CUST4645"/>
    <x v="1"/>
    <x v="1"/>
    <s v="Delhi"/>
    <s v="Mumbai"/>
    <s v="B2B"/>
    <x v="1"/>
    <s v="Product-24"/>
    <n v="5.96"/>
    <n v="1818.96"/>
    <n v="13320.13"/>
    <n v="0"/>
    <n v="12448.82"/>
    <n v="8921.81"/>
    <n v="3527.01"/>
    <s v="Net Banking"/>
    <s v="Rohit"/>
    <s v="High"/>
  </r>
  <r>
    <s v="ORD00046"/>
    <d v="2024-03-23T00:00:00"/>
    <x v="8"/>
    <s v="2024-03-24"/>
    <s v="CUST8421"/>
    <x v="0"/>
    <x v="1"/>
    <s v="Tamil Nadu"/>
    <s v="Mumbai"/>
    <s v="B2B"/>
    <x v="0"/>
    <s v="Product-16"/>
    <n v="3.77"/>
    <n v="1919.4"/>
    <n v="7733.34"/>
    <n v="0.16"/>
    <n v="6429.11"/>
    <n v="4933.76"/>
    <n v="1495.3499999999995"/>
    <s v="UPI"/>
    <s v="Neha"/>
    <s v="Medium"/>
  </r>
  <r>
    <s v="ORD00284"/>
    <d v="2024-04-12T00:00:00"/>
    <x v="6"/>
    <s v="2024-04-19"/>
    <s v="CUST4597"/>
    <x v="1"/>
    <x v="0"/>
    <s v="Uttar Pradesh"/>
    <s v="Noida"/>
    <s v="Retail Store"/>
    <x v="2"/>
    <s v="Product-3"/>
    <n v="1.03"/>
    <n v="550.26"/>
    <n v="470.93"/>
    <n v="0"/>
    <n v="474.27"/>
    <n v="387.9"/>
    <n v="86.37"/>
    <s v="Credit Card"/>
    <s v="Pooja"/>
    <s v="Low"/>
  </r>
  <r>
    <s v="ORD00237"/>
    <d v="2024-09-29T00:00:00"/>
    <x v="3"/>
    <s v="2024-09-30"/>
    <s v="CUST4599"/>
    <x v="0"/>
    <x v="3"/>
    <s v="Maharashtra"/>
    <s v="Mumbai"/>
    <s v="B2B"/>
    <x v="1"/>
    <s v="Product-30"/>
    <n v="7.51"/>
    <n v="3394.72"/>
    <n v="20082.14"/>
    <n v="0.12"/>
    <n v="24263.51"/>
    <n v="11496.08"/>
    <n v="12767.429999999998"/>
    <s v="Net Banking"/>
    <s v="Pooja"/>
    <s v="Low"/>
  </r>
  <r>
    <s v="ORD00180"/>
    <d v="2024-07-26T00:00:00"/>
    <x v="5"/>
    <s v="2024-08-02"/>
    <s v="CUST8972"/>
    <x v="2"/>
    <x v="0"/>
    <s v="Delhi"/>
    <s v="Bengaluru"/>
    <s v="Retail Store"/>
    <x v="0"/>
    <s v="Product-8"/>
    <n v="4.45"/>
    <n v="720.31"/>
    <n v="2934.7"/>
    <n v="0.1"/>
    <n v="2241.36"/>
    <n v="1662.99"/>
    <n v="578.37000000000012"/>
    <s v="Debit Card"/>
    <s v="Pooja"/>
    <s v="Low"/>
  </r>
  <r>
    <s v="ORD00119"/>
    <d v="2024-09-24T00:00:00"/>
    <x v="3"/>
    <s v="2024-09-25"/>
    <s v="CUST7629"/>
    <x v="0"/>
    <x v="0"/>
    <s v="Delhi"/>
    <s v="Chennai"/>
    <s v="B2B"/>
    <x v="1"/>
    <s v="Product-43"/>
    <n v="2.52"/>
    <n v="2763.43"/>
    <n v="6128.52"/>
    <n v="0.15"/>
    <n v="5065.6899999999996"/>
    <n v="3359.87"/>
    <n v="1705.8199999999997"/>
    <s v="Credit Card"/>
    <s v="Pooja"/>
    <s v="Medium"/>
  </r>
  <r>
    <s v="ORD00219"/>
    <d v="2024-09-11T00:00:00"/>
    <x v="3"/>
    <s v="2024-09-12"/>
    <s v="CUST5472"/>
    <x v="1"/>
    <x v="2"/>
    <s v="Delhi"/>
    <s v="Bengaluru"/>
    <s v="Retail Store"/>
    <x v="0"/>
    <s v="Product-3"/>
    <n v="6.52"/>
    <n v="3576.81"/>
    <n v="22256.28"/>
    <n v="0.05"/>
    <n v="20474.650000000001"/>
    <n v="16164.54"/>
    <n v="4310.1100000000006"/>
    <s v="Credit Card"/>
    <s v="Karan"/>
    <s v="Low"/>
  </r>
  <r>
    <s v="ORD00018"/>
    <d v="2024-10-07T00:00:00"/>
    <x v="2"/>
    <s v="2024-10-12"/>
    <s v="CUST3281"/>
    <x v="0"/>
    <x v="2"/>
    <s v="Maharashtra"/>
    <s v="Delhi"/>
    <s v="Retail Store"/>
    <x v="0"/>
    <s v="Product-19"/>
    <n v="2.7"/>
    <n v="512.63"/>
    <n v="1213.9100000000001"/>
    <n v="0"/>
    <n v="1330.73"/>
    <n v="923.11"/>
    <n v="407.62"/>
    <s v="Credit Card"/>
    <s v="Karan"/>
    <s v="Medium"/>
  </r>
  <r>
    <s v="ORD00079"/>
    <d v="2024-05-15T00:00:00"/>
    <x v="7"/>
    <s v="2024-05-16"/>
    <s v="CUST8422"/>
    <x v="1"/>
    <x v="0"/>
    <s v="Karnataka"/>
    <s v="Noida"/>
    <s v="B2B"/>
    <x v="2"/>
    <s v="Product-48"/>
    <n v="8.8699999999999992"/>
    <n v="609.15"/>
    <n v="5100.76"/>
    <n v="0.09"/>
    <n v="4666.9399999999996"/>
    <n v="3475.92"/>
    <n v="1191.0199999999995"/>
    <s v="Debit Card"/>
    <s v="Rohit"/>
    <s v="Medium"/>
  </r>
  <r>
    <s v="ORD00279"/>
    <d v="2024-08-31T00:00:00"/>
    <x v="9"/>
    <s v="2024-09-07"/>
    <s v="CUST4428"/>
    <x v="0"/>
    <x v="3"/>
    <s v="Delhi"/>
    <s v="Mumbai"/>
    <s v="B2B"/>
    <x v="2"/>
    <s v="Product-34"/>
    <n v="2.93"/>
    <n v="2927.57"/>
    <n v="9180.09"/>
    <n v="0.1"/>
    <n v="7706.62"/>
    <n v="6544.74"/>
    <n v="1161.8800000000001"/>
    <s v="Net Banking"/>
    <s v="Pooja"/>
    <s v="Low"/>
  </r>
  <r>
    <s v="ORD00061"/>
    <d v="2024-09-09T00:00:00"/>
    <x v="3"/>
    <s v="2024-09-11"/>
    <s v="CUST3479"/>
    <x v="1"/>
    <x v="2"/>
    <s v="Karnataka"/>
    <s v="Bengaluru"/>
    <s v="Retail Store"/>
    <x v="2"/>
    <s v="Product-39"/>
    <n v="7.85"/>
    <n v="1150.68"/>
    <n v="7009.63"/>
    <n v="0.09"/>
    <n v="6554.77"/>
    <n v="5336.63"/>
    <n v="1218.1400000000003"/>
    <s v="UPI"/>
    <s v="Karan"/>
    <s v="Low"/>
  </r>
  <r>
    <s v="ORD00271"/>
    <d v="2024-07-15T00:00:00"/>
    <x v="5"/>
    <s v="2024-07-20"/>
    <s v="CUST4667"/>
    <x v="0"/>
    <x v="0"/>
    <s v="Karnataka"/>
    <s v="Noida"/>
    <s v="Online"/>
    <x v="2"/>
    <s v="Product-2"/>
    <n v="5.4"/>
    <n v="2488.61"/>
    <n v="13794.62"/>
    <n v="0.09"/>
    <n v="11973.83"/>
    <n v="9364.2900000000009"/>
    <n v="2609.5399999999991"/>
    <s v="UPI"/>
    <s v="Amit"/>
    <s v="Medium"/>
  </r>
  <r>
    <s v="ORD00156"/>
    <d v="2024-08-22T00:00:00"/>
    <x v="9"/>
    <s v="2024-08-25"/>
    <s v="CUST7299"/>
    <x v="1"/>
    <x v="3"/>
    <s v="Delhi"/>
    <s v="Chennai"/>
    <s v="Retail Store"/>
    <x v="2"/>
    <s v="Product-20"/>
    <n v="12.13"/>
    <n v="1441.85"/>
    <n v="16740.330000000002"/>
    <n v="0.1"/>
    <n v="15576.73"/>
    <n v="11252.44"/>
    <n v="4324.2899999999991"/>
    <s v="Credit Card"/>
    <s v="Karan"/>
    <s v="Medium"/>
  </r>
  <r>
    <s v="ORD00187"/>
    <d v="2024-08-12T00:00:00"/>
    <x v="9"/>
    <s v="2024-08-13"/>
    <s v="CUST3694"/>
    <x v="0"/>
    <x v="3"/>
    <s v="Delhi"/>
    <s v="Chennai"/>
    <s v="B2B"/>
    <x v="1"/>
    <s v="Product-23"/>
    <n v="10.81"/>
    <n v="3162.24"/>
    <n v="44941.73"/>
    <n v="0.05"/>
    <n v="39140.35"/>
    <n v="30518.98"/>
    <n v="8621.369999999999"/>
    <s v="Credit Card"/>
    <s v="Pooja"/>
    <s v="Low"/>
  </r>
  <r>
    <s v="ORD00148"/>
    <d v="2024-09-28T00:00:00"/>
    <x v="3"/>
    <s v="2024-09-30"/>
    <s v="CUST1341"/>
    <x v="2"/>
    <x v="2"/>
    <s v="Tamil Nadu"/>
    <s v="Chennai"/>
    <s v="Retail Store"/>
    <x v="1"/>
    <s v="Product-3"/>
    <n v="1.99"/>
    <n v="1371.89"/>
    <n v="2826.88"/>
    <n v="0.05"/>
    <n v="2875.22"/>
    <n v="1859.71"/>
    <n v="1015.5099999999998"/>
    <s v="UPI"/>
    <s v="Amit"/>
    <s v="High"/>
  </r>
  <r>
    <s v="ORD00021"/>
    <d v="2024-05-07T00:00:00"/>
    <x v="7"/>
    <s v="2024-05-09"/>
    <s v="CUST1456"/>
    <x v="2"/>
    <x v="1"/>
    <s v="Karnataka"/>
    <s v="Noida"/>
    <s v="B2B"/>
    <x v="1"/>
    <s v="Product-33"/>
    <n v="5.01"/>
    <n v="635.91999999999996"/>
    <n v="3067.3"/>
    <n v="0"/>
    <n v="2306.15"/>
    <n v="2214.13"/>
    <n v="92.019999999999982"/>
    <s v="Credit Card"/>
    <s v="Rohit"/>
    <s v="Medium"/>
  </r>
  <r>
    <s v="ORD00146"/>
    <d v="2024-10-20T00:00:00"/>
    <x v="2"/>
    <s v="2024-10-24"/>
    <s v="CUST7369"/>
    <x v="1"/>
    <x v="1"/>
    <s v="Uttar Pradesh"/>
    <s v="Noida"/>
    <s v="B2B"/>
    <x v="0"/>
    <s v="Product-26"/>
    <n v="13.13"/>
    <n v="1501.85"/>
    <n v="18320.150000000001"/>
    <n v="0"/>
    <n v="19319.04"/>
    <n v="15208.48"/>
    <n v="4110.5600000000013"/>
    <s v="UPI"/>
    <s v="Rohit"/>
    <s v="Medium"/>
  </r>
  <r>
    <s v="ORD00179"/>
    <d v="2024-06-28T00:00:00"/>
    <x v="0"/>
    <s v="2024-07-04"/>
    <s v="CUST4944"/>
    <x v="0"/>
    <x v="0"/>
    <s v="Uttar Pradesh"/>
    <s v="Chennai"/>
    <s v="Online"/>
    <x v="1"/>
    <s v="Product-43"/>
    <n v="4.9000000000000004"/>
    <n v="769.29"/>
    <n v="4272.12"/>
    <n v="0.05"/>
    <n v="3677.69"/>
    <n v="2937.93"/>
    <n v="739.76000000000022"/>
    <s v="Credit Card"/>
    <s v="Karan"/>
    <s v="Medium"/>
  </r>
  <r>
    <s v="ORD00117"/>
    <d v="2024-11-09T00:00:00"/>
    <x v="4"/>
    <s v="2024-11-13"/>
    <s v="CUST8501"/>
    <x v="1"/>
    <x v="2"/>
    <s v="Delhi"/>
    <s v="Mumbai"/>
    <s v="Online"/>
    <x v="2"/>
    <s v="Product-50"/>
    <n v="10.74"/>
    <n v="899.14"/>
    <n v="8237.61"/>
    <n v="0"/>
    <n v="8662.83"/>
    <n v="5632.37"/>
    <n v="3030.46"/>
    <s v="UPI"/>
    <s v="Amit"/>
    <s v="Medium"/>
  </r>
  <r>
    <s v="ORD00072"/>
    <d v="2024-11-21T00:00:00"/>
    <x v="4"/>
    <s v="2024-11-25"/>
    <s v="CUST4638"/>
    <x v="1"/>
    <x v="1"/>
    <s v="Uttar Pradesh"/>
    <s v="Mumbai"/>
    <s v="Retail Store"/>
    <x v="0"/>
    <s v="Product-37"/>
    <n v="2.08"/>
    <n v="3339.58"/>
    <n v="6520.79"/>
    <n v="0.05"/>
    <n v="6578.22"/>
    <n v="4925.7700000000004"/>
    <n v="1652.4499999999998"/>
    <s v="Credit Card"/>
    <s v="Amit"/>
    <s v="Medium"/>
  </r>
  <r>
    <s v="ORD00297"/>
    <d v="2024-06-20T00:00:00"/>
    <x v="0"/>
    <s v="2024-06-23"/>
    <s v="CUST2466"/>
    <x v="2"/>
    <x v="3"/>
    <s v="Karnataka"/>
    <s v="Mumbai"/>
    <s v="Online"/>
    <x v="0"/>
    <s v="Product-31"/>
    <n v="10.64"/>
    <n v="472.95"/>
    <n v="4076.2"/>
    <n v="0.05"/>
    <n v="3778.83"/>
    <n v="2674.9"/>
    <n v="1103.9299999999998"/>
    <s v="UPI"/>
    <s v="Amit"/>
    <s v="Medium"/>
  </r>
  <r>
    <s v="ORD00099"/>
    <d v="2024-02-22T00:00:00"/>
    <x v="1"/>
    <s v="2024-02-24"/>
    <s v="CUST3430"/>
    <x v="0"/>
    <x v="3"/>
    <s v="Tamil Nadu"/>
    <s v="Bengaluru"/>
    <s v="Online"/>
    <x v="0"/>
    <s v="Product-41"/>
    <n v="10.46"/>
    <n v="758.18"/>
    <n v="7906.22"/>
    <n v="0.14000000000000001"/>
    <n v="6580.62"/>
    <n v="3908.06"/>
    <n v="2672.56"/>
    <s v="UPI"/>
    <s v="Rohit"/>
    <s v="Low"/>
  </r>
  <r>
    <s v="ORD00188"/>
    <d v="2024-10-04T00:00:00"/>
    <x v="2"/>
    <s v="2024-10-07"/>
    <s v="CUST2334"/>
    <x v="2"/>
    <x v="3"/>
    <s v="Uttar Pradesh"/>
    <s v="Bengaluru"/>
    <s v="B2B"/>
    <x v="1"/>
    <s v="Product-27"/>
    <n v="8.32"/>
    <n v="2009.25"/>
    <n v="15102.52"/>
    <n v="0.05"/>
    <n v="15446.77"/>
    <n v="13253.75"/>
    <n v="2193.0200000000004"/>
    <s v="Debit Card"/>
    <s v="Pooja"/>
    <s v="High"/>
  </r>
  <r>
    <s v="ORD00257"/>
    <d v="2024-07-20T00:00:00"/>
    <x v="5"/>
    <s v="2024-07-27"/>
    <s v="CUST5440"/>
    <x v="2"/>
    <x v="1"/>
    <s v="Tamil Nadu"/>
    <s v="Noida"/>
    <s v="Online"/>
    <x v="0"/>
    <s v="Product-14"/>
    <n v="7.84"/>
    <n v="2132.29"/>
    <n v="18459.34"/>
    <n v="0.11"/>
    <n v="15636.04"/>
    <n v="12507.24"/>
    <n v="3128.8000000000011"/>
    <s v="UPI"/>
    <s v="Pooja"/>
    <s v="Low"/>
  </r>
  <r>
    <s v="ORD00117"/>
    <d v="2024-11-09T00:00:00"/>
    <x v="4"/>
    <s v="2024-11-13"/>
    <s v="CUST8501"/>
    <x v="1"/>
    <x v="2"/>
    <s v="Delhi"/>
    <s v="Mumbai"/>
    <s v="Online"/>
    <x v="2"/>
    <s v="Product-50"/>
    <n v="10.18"/>
    <n v="843.38"/>
    <n v="7940.77"/>
    <n v="0"/>
    <n v="8364"/>
    <n v="5835.5"/>
    <n v="2528.5"/>
    <s v="UPI"/>
    <s v="Amit"/>
    <s v="Medium"/>
  </r>
  <r>
    <s v="ORD00221"/>
    <d v="2024-08-04T00:00:00"/>
    <x v="9"/>
    <s v="2024-08-07"/>
    <s v="CUST7314"/>
    <x v="0"/>
    <x v="2"/>
    <s v="Delhi"/>
    <s v="Mumbai"/>
    <s v="B2B"/>
    <x v="1"/>
    <s v="Product-17"/>
    <n v="9.3800000000000008"/>
    <n v="1866.29"/>
    <n v="15928.59"/>
    <n v="0.05"/>
    <n v="13540.34"/>
    <n v="9230.1"/>
    <n v="4310.24"/>
    <s v="Net Banking"/>
    <s v="Neha"/>
    <s v="Low"/>
  </r>
  <r>
    <s v="ORD00189"/>
    <d v="2024-03-11T00:00:00"/>
    <x v="8"/>
    <s v="2024-03-14"/>
    <s v="CUST4645"/>
    <x v="1"/>
    <x v="1"/>
    <s v="Delhi"/>
    <s v="Mumbai"/>
    <s v="B2B"/>
    <x v="1"/>
    <s v="Product-24"/>
    <n v="5.72"/>
    <n v="2248.39"/>
    <n v="11094.18"/>
    <n v="0"/>
    <n v="13135.67"/>
    <n v="9283.84"/>
    <n v="3851.83"/>
    <s v="Net Banking"/>
    <s v="Rohit"/>
    <s v="High"/>
  </r>
  <r>
    <s v="ORD00247"/>
    <d v="2024-02-18T00:00:00"/>
    <x v="1"/>
    <s v="2024-02-19"/>
    <s v="CUST9864"/>
    <x v="2"/>
    <x v="3"/>
    <s v="Tamil Nadu"/>
    <s v="Mumbai"/>
    <s v="Online"/>
    <x v="1"/>
    <s v="Product-35"/>
    <n v="4.24"/>
    <n v="724.87"/>
    <n v="3300.18"/>
    <n v="0.16"/>
    <n v="2589.59"/>
    <n v="1842.9"/>
    <n v="746.69"/>
    <s v="UPI"/>
    <s v="Karan"/>
    <s v="Medium"/>
  </r>
  <r>
    <s v="ORD00291"/>
    <d v="2024-10-02T00:00:00"/>
    <x v="2"/>
    <s v="2024-10-03"/>
    <s v="CUST6385"/>
    <x v="2"/>
    <x v="2"/>
    <s v="Karnataka"/>
    <s v="Delhi"/>
    <s v="B2B"/>
    <x v="0"/>
    <s v="Product-7"/>
    <n v="7.12"/>
    <n v="1116.97"/>
    <n v="7117.03"/>
    <n v="0.12"/>
    <n v="6082.64"/>
    <n v="5127.55"/>
    <n v="955.09000000000015"/>
    <s v="UPI"/>
    <s v="Rohit"/>
    <s v="Medium"/>
  </r>
  <r>
    <s v="ORD00105"/>
    <d v="2024-11-22T00:00:00"/>
    <x v="4"/>
    <s v="2024-11-23"/>
    <s v="CUST2231"/>
    <x v="0"/>
    <x v="1"/>
    <s v="Karnataka"/>
    <s v="Noida"/>
    <s v="Retail Store"/>
    <x v="0"/>
    <s v="Product-15"/>
    <n v="5.09"/>
    <n v="1149.1400000000001"/>
    <n v="6662.11"/>
    <n v="0.16"/>
    <n v="4777.71"/>
    <n v="3072.83"/>
    <n v="1704.88"/>
    <s v="Debit Card"/>
    <s v="Pooja"/>
    <s v="High"/>
  </r>
  <r>
    <s v="ORD00238"/>
    <d v="2024-04-14T00:00:00"/>
    <x v="6"/>
    <s v="2024-04-15"/>
    <s v="CUST2178"/>
    <x v="1"/>
    <x v="1"/>
    <s v="Maharashtra"/>
    <s v="Delhi"/>
    <s v="B2B"/>
    <x v="1"/>
    <s v="Product-48"/>
    <n v="2.88"/>
    <n v="1772.99"/>
    <n v="5326.16"/>
    <n v="0"/>
    <n v="4897.71"/>
    <n v="3011.46"/>
    <n v="1886.25"/>
    <s v="Credit Card"/>
    <s v="Pooja"/>
    <s v="Low"/>
  </r>
  <r>
    <s v="ORD00146"/>
    <d v="2024-10-20T00:00:00"/>
    <x v="2"/>
    <s v="2024-10-24"/>
    <s v="CUST7369"/>
    <x v="1"/>
    <x v="1"/>
    <s v="Uttar Pradesh"/>
    <s v="Noida"/>
    <s v="B2B"/>
    <x v="0"/>
    <s v="Product-26"/>
    <n v="11.79"/>
    <n v="1517.64"/>
    <n v="16695"/>
    <n v="0"/>
    <n v="17138.669999999998"/>
    <n v="15664.95"/>
    <n v="1473.7199999999975"/>
    <s v="UPI"/>
    <s v="Rohit"/>
    <s v="Medium"/>
  </r>
  <r>
    <s v="ORD00044"/>
    <d v="2024-01-15T00:00:00"/>
    <x v="10"/>
    <s v="2024-01-22"/>
    <s v="CUST1810"/>
    <x v="1"/>
    <x v="1"/>
    <s v="Tamil Nadu"/>
    <s v="Noida"/>
    <s v="Online"/>
    <x v="1"/>
    <s v="Product-19"/>
    <n v="12.26"/>
    <n v="1573.09"/>
    <n v="15432.33"/>
    <n v="0.05"/>
    <n v="14853.3"/>
    <n v="14290.39"/>
    <n v="562.90999999999985"/>
    <s v="Net Banking"/>
    <s v="Amit"/>
    <s v="High"/>
  </r>
  <r>
    <s v="ORD00177"/>
    <d v="2024-04-15T00:00:00"/>
    <x v="6"/>
    <s v="2024-04-19"/>
    <s v="CUST4101"/>
    <x v="2"/>
    <x v="3"/>
    <s v="Maharashtra"/>
    <s v="Noida"/>
    <s v="Online"/>
    <x v="1"/>
    <s v="Product-16"/>
    <n v="11.06"/>
    <n v="1835.73"/>
    <n v="24013.94"/>
    <n v="0.05"/>
    <n v="18773.400000000001"/>
    <n v="13730.67"/>
    <n v="5042.7300000000014"/>
    <s v="Debit Card"/>
    <s v="Neha"/>
    <s v="Low"/>
  </r>
  <r>
    <s v="ORD00299"/>
    <d v="2024-05-08T00:00:00"/>
    <x v="7"/>
    <s v="2024-05-11"/>
    <s v="CUST3716"/>
    <x v="0"/>
    <x v="1"/>
    <s v="Delhi"/>
    <s v="Mumbai"/>
    <s v="B2B"/>
    <x v="0"/>
    <s v="Product-15"/>
    <n v="6.22"/>
    <n v="935.5"/>
    <n v="5829.85"/>
    <n v="0"/>
    <n v="4978.43"/>
    <n v="4898.16"/>
    <n v="80.270000000000437"/>
    <s v="Net Banking"/>
    <s v="Rohit"/>
    <s v="Low"/>
  </r>
  <r>
    <s v="ORD00219"/>
    <d v="2024-09-11T00:00:00"/>
    <x v="3"/>
    <s v="2024-09-12"/>
    <s v="CUST5472"/>
    <x v="1"/>
    <x v="2"/>
    <s v="Delhi"/>
    <s v="Bengaluru"/>
    <s v="Retail Store"/>
    <x v="0"/>
    <s v="Product-3"/>
    <n v="5.68"/>
    <n v="3896.87"/>
    <n v="18333.43"/>
    <n v="0.05"/>
    <n v="20874.27"/>
    <n v="15291.44"/>
    <n v="5582.83"/>
    <s v="Credit Card"/>
    <s v="Karan"/>
    <s v="Low"/>
  </r>
  <r>
    <s v="ORD00122"/>
    <d v="2024-05-10T00:00:00"/>
    <x v="7"/>
    <s v="2024-05-11"/>
    <s v="CUST2305"/>
    <x v="0"/>
    <x v="3"/>
    <s v="Karnataka"/>
    <s v="Noida"/>
    <s v="Online"/>
    <x v="2"/>
    <s v="Product-39"/>
    <n v="10.92"/>
    <n v="435.06"/>
    <n v="5813.46"/>
    <n v="0"/>
    <n v="5544.2"/>
    <n v="3130.88"/>
    <n v="2413.3199999999997"/>
    <s v="UPI"/>
    <s v="Rohit"/>
    <s v="Medium"/>
  </r>
  <r>
    <s v="ORD00148"/>
    <d v="2024-09-28T00:00:00"/>
    <x v="3"/>
    <s v="2024-09-30"/>
    <s v="CUST1341"/>
    <x v="2"/>
    <x v="2"/>
    <s v="Tamil Nadu"/>
    <s v="Chennai"/>
    <s v="Retail Store"/>
    <x v="1"/>
    <s v="Product-3"/>
    <n v="2.0299999999999998"/>
    <n v="1329.17"/>
    <n v="2864.34"/>
    <n v="0.05"/>
    <n v="2680.17"/>
    <n v="2123.1799999999998"/>
    <n v="556.99000000000024"/>
    <s v="UPI"/>
    <s v="Amit"/>
    <s v="High"/>
  </r>
  <r>
    <s v="ORD00225"/>
    <d v="2024-07-05T00:00:00"/>
    <x v="5"/>
    <s v="2024-07-10"/>
    <s v="CUST3823"/>
    <x v="2"/>
    <x v="1"/>
    <s v="Maharashtra"/>
    <s v="Delhi"/>
    <s v="Retail Store"/>
    <x v="2"/>
    <s v="Product-24"/>
    <n v="3.8"/>
    <n v="2075.13"/>
    <n v="8633"/>
    <n v="0.09"/>
    <n v="7566.13"/>
    <n v="4540.3999999999996"/>
    <n v="3025.7300000000005"/>
    <s v="Net Banking"/>
    <s v="Amit"/>
    <s v="Medium"/>
  </r>
  <r>
    <s v="ORD00164"/>
    <d v="2024-05-21T00:00:00"/>
    <x v="7"/>
    <s v="2024-05-23"/>
    <s v="CUST2032"/>
    <x v="0"/>
    <x v="2"/>
    <s v="Tamil Nadu"/>
    <s v="Noida"/>
    <s v="Retail Store"/>
    <x v="0"/>
    <s v="Product-4"/>
    <n v="1"/>
    <n v="1357.75"/>
    <n v="1224.48"/>
    <n v="0"/>
    <n v="1314.85"/>
    <n v="981.97"/>
    <n v="332.87999999999988"/>
    <s v="Credit Card"/>
    <s v="Pooja"/>
    <s v="High"/>
  </r>
  <r>
    <s v="ORD00083"/>
    <d v="2024-01-08T00:00:00"/>
    <x v="10"/>
    <s v="2024-01-15"/>
    <s v="CUST3370"/>
    <x v="1"/>
    <x v="3"/>
    <s v="Tamil Nadu"/>
    <s v="Bengaluru"/>
    <s v="Online"/>
    <x v="0"/>
    <s v="Product-42"/>
    <n v="3.62"/>
    <n v="2720.65"/>
    <n v="9898.09"/>
    <n v="0.16"/>
    <n v="8594.98"/>
    <n v="5431.77"/>
    <n v="3163.2099999999991"/>
    <s v="Debit Card"/>
    <s v="Karan"/>
    <s v="High"/>
  </r>
  <r>
    <s v="ORD00126"/>
    <d v="2024-02-13T00:00:00"/>
    <x v="1"/>
    <s v="2024-02-18"/>
    <s v="CUST4834"/>
    <x v="0"/>
    <x v="0"/>
    <s v="Tamil Nadu"/>
    <s v="Chennai"/>
    <s v="B2B"/>
    <x v="0"/>
    <s v="Product-17"/>
    <n v="9.49"/>
    <n v="2070.77"/>
    <n v="15919.22"/>
    <n v="0.16"/>
    <n v="15259.08"/>
    <n v="9271.33"/>
    <n v="5987.75"/>
    <s v="UPI"/>
    <s v="Pooja"/>
    <s v="Medium"/>
  </r>
  <r>
    <s v="ORD00198"/>
    <d v="2024-09-27T00:00:00"/>
    <x v="3"/>
    <s v="2024-09-29"/>
    <s v="CUST6914"/>
    <x v="1"/>
    <x v="1"/>
    <s v="Karnataka"/>
    <s v="Noida"/>
    <s v="Retail Store"/>
    <x v="2"/>
    <s v="Product-23"/>
    <n v="5.38"/>
    <n v="3170.53"/>
    <n v="17199.05"/>
    <n v="0"/>
    <n v="17099.830000000002"/>
    <n v="9901.23"/>
    <n v="7198.6000000000022"/>
    <s v="Debit Card"/>
    <s v="Amit"/>
    <s v="Medium"/>
  </r>
  <r>
    <s v="ORD00071"/>
    <d v="2024-03-15T00:00:00"/>
    <x v="8"/>
    <s v="2024-03-18"/>
    <s v="CUST2782"/>
    <x v="0"/>
    <x v="1"/>
    <s v="Maharashtra"/>
    <s v="Bengaluru"/>
    <s v="Online"/>
    <x v="0"/>
    <s v="Product-31"/>
    <n v="4.67"/>
    <n v="966.91"/>
    <n v="4725.6000000000004"/>
    <n v="0.05"/>
    <n v="4706.04"/>
    <n v="3576.69"/>
    <n v="1129.3499999999999"/>
    <s v="Debit Card"/>
    <s v="Amit"/>
    <s v="High"/>
  </r>
  <r>
    <s v="ORD00187"/>
    <d v="2024-08-12T00:00:00"/>
    <x v="9"/>
    <s v="2024-08-13"/>
    <s v="CUST3694"/>
    <x v="0"/>
    <x v="3"/>
    <s v="Delhi"/>
    <s v="Chennai"/>
    <s v="B2B"/>
    <x v="1"/>
    <s v="Product-23"/>
    <n v="10.71"/>
    <n v="3518.44"/>
    <n v="39909.279999999999"/>
    <n v="0.05"/>
    <n v="34195.61"/>
    <n v="27662.98"/>
    <n v="6532.630000000001"/>
    <s v="Credit Card"/>
    <s v="Pooja"/>
    <s v="Low"/>
  </r>
  <r>
    <s v="ORD00072"/>
    <d v="2024-11-21T00:00:00"/>
    <x v="4"/>
    <s v="2024-11-25"/>
    <s v="CUST4638"/>
    <x v="1"/>
    <x v="1"/>
    <s v="Uttar Pradesh"/>
    <s v="Mumbai"/>
    <s v="Retail Store"/>
    <x v="0"/>
    <s v="Product-37"/>
    <n v="2.0699999999999998"/>
    <n v="2662.05"/>
    <n v="5722.2"/>
    <n v="0.05"/>
    <n v="5421.5"/>
    <n v="4535.6099999999997"/>
    <n v="885.89000000000033"/>
    <s v="Credit Card"/>
    <s v="Amit"/>
    <s v="Medium"/>
  </r>
  <r>
    <s v="ORD00151"/>
    <d v="2024-02-14T00:00:00"/>
    <x v="1"/>
    <s v="2024-02-20"/>
    <s v="CUST4630"/>
    <x v="1"/>
    <x v="1"/>
    <s v="Maharashtra"/>
    <s v="Noida"/>
    <s v="B2B"/>
    <x v="2"/>
    <s v="Product-30"/>
    <n v="10.95"/>
    <n v="1115.81"/>
    <n v="10497.23"/>
    <n v="0.17"/>
    <n v="10444.56"/>
    <n v="6574.55"/>
    <n v="3870.0099999999993"/>
    <s v="Debit Card"/>
    <s v="Karan"/>
    <s v="Medium"/>
  </r>
  <r>
    <s v="ORD00230"/>
    <d v="2024-11-07T00:00:00"/>
    <x v="4"/>
    <s v="2024-11-14"/>
    <s v="CUST3121"/>
    <x v="1"/>
    <x v="2"/>
    <s v="Uttar Pradesh"/>
    <s v="Bengaluru"/>
    <s v="Online"/>
    <x v="1"/>
    <s v="Product-14"/>
    <n v="4.53"/>
    <n v="1551.96"/>
    <n v="7637.71"/>
    <n v="0.16"/>
    <n v="6564.04"/>
    <n v="5076.7"/>
    <n v="1487.3400000000001"/>
    <s v="Debit Card"/>
    <s v="Amit"/>
    <s v="Low"/>
  </r>
  <r>
    <s v="ORD00128"/>
    <d v="2024-04-02T00:00:00"/>
    <x v="6"/>
    <s v="2024-04-09"/>
    <s v="CUST9474"/>
    <x v="2"/>
    <x v="2"/>
    <s v="Delhi"/>
    <s v="Chennai"/>
    <s v="Retail Store"/>
    <x v="0"/>
    <s v="Product-24"/>
    <n v="11.81"/>
    <n v="1197.8399999999999"/>
    <n v="15854.55"/>
    <n v="0.1"/>
    <n v="15743.76"/>
    <n v="10362.89"/>
    <n v="5380.8700000000008"/>
    <s v="Net Banking"/>
    <s v="Amit"/>
    <s v="Low"/>
  </r>
  <r>
    <s v="ORD00230"/>
    <d v="2024-11-07T00:00:00"/>
    <x v="4"/>
    <s v="2024-11-14"/>
    <s v="CUST3121"/>
    <x v="1"/>
    <x v="2"/>
    <s v="Uttar Pradesh"/>
    <s v="Bengaluru"/>
    <s v="Online"/>
    <x v="1"/>
    <s v="Product-14"/>
    <n v="4.9800000000000004"/>
    <n v="1382.02"/>
    <n v="6794.7"/>
    <n v="0.14000000000000001"/>
    <n v="6978.06"/>
    <n v="5688.62"/>
    <n v="1289.4400000000005"/>
    <s v="Debit Card"/>
    <s v="Amit"/>
    <s v="Low"/>
  </r>
  <r>
    <s v="ORD00160"/>
    <d v="2024-02-17T00:00:00"/>
    <x v="1"/>
    <s v="2024-02-19"/>
    <s v="CUST9398"/>
    <x v="2"/>
    <x v="0"/>
    <s v="Karnataka"/>
    <s v="Bengaluru"/>
    <s v="B2B"/>
    <x v="2"/>
    <s v="Product-41"/>
    <n v="5.66"/>
    <n v="1360.37"/>
    <n v="7801.44"/>
    <n v="0"/>
    <n v="7981.32"/>
    <n v="6643.78"/>
    <n v="1337.54"/>
    <s v="Credit Card"/>
    <s v="Karan"/>
    <s v="Medium"/>
  </r>
  <r>
    <s v="ORD00219"/>
    <d v="2024-09-11T00:00:00"/>
    <x v="3"/>
    <s v="2024-09-12"/>
    <s v="CUST5472"/>
    <x v="1"/>
    <x v="2"/>
    <s v="Delhi"/>
    <s v="Bengaluru"/>
    <s v="Retail Store"/>
    <x v="0"/>
    <s v="Product-3"/>
    <n v="5.74"/>
    <n v="3712.72"/>
    <n v="20342.3"/>
    <n v="0.05"/>
    <n v="18294.060000000001"/>
    <n v="16498.93"/>
    <n v="1795.130000000001"/>
    <s v="Credit Card"/>
    <s v="Karan"/>
    <s v="Low"/>
  </r>
  <r>
    <s v="ORD00214"/>
    <d v="2024-06-15T00:00:00"/>
    <x v="0"/>
    <s v="2024-06-22"/>
    <s v="CUST9169"/>
    <x v="2"/>
    <x v="2"/>
    <s v="Tamil Nadu"/>
    <s v="Bengaluru"/>
    <s v="Online"/>
    <x v="2"/>
    <s v="Product-19"/>
    <n v="7.03"/>
    <n v="2445.67"/>
    <n v="16818.05"/>
    <n v="0.1"/>
    <n v="15455.09"/>
    <n v="10686.69"/>
    <n v="4768.3999999999996"/>
    <s v="UPI"/>
    <s v="Rohit"/>
    <s v="Low"/>
  </r>
  <r>
    <s v="ORD00244"/>
    <d v="2024-11-02T00:00:00"/>
    <x v="4"/>
    <s v="2024-11-03"/>
    <s v="CUST1820"/>
    <x v="2"/>
    <x v="3"/>
    <s v="Karnataka"/>
    <s v="Chennai"/>
    <s v="Retail Store"/>
    <x v="0"/>
    <s v="Product-22"/>
    <n v="1.02"/>
    <n v="1381.82"/>
    <n v="1359.82"/>
    <n v="0.05"/>
    <n v="1317.16"/>
    <n v="1223.57"/>
    <n v="93.590000000000146"/>
    <s v="Debit Card"/>
    <s v="Neha"/>
    <s v="Low"/>
  </r>
  <r>
    <s v="ORD00245"/>
    <d v="2024-06-01T00:00:00"/>
    <x v="0"/>
    <s v="2024-06-08"/>
    <s v="CUST2850"/>
    <x v="2"/>
    <x v="1"/>
    <s v="Tamil Nadu"/>
    <s v="Delhi"/>
    <s v="Online"/>
    <x v="0"/>
    <s v="Product-33"/>
    <n v="1.86"/>
    <n v="2598.8000000000002"/>
    <n v="5466.1"/>
    <n v="0.14000000000000001"/>
    <n v="4245.16"/>
    <n v="2900.43"/>
    <n v="1344.73"/>
    <s v="UPI"/>
    <s v="Pooja"/>
    <s v="High"/>
  </r>
  <r>
    <s v="ORD00040"/>
    <d v="2024-08-18T00:00:00"/>
    <x v="9"/>
    <s v="2024-08-21"/>
    <s v="CUST2479"/>
    <x v="2"/>
    <x v="3"/>
    <s v="Karnataka"/>
    <s v="Mumbai"/>
    <s v="B2B"/>
    <x v="1"/>
    <s v="Product-33"/>
    <n v="5.78"/>
    <n v="1037.04"/>
    <n v="7068.08"/>
    <n v="0.05"/>
    <n v="7749.94"/>
    <n v="4389.58"/>
    <n v="3360.3599999999997"/>
    <s v="Debit Card"/>
    <s v="Amit"/>
    <s v="High"/>
  </r>
  <r>
    <s v="ORD00193"/>
    <d v="2024-07-09T00:00:00"/>
    <x v="5"/>
    <s v="2024-07-10"/>
    <s v="CUST2974"/>
    <x v="1"/>
    <x v="2"/>
    <s v="Tamil Nadu"/>
    <s v="Delhi"/>
    <s v="B2B"/>
    <x v="0"/>
    <s v="Product-37"/>
    <n v="1.08"/>
    <n v="2374.86"/>
    <n v="2397.7800000000002"/>
    <n v="0.05"/>
    <n v="2423.35"/>
    <n v="1860.95"/>
    <n v="562.39999999999986"/>
    <s v="UPI"/>
    <s v="Rohit"/>
    <s v="Low"/>
  </r>
  <r>
    <s v="ORD00114"/>
    <d v="2024-02-18T00:00:00"/>
    <x v="1"/>
    <s v="2024-02-25"/>
    <s v="CUST4452"/>
    <x v="0"/>
    <x v="1"/>
    <s v="Karnataka"/>
    <s v="Chennai"/>
    <s v="Retail Store"/>
    <x v="1"/>
    <s v="Product-4"/>
    <n v="10.130000000000001"/>
    <n v="1562.54"/>
    <n v="16970.490000000002"/>
    <n v="0.15"/>
    <n v="15082.58"/>
    <n v="12213.71"/>
    <n v="2868.8700000000008"/>
    <s v="Debit Card"/>
    <s v="Rohit"/>
    <s v="Medium"/>
  </r>
  <r>
    <s v="ORD00108"/>
    <d v="2024-05-05T00:00:00"/>
    <x v="7"/>
    <s v="2024-05-11"/>
    <s v="CUST2399"/>
    <x v="1"/>
    <x v="3"/>
    <s v="Maharashtra"/>
    <s v="Bengaluru"/>
    <s v="Retail Store"/>
    <x v="0"/>
    <s v="Product-6"/>
    <n v="4.74"/>
    <n v="1301.01"/>
    <n v="6723.3"/>
    <n v="0.13"/>
    <n v="6790.15"/>
    <n v="4403.97"/>
    <n v="2386.1799999999994"/>
    <s v="Debit Card"/>
    <s v="Neha"/>
    <s v="High"/>
  </r>
  <r>
    <s v="ORD00226"/>
    <d v="2024-03-19T00:00:00"/>
    <x v="8"/>
    <s v="2024-03-25"/>
    <s v="CUST9562"/>
    <x v="1"/>
    <x v="3"/>
    <s v="Tamil Nadu"/>
    <s v="Delhi"/>
    <s v="Retail Store"/>
    <x v="2"/>
    <s v="Product-19"/>
    <n v="5.27"/>
    <n v="1624.76"/>
    <n v="7916.38"/>
    <n v="0.11"/>
    <n v="8748.2099999999991"/>
    <n v="4969.3900000000003"/>
    <n v="3778.8199999999988"/>
    <s v="Net Banking"/>
    <s v="Amit"/>
    <s v="Medium"/>
  </r>
  <r>
    <s v="ORD00092"/>
    <d v="2024-05-13T00:00:00"/>
    <x v="7"/>
    <s v="2024-05-14"/>
    <s v="CUST7029"/>
    <x v="0"/>
    <x v="1"/>
    <s v="Karnataka"/>
    <s v="Noida"/>
    <s v="B2B"/>
    <x v="0"/>
    <s v="Product-27"/>
    <n v="6.45"/>
    <n v="1072.5"/>
    <n v="6328.18"/>
    <n v="0.1"/>
    <n v="7297.42"/>
    <n v="3841.3"/>
    <n v="3456.12"/>
    <s v="UPI"/>
    <s v="Pooja"/>
    <s v="High"/>
  </r>
  <r>
    <s v="ORD00235"/>
    <d v="2024-02-14T00:00:00"/>
    <x v="1"/>
    <s v="2024-02-17"/>
    <s v="CUST9371"/>
    <x v="0"/>
    <x v="0"/>
    <s v="Karnataka"/>
    <s v="Bengaluru"/>
    <s v="Online"/>
    <x v="2"/>
    <s v="Product-28"/>
    <n v="7.41"/>
    <n v="1286.55"/>
    <n v="7965.45"/>
    <n v="0.11"/>
    <n v="7433.37"/>
    <n v="5771.05"/>
    <n v="1662.3199999999997"/>
    <s v="Debit Card"/>
    <s v="Rohit"/>
    <s v="Low"/>
  </r>
  <r>
    <s v="ORD00028"/>
    <d v="2024-03-07T00:00:00"/>
    <x v="8"/>
    <s v="2024-03-08"/>
    <s v="CUST5290"/>
    <x v="2"/>
    <x v="2"/>
    <s v="Maharashtra"/>
    <s v="Bengaluru"/>
    <s v="B2B"/>
    <x v="2"/>
    <s v="Product-34"/>
    <n v="9.8699999999999992"/>
    <n v="2528.9899999999998"/>
    <n v="21620.43"/>
    <n v="0"/>
    <n v="23286.46"/>
    <n v="19885.05"/>
    <n v="3401.41"/>
    <s v="Credit Card"/>
    <s v="Rohit"/>
    <s v="Medium"/>
  </r>
  <r>
    <s v="ORD00214"/>
    <d v="2024-06-15T00:00:00"/>
    <x v="0"/>
    <s v="2024-06-22"/>
    <s v="CUST9169"/>
    <x v="2"/>
    <x v="2"/>
    <s v="Tamil Nadu"/>
    <s v="Bengaluru"/>
    <s v="Online"/>
    <x v="2"/>
    <s v="Product-19"/>
    <n v="7.55"/>
    <n v="2663.74"/>
    <n v="17471.34"/>
    <n v="0.1"/>
    <n v="16807.32"/>
    <n v="9934.24"/>
    <n v="6873.08"/>
    <s v="UPI"/>
    <s v="Rohit"/>
    <s v="Low"/>
  </r>
  <r>
    <s v="ORD00295"/>
    <d v="2024-02-04T00:00:00"/>
    <x v="1"/>
    <s v="2024-02-09"/>
    <s v="CUST2849"/>
    <x v="1"/>
    <x v="1"/>
    <s v="Uttar Pradesh"/>
    <s v="Bengaluru"/>
    <s v="Retail Store"/>
    <x v="0"/>
    <s v="Product-7"/>
    <n v="0.92"/>
    <n v="593.58000000000004"/>
    <n v="641.9"/>
    <n v="0"/>
    <n v="645.85"/>
    <n v="425.68"/>
    <n v="220.17000000000002"/>
    <s v="Debit Card"/>
    <s v="Rohit"/>
    <s v="Medium"/>
  </r>
  <r>
    <s v="ORD00128"/>
    <d v="2024-04-02T00:00:00"/>
    <x v="6"/>
    <s v="2024-04-09"/>
    <s v="CUST9474"/>
    <x v="2"/>
    <x v="2"/>
    <s v="Delhi"/>
    <s v="Chennai"/>
    <s v="Retail Store"/>
    <x v="0"/>
    <s v="Product-24"/>
    <n v="13.99"/>
    <n v="1304.77"/>
    <n v="13404.28"/>
    <n v="0.11"/>
    <n v="14369.53"/>
    <n v="9505.7999999999993"/>
    <n v="4863.7300000000014"/>
    <s v="Net Banking"/>
    <s v="Amit"/>
    <s v="Low"/>
  </r>
  <r>
    <s v="ORD00224"/>
    <d v="2024-10-05T00:00:00"/>
    <x v="2"/>
    <s v="2024-10-11"/>
    <s v="CUST8754"/>
    <x v="1"/>
    <x v="3"/>
    <s v="Uttar Pradesh"/>
    <s v="Noida"/>
    <s v="Retail Store"/>
    <x v="1"/>
    <s v="Product-15"/>
    <n v="3.71"/>
    <n v="3268.09"/>
    <n v="12796.35"/>
    <n v="0.09"/>
    <n v="12477.78"/>
    <n v="7949.23"/>
    <n v="4528.5500000000011"/>
    <s v="Credit Card"/>
    <s v="Amit"/>
    <s v="High"/>
  </r>
  <r>
    <s v="ORD00146"/>
    <d v="2024-10-20T00:00:00"/>
    <x v="2"/>
    <s v="2024-10-24"/>
    <s v="CUST7369"/>
    <x v="1"/>
    <x v="1"/>
    <s v="Uttar Pradesh"/>
    <s v="Noida"/>
    <s v="B2B"/>
    <x v="0"/>
    <s v="Product-26"/>
    <n v="14.28"/>
    <n v="1649.23"/>
    <n v="17629.87"/>
    <n v="0"/>
    <n v="18777.59"/>
    <n v="13793.56"/>
    <n v="4984.0300000000007"/>
    <s v="UPI"/>
    <s v="Rohit"/>
    <s v="Medium"/>
  </r>
  <r>
    <s v="ORD00162"/>
    <d v="2024-02-20T00:00:00"/>
    <x v="1"/>
    <s v="2024-02-25"/>
    <s v="CUST5358"/>
    <x v="1"/>
    <x v="2"/>
    <s v="Uttar Pradesh"/>
    <s v="Mumbai"/>
    <s v="Retail Store"/>
    <x v="1"/>
    <s v="Product-8"/>
    <n v="0.9"/>
    <n v="2425.92"/>
    <n v="2372.19"/>
    <n v="0.05"/>
    <n v="2137.14"/>
    <n v="1706.91"/>
    <n v="430.22999999999979"/>
    <s v="Credit Card"/>
    <s v="Neha"/>
    <s v="High"/>
  </r>
  <r>
    <s v="ORD00225"/>
    <d v="2024-07-05T00:00:00"/>
    <x v="5"/>
    <s v="2024-07-10"/>
    <s v="CUST3823"/>
    <x v="2"/>
    <x v="1"/>
    <s v="Maharashtra"/>
    <s v="Delhi"/>
    <s v="Retail Store"/>
    <x v="2"/>
    <s v="Product-24"/>
    <n v="3.96"/>
    <n v="2127.2199999999998"/>
    <n v="8271.77"/>
    <n v="0.1"/>
    <n v="7552.02"/>
    <n v="4469.57"/>
    <n v="3082.4500000000007"/>
    <s v="Net Banking"/>
    <s v="Amit"/>
    <s v="Medium"/>
  </r>
  <r>
    <s v="ORD00181"/>
    <d v="2024-03-23T00:00:00"/>
    <x v="8"/>
    <s v="2024-03-26"/>
    <s v="CUST2176"/>
    <x v="2"/>
    <x v="0"/>
    <s v="Tamil Nadu"/>
    <s v="Chennai"/>
    <s v="Online"/>
    <x v="1"/>
    <s v="Product-46"/>
    <n v="7.2"/>
    <n v="1746.73"/>
    <n v="15989.43"/>
    <n v="0.09"/>
    <n v="12085.74"/>
    <n v="8986.9599999999991"/>
    <n v="3098.7800000000007"/>
    <s v="Debit Card"/>
    <s v="Karan"/>
    <s v="Medium"/>
  </r>
  <r>
    <s v="ORD00101"/>
    <d v="2024-05-04T00:00:00"/>
    <x v="7"/>
    <s v="2024-05-11"/>
    <s v="CUST4745"/>
    <x v="1"/>
    <x v="2"/>
    <s v="Delhi"/>
    <s v="Chennai"/>
    <s v="Retail Store"/>
    <x v="2"/>
    <s v="Product-17"/>
    <n v="6.85"/>
    <n v="2711.27"/>
    <n v="19320.439999999999"/>
    <n v="0.14000000000000001"/>
    <n v="15459.26"/>
    <n v="13563.83"/>
    <n v="1895.4300000000003"/>
    <s v="UPI"/>
    <s v="Pooja"/>
    <s v="Low"/>
  </r>
  <r>
    <s v="ORD00098"/>
    <d v="2024-05-01T00:00:00"/>
    <x v="7"/>
    <s v="2024-05-06"/>
    <s v="CUST5056"/>
    <x v="1"/>
    <x v="3"/>
    <s v="Uttar Pradesh"/>
    <s v="Noida"/>
    <s v="Retail Store"/>
    <x v="0"/>
    <s v="Product-16"/>
    <n v="3.98"/>
    <n v="1281.6099999999999"/>
    <n v="4907.53"/>
    <n v="0.05"/>
    <n v="4834.03"/>
    <n v="3331.47"/>
    <n v="1502.56"/>
    <s v="Debit Card"/>
    <s v="Neha"/>
    <s v="Medium"/>
  </r>
  <r>
    <s v="ORD00142"/>
    <d v="2024-07-06T00:00:00"/>
    <x v="5"/>
    <s v="2024-07-07"/>
    <s v="CUST8303"/>
    <x v="1"/>
    <x v="0"/>
    <s v="Delhi"/>
    <s v="Bengaluru"/>
    <s v="B2B"/>
    <x v="0"/>
    <s v="Product-21"/>
    <n v="3.01"/>
    <n v="2730.17"/>
    <n v="8417.8700000000008"/>
    <n v="0"/>
    <n v="8496.4699999999993"/>
    <n v="4844.82"/>
    <n v="3651.6499999999996"/>
    <s v="Net Banking"/>
    <s v="Karan"/>
    <s v="Low"/>
  </r>
  <r>
    <s v="ORD00281"/>
    <d v="2024-11-15T00:00:00"/>
    <x v="4"/>
    <s v="2024-11-20"/>
    <s v="CUST4349"/>
    <x v="0"/>
    <x v="1"/>
    <s v="Delhi"/>
    <s v="Delhi"/>
    <s v="B2B"/>
    <x v="0"/>
    <s v="Product-13"/>
    <n v="8.32"/>
    <n v="1939.43"/>
    <n v="14322.25"/>
    <n v="0.05"/>
    <n v="12582.26"/>
    <n v="7426.87"/>
    <n v="5155.3900000000003"/>
    <s v="Net Banking"/>
    <s v="Pooja"/>
    <s v="High"/>
  </r>
  <r>
    <s v="ORD00087"/>
    <d v="2024-05-14T00:00:00"/>
    <x v="7"/>
    <s v="2024-05-20"/>
    <s v="CUST9572"/>
    <x v="0"/>
    <x v="3"/>
    <s v="Maharashtra"/>
    <s v="Delhi"/>
    <s v="B2B"/>
    <x v="0"/>
    <s v="Product-11"/>
    <n v="0.98"/>
    <n v="1244.47"/>
    <n v="1085.06"/>
    <n v="0.16"/>
    <n v="1035.1500000000001"/>
    <n v="824.32"/>
    <n v="210.83000000000004"/>
    <s v="Debit Card"/>
    <s v="Neha"/>
    <s v="High"/>
  </r>
  <r>
    <s v="ORD00124"/>
    <d v="2024-02-01T00:00:00"/>
    <x v="1"/>
    <s v="2024-02-06"/>
    <s v="CUST1253"/>
    <x v="2"/>
    <x v="3"/>
    <s v="Uttar Pradesh"/>
    <s v="Chennai"/>
    <s v="Online"/>
    <x v="2"/>
    <s v="Product-25"/>
    <n v="10.29"/>
    <n v="2747.18"/>
    <n v="26871"/>
    <n v="0.09"/>
    <n v="23199.27"/>
    <n v="21982.92"/>
    <n v="1216.3500000000022"/>
    <s v="Net Banking"/>
    <s v="Karan"/>
    <s v="Low"/>
  </r>
  <r>
    <s v="ORD00250"/>
    <d v="2024-10-31T00:00:00"/>
    <x v="2"/>
    <s v="2024-11-07"/>
    <s v="CUST2196"/>
    <x v="1"/>
    <x v="3"/>
    <s v="Delhi"/>
    <s v="Delhi"/>
    <s v="Online"/>
    <x v="1"/>
    <s v="Product-50"/>
    <n v="8.67"/>
    <n v="2618"/>
    <n v="21301.22"/>
    <n v="0"/>
    <n v="21779.279999999999"/>
    <n v="20677.82"/>
    <n v="1101.4599999999991"/>
    <s v="Credit Card"/>
    <s v="Rohit"/>
    <s v="Medium"/>
  </r>
  <r>
    <s v="ORD00070"/>
    <d v="2024-02-16T00:00:00"/>
    <x v="1"/>
    <s v="2024-02-20"/>
    <s v="CUST3129"/>
    <x v="2"/>
    <x v="0"/>
    <s v="Uttar Pradesh"/>
    <s v="Mumbai"/>
    <s v="B2B"/>
    <x v="2"/>
    <s v="Product-6"/>
    <n v="8.61"/>
    <n v="2761.01"/>
    <n v="32572.84"/>
    <n v="0.16"/>
    <n v="29030.99"/>
    <n v="18096.189999999999"/>
    <n v="10934.800000000003"/>
    <s v="Debit Card"/>
    <s v="Karan"/>
    <s v="Low"/>
  </r>
  <r>
    <s v="ORD00237"/>
    <d v="2024-09-29T00:00:00"/>
    <x v="3"/>
    <s v="2024-09-30"/>
    <s v="CUST4599"/>
    <x v="0"/>
    <x v="3"/>
    <s v="Maharashtra"/>
    <s v="Mumbai"/>
    <s v="B2B"/>
    <x v="1"/>
    <s v="Product-30"/>
    <n v="7.3"/>
    <n v="3200.35"/>
    <n v="19322.68"/>
    <n v="0.1"/>
    <n v="20663.669999999998"/>
    <n v="9782.93"/>
    <n v="10880.739999999998"/>
    <s v="Net Banking"/>
    <s v="Pooja"/>
    <s v="Low"/>
  </r>
  <r>
    <s v="ORD00117"/>
    <d v="2024-11-09T00:00:00"/>
    <x v="4"/>
    <s v="2024-11-13"/>
    <s v="CUST8501"/>
    <x v="1"/>
    <x v="2"/>
    <s v="Delhi"/>
    <s v="Mumbai"/>
    <s v="Online"/>
    <x v="2"/>
    <s v="Product-50"/>
    <n v="9.9"/>
    <n v="815.72"/>
    <n v="8156.64"/>
    <n v="0"/>
    <n v="9170.11"/>
    <n v="5125.66"/>
    <n v="4044.4500000000007"/>
    <s v="UPI"/>
    <s v="Amit"/>
    <s v="Medium"/>
  </r>
  <r>
    <s v="ORD00124"/>
    <d v="2024-02-01T00:00:00"/>
    <x v="1"/>
    <s v="2024-02-06"/>
    <s v="CUST1253"/>
    <x v="2"/>
    <x v="3"/>
    <s v="Uttar Pradesh"/>
    <s v="Chennai"/>
    <s v="Online"/>
    <x v="2"/>
    <s v="Product-25"/>
    <n v="10.119999999999999"/>
    <n v="2814.8"/>
    <n v="27445.93"/>
    <n v="0.1"/>
    <n v="23574.58"/>
    <n v="20614.41"/>
    <n v="2960.1700000000019"/>
    <s v="Net Banking"/>
    <s v="Karan"/>
    <s v="Low"/>
  </r>
  <r>
    <s v="ORD00172"/>
    <d v="2024-06-08T00:00:00"/>
    <x v="0"/>
    <s v="2024-06-09"/>
    <s v="CUST7608"/>
    <x v="0"/>
    <x v="2"/>
    <s v="Karnataka"/>
    <s v="Mumbai"/>
    <s v="Online"/>
    <x v="2"/>
    <s v="Product-44"/>
    <n v="3.49"/>
    <n v="1354.13"/>
    <n v="5686.42"/>
    <n v="0.17"/>
    <n v="4782.42"/>
    <n v="3126.61"/>
    <n v="1655.81"/>
    <s v="Debit Card"/>
    <s v="Pooja"/>
    <s v="Low"/>
  </r>
  <r>
    <s v="ORD00297"/>
    <d v="2024-06-20T00:00:00"/>
    <x v="0"/>
    <s v="2024-06-23"/>
    <s v="CUST2466"/>
    <x v="2"/>
    <x v="3"/>
    <s v="Karnataka"/>
    <s v="Mumbai"/>
    <s v="Online"/>
    <x v="0"/>
    <s v="Product-31"/>
    <n v="9.77"/>
    <n v="470.81"/>
    <n v="4709.95"/>
    <n v="0.05"/>
    <n v="4013.03"/>
    <n v="2345.42"/>
    <n v="1667.6100000000001"/>
    <s v="UPI"/>
    <s v="Amit"/>
    <s v="Medium"/>
  </r>
  <r>
    <s v="ORD00208"/>
    <d v="2024-11-10T00:00:00"/>
    <x v="4"/>
    <s v="2024-11-16"/>
    <s v="CUST3559"/>
    <x v="2"/>
    <x v="2"/>
    <s v="Uttar Pradesh"/>
    <s v="Delhi"/>
    <s v="Retail Store"/>
    <x v="2"/>
    <s v="Product-28"/>
    <n v="11.28"/>
    <n v="2779.65"/>
    <n v="35274.160000000003"/>
    <n v="0.05"/>
    <n v="36790.519999999997"/>
    <n v="23308.2"/>
    <n v="13482.319999999996"/>
    <s v="Debit Card"/>
    <s v="Karan"/>
    <s v="High"/>
  </r>
  <r>
    <s v="ORD00237"/>
    <d v="2024-09-29T00:00:00"/>
    <x v="3"/>
    <s v="2024-09-30"/>
    <s v="CUST4599"/>
    <x v="0"/>
    <x v="3"/>
    <s v="Maharashtra"/>
    <s v="Mumbai"/>
    <s v="B2B"/>
    <x v="1"/>
    <s v="Product-30"/>
    <n v="6.65"/>
    <n v="3144.66"/>
    <n v="20836.52"/>
    <n v="0.13"/>
    <n v="22578.07"/>
    <n v="11262.99"/>
    <n v="11315.08"/>
    <s v="Net Banking"/>
    <s v="Pooja"/>
    <s v="Low"/>
  </r>
  <r>
    <s v="ORD00217"/>
    <d v="2024-10-26T00:00:00"/>
    <x v="2"/>
    <s v="2024-10-28"/>
    <s v="CUST9270"/>
    <x v="1"/>
    <x v="2"/>
    <s v="Uttar Pradesh"/>
    <s v="Chennai"/>
    <s v="B2B"/>
    <x v="0"/>
    <s v="Product-47"/>
    <n v="4.1100000000000003"/>
    <n v="2842.87"/>
    <n v="11324.62"/>
    <n v="0"/>
    <n v="12091.46"/>
    <n v="8137.86"/>
    <n v="3953.5999999999995"/>
    <s v="UPI"/>
    <s v="Amit"/>
    <s v="Medium"/>
  </r>
  <r>
    <s v="ORD00176"/>
    <d v="2024-07-20T00:00:00"/>
    <x v="5"/>
    <s v="2024-07-26"/>
    <s v="CUST6718"/>
    <x v="0"/>
    <x v="1"/>
    <s v="Karnataka"/>
    <s v="Noida"/>
    <s v="B2B"/>
    <x v="1"/>
    <s v="Product-41"/>
    <n v="9.61"/>
    <n v="2441.3200000000002"/>
    <n v="29918.78"/>
    <n v="0.1"/>
    <n v="23074.46"/>
    <n v="19123.66"/>
    <n v="3950.7999999999993"/>
    <s v="Net Banking"/>
    <s v="Karan"/>
    <s v="Low"/>
  </r>
  <r>
    <s v="ORD00092"/>
    <d v="2024-05-13T00:00:00"/>
    <x v="7"/>
    <s v="2024-05-14"/>
    <s v="CUST7029"/>
    <x v="0"/>
    <x v="1"/>
    <s v="Karnataka"/>
    <s v="Noida"/>
    <s v="B2B"/>
    <x v="0"/>
    <s v="Product-27"/>
    <n v="5.45"/>
    <n v="1212.28"/>
    <n v="7279.35"/>
    <n v="0.09"/>
    <n v="6367.05"/>
    <n v="4051.29"/>
    <n v="2315.7600000000002"/>
    <s v="UPI"/>
    <s v="Pooja"/>
    <s v="High"/>
  </r>
  <r>
    <s v="ORD00003"/>
    <d v="2024-10-03T00:00:00"/>
    <x v="2"/>
    <s v="2024-10-04"/>
    <s v="CUST4078"/>
    <x v="0"/>
    <x v="0"/>
    <s v="Uttar Pradesh"/>
    <s v="Delhi"/>
    <s v="B2B"/>
    <x v="0"/>
    <s v="Product-40"/>
    <n v="10.93"/>
    <n v="1327.02"/>
    <n v="12390.03"/>
    <n v="0.05"/>
    <n v="11895.14"/>
    <n v="8552.69"/>
    <n v="3342.4499999999989"/>
    <s v="Credit Card"/>
    <s v="Pooja"/>
    <s v="High"/>
  </r>
  <r>
    <s v="ORD00142"/>
    <d v="2024-07-06T00:00:00"/>
    <x v="5"/>
    <s v="2024-07-07"/>
    <s v="CUST8303"/>
    <x v="1"/>
    <x v="0"/>
    <s v="Delhi"/>
    <s v="Bengaluru"/>
    <s v="B2B"/>
    <x v="0"/>
    <s v="Product-21"/>
    <n v="2.6"/>
    <n v="3003.98"/>
    <n v="7638.9"/>
    <n v="0"/>
    <n v="7852.14"/>
    <n v="5189.1499999999996"/>
    <n v="2662.9900000000007"/>
    <s v="Net Banking"/>
    <s v="Karan"/>
    <s v="Low"/>
  </r>
  <r>
    <s v="ORD00156"/>
    <d v="2024-08-22T00:00:00"/>
    <x v="9"/>
    <s v="2024-08-25"/>
    <s v="CUST7299"/>
    <x v="1"/>
    <x v="3"/>
    <s v="Delhi"/>
    <s v="Chennai"/>
    <s v="Retail Store"/>
    <x v="2"/>
    <s v="Product-20"/>
    <n v="11.89"/>
    <n v="1513.82"/>
    <n v="16340.3"/>
    <n v="0.1"/>
    <n v="14873.2"/>
    <n v="12185.54"/>
    <n v="2687.66"/>
    <s v="Credit Card"/>
    <s v="Karan"/>
    <s v="Medium"/>
  </r>
  <r>
    <s v="ORD00142"/>
    <d v="2024-07-06T00:00:00"/>
    <x v="5"/>
    <s v="2024-07-07"/>
    <s v="CUST8303"/>
    <x v="1"/>
    <x v="0"/>
    <s v="Delhi"/>
    <s v="Bengaluru"/>
    <s v="B2B"/>
    <x v="0"/>
    <s v="Product-21"/>
    <n v="2.86"/>
    <n v="3179.73"/>
    <n v="7162.89"/>
    <n v="0"/>
    <n v="8075.99"/>
    <n v="5022.59"/>
    <n v="3053.3999999999996"/>
    <s v="Net Banking"/>
    <s v="Karan"/>
    <s v="Low"/>
  </r>
  <r>
    <s v="ORD00237"/>
    <d v="2024-09-29T00:00:00"/>
    <x v="3"/>
    <s v="2024-09-30"/>
    <s v="CUST4599"/>
    <x v="0"/>
    <x v="3"/>
    <s v="Maharashtra"/>
    <s v="Mumbai"/>
    <s v="B2B"/>
    <x v="1"/>
    <s v="Product-30"/>
    <n v="6.7"/>
    <n v="3451.86"/>
    <n v="22877.96"/>
    <n v="0.1"/>
    <n v="20690.740000000002"/>
    <n v="13153.34"/>
    <n v="7537.4000000000015"/>
    <s v="Net Banking"/>
    <s v="Pooja"/>
    <s v="Low"/>
  </r>
  <r>
    <s v="ORD00278"/>
    <d v="2024-03-30T00:00:00"/>
    <x v="8"/>
    <s v="2024-04-05"/>
    <s v="CUST8455"/>
    <x v="2"/>
    <x v="3"/>
    <s v="Delhi"/>
    <s v="Mumbai"/>
    <s v="Retail Store"/>
    <x v="2"/>
    <s v="Product-32"/>
    <n v="6.52"/>
    <n v="1770.84"/>
    <n v="11010.58"/>
    <n v="0"/>
    <n v="10878.29"/>
    <n v="6858"/>
    <n v="4020.2900000000009"/>
    <s v="UPI"/>
    <s v="Rohit"/>
    <s v="Medium"/>
  </r>
  <r>
    <s v="ORD00028"/>
    <d v="2024-03-07T00:00:00"/>
    <x v="8"/>
    <s v="2024-03-08"/>
    <s v="CUST5290"/>
    <x v="2"/>
    <x v="2"/>
    <s v="Maharashtra"/>
    <s v="Bengaluru"/>
    <s v="B2B"/>
    <x v="2"/>
    <s v="Product-34"/>
    <n v="8.85"/>
    <n v="2371.52"/>
    <n v="24242.3"/>
    <n v="0"/>
    <n v="24074.75"/>
    <n v="21371.22"/>
    <n v="2703.5299999999988"/>
    <s v="Credit Card"/>
    <s v="Rohit"/>
    <s v="Medium"/>
  </r>
  <r>
    <s v="ORD00086"/>
    <d v="2024-09-01T00:00:00"/>
    <x v="3"/>
    <s v="2024-09-07"/>
    <s v="CUST8622"/>
    <x v="2"/>
    <x v="1"/>
    <s v="Maharashtra"/>
    <s v="Mumbai"/>
    <s v="Online"/>
    <x v="2"/>
    <s v="Product-15"/>
    <n v="7.95"/>
    <n v="469.96"/>
    <n v="3607.03"/>
    <n v="0.15"/>
    <n v="3090.07"/>
    <n v="2550.6999999999998"/>
    <n v="539.37000000000035"/>
    <s v="UPI"/>
    <s v="Amit"/>
    <s v="Medium"/>
  </r>
  <r>
    <s v="ORD00240"/>
    <d v="2024-05-11T00:00:00"/>
    <x v="7"/>
    <s v="2024-05-17"/>
    <s v="CUST3185"/>
    <x v="2"/>
    <x v="2"/>
    <s v="Tamil Nadu"/>
    <s v="Bengaluru"/>
    <s v="Online"/>
    <x v="1"/>
    <s v="Product-21"/>
    <n v="7.21"/>
    <n v="2525.79"/>
    <n v="22218.6"/>
    <n v="0.05"/>
    <n v="20478.759999999998"/>
    <n v="15135.62"/>
    <n v="5343.1399999999976"/>
    <s v="Credit Card"/>
    <s v="Rohit"/>
    <s v="Medium"/>
  </r>
  <r>
    <s v="ORD00176"/>
    <d v="2024-07-20T00:00:00"/>
    <x v="5"/>
    <s v="2024-07-26"/>
    <s v="CUST6718"/>
    <x v="0"/>
    <x v="1"/>
    <s v="Karnataka"/>
    <s v="Noida"/>
    <s v="B2B"/>
    <x v="1"/>
    <s v="Product-41"/>
    <n v="10.7"/>
    <n v="2673.76"/>
    <n v="26414.65"/>
    <n v="0.1"/>
    <n v="30154.1"/>
    <n v="19084.97"/>
    <n v="11069.129999999997"/>
    <s v="Net Banking"/>
    <s v="Karan"/>
    <s v="Low"/>
  </r>
  <r>
    <s v="ORD00230"/>
    <d v="2024-11-07T00:00:00"/>
    <x v="4"/>
    <s v="2024-11-14"/>
    <s v="CUST3121"/>
    <x v="1"/>
    <x v="2"/>
    <s v="Uttar Pradesh"/>
    <s v="Bengaluru"/>
    <s v="Online"/>
    <x v="1"/>
    <s v="Product-14"/>
    <n v="4.55"/>
    <n v="1390.57"/>
    <n v="7549.87"/>
    <n v="0.14000000000000001"/>
    <n v="6594.87"/>
    <n v="5664.35"/>
    <n v="930.51999999999953"/>
    <s v="Debit Card"/>
    <s v="Amit"/>
    <s v="Low"/>
  </r>
  <r>
    <s v="ORD00247"/>
    <d v="2024-02-18T00:00:00"/>
    <x v="1"/>
    <s v="2024-02-19"/>
    <s v="CUST9864"/>
    <x v="2"/>
    <x v="3"/>
    <s v="Tamil Nadu"/>
    <s v="Mumbai"/>
    <s v="Online"/>
    <x v="1"/>
    <s v="Product-35"/>
    <n v="3.85"/>
    <n v="736.63"/>
    <n v="2939.17"/>
    <n v="0.15"/>
    <n v="2556.41"/>
    <n v="1877.51"/>
    <n v="678.89999999999986"/>
    <s v="UPI"/>
    <s v="Karan"/>
    <s v="Medium"/>
  </r>
  <r>
    <s v="ORD00060"/>
    <d v="2024-05-14T00:00:00"/>
    <x v="7"/>
    <s v="2024-05-20"/>
    <s v="CUST2070"/>
    <x v="2"/>
    <x v="2"/>
    <s v="Delhi"/>
    <s v="Chennai"/>
    <s v="B2B"/>
    <x v="2"/>
    <s v="Product-50"/>
    <n v="9.99"/>
    <n v="2490.2800000000002"/>
    <n v="35959.870000000003"/>
    <n v="0.11"/>
    <n v="29932.47"/>
    <n v="19503.68"/>
    <n v="10428.790000000001"/>
    <s v="Net Banking"/>
    <s v="Rohit"/>
    <s v="Medium"/>
  </r>
  <r>
    <s v="ORD00018"/>
    <d v="2024-10-07T00:00:00"/>
    <x v="2"/>
    <s v="2024-10-12"/>
    <s v="CUST3281"/>
    <x v="0"/>
    <x v="2"/>
    <s v="Maharashtra"/>
    <s v="Delhi"/>
    <s v="Retail Store"/>
    <x v="0"/>
    <s v="Product-19"/>
    <n v="2.99"/>
    <n v="457.02"/>
    <n v="1388.43"/>
    <n v="0"/>
    <n v="1303.67"/>
    <n v="989.32"/>
    <n v="314.35000000000002"/>
    <s v="Credit Card"/>
    <s v="Karan"/>
    <s v="Medium"/>
  </r>
  <r>
    <s v="ORD00297"/>
    <d v="2024-06-20T00:00:00"/>
    <x v="0"/>
    <s v="2024-06-23"/>
    <s v="CUST2466"/>
    <x v="2"/>
    <x v="3"/>
    <s v="Karnataka"/>
    <s v="Mumbai"/>
    <s v="Online"/>
    <x v="0"/>
    <s v="Product-31"/>
    <n v="10.4"/>
    <n v="497.5"/>
    <n v="3545.5"/>
    <n v="0.05"/>
    <n v="3632.56"/>
    <n v="2655.97"/>
    <n v="976.59000000000015"/>
    <s v="UPI"/>
    <s v="Amit"/>
    <s v="Medium"/>
  </r>
  <r>
    <s v="ORD00142"/>
    <d v="2024-07-06T00:00:00"/>
    <x v="5"/>
    <s v="2024-07-07"/>
    <s v="CUST8303"/>
    <x v="1"/>
    <x v="0"/>
    <s v="Delhi"/>
    <s v="Bengaluru"/>
    <s v="B2B"/>
    <x v="0"/>
    <s v="Product-21"/>
    <n v="3.14"/>
    <n v="2923.44"/>
    <n v="6996.19"/>
    <n v="0"/>
    <n v="6782.49"/>
    <n v="5607.74"/>
    <n v="1174.75"/>
    <s v="Net Banking"/>
    <s v="Karan"/>
    <s v="Low"/>
  </r>
  <r>
    <s v="ORD00098"/>
    <d v="2024-05-01T00:00:00"/>
    <x v="7"/>
    <s v="2024-05-06"/>
    <s v="CUST5056"/>
    <x v="1"/>
    <x v="3"/>
    <s v="Uttar Pradesh"/>
    <s v="Noida"/>
    <s v="Retail Store"/>
    <x v="0"/>
    <s v="Product-16"/>
    <n v="3.44"/>
    <n v="1351.77"/>
    <n v="4859.3500000000004"/>
    <n v="0.05"/>
    <n v="4849.79"/>
    <n v="3456.99"/>
    <n v="1392.8000000000002"/>
    <s v="Debit Card"/>
    <s v="Neha"/>
    <s v="Medium"/>
  </r>
  <r>
    <s v="ORD00237"/>
    <d v="2024-09-29T00:00:00"/>
    <x v="3"/>
    <s v="2024-09-30"/>
    <s v="CUST4599"/>
    <x v="0"/>
    <x v="3"/>
    <s v="Maharashtra"/>
    <s v="Mumbai"/>
    <s v="B2B"/>
    <x v="1"/>
    <s v="Product-30"/>
    <n v="7.64"/>
    <n v="3437.63"/>
    <n v="23300.25"/>
    <n v="0.11"/>
    <n v="24234"/>
    <n v="11636.4"/>
    <n v="12597.6"/>
    <s v="Net Banking"/>
    <s v="Pooja"/>
    <s v="Low"/>
  </r>
  <r>
    <s v="ORD00189"/>
    <d v="2024-03-11T00:00:00"/>
    <x v="8"/>
    <s v="2024-03-14"/>
    <s v="CUST4645"/>
    <x v="1"/>
    <x v="1"/>
    <s v="Delhi"/>
    <s v="Mumbai"/>
    <s v="B2B"/>
    <x v="1"/>
    <s v="Product-24"/>
    <n v="5.35"/>
    <n v="1847.19"/>
    <n v="11552.16"/>
    <n v="0"/>
    <n v="14782.99"/>
    <n v="9266.23"/>
    <n v="5516.76"/>
    <s v="Net Banking"/>
    <s v="Rohit"/>
    <s v="High"/>
  </r>
  <r>
    <s v="ORD00157"/>
    <d v="2024-03-15T00:00:00"/>
    <x v="8"/>
    <s v="2024-03-19"/>
    <s v="CUST6408"/>
    <x v="0"/>
    <x v="2"/>
    <s v="Karnataka"/>
    <s v="Mumbai"/>
    <s v="Retail Store"/>
    <x v="0"/>
    <s v="Product-2"/>
    <n v="8.94"/>
    <n v="1457.18"/>
    <n v="17748.57"/>
    <n v="0.05"/>
    <n v="16834.13"/>
    <n v="9163.11"/>
    <n v="7671.02"/>
    <s v="UPI"/>
    <s v="Rohit"/>
    <s v="High"/>
  </r>
  <r>
    <s v="ORD00188"/>
    <d v="2024-10-04T00:00:00"/>
    <x v="2"/>
    <s v="2024-10-07"/>
    <s v="CUST2334"/>
    <x v="2"/>
    <x v="3"/>
    <s v="Uttar Pradesh"/>
    <s v="Bengaluru"/>
    <s v="B2B"/>
    <x v="1"/>
    <s v="Product-27"/>
    <n v="8.1300000000000008"/>
    <n v="1944.06"/>
    <n v="16103.61"/>
    <n v="0.05"/>
    <n v="16878.2"/>
    <n v="13122.07"/>
    <n v="3756.130000000001"/>
    <s v="Debit Card"/>
    <s v="Pooja"/>
    <s v="High"/>
  </r>
  <r>
    <s v="ORD00098"/>
    <d v="2024-05-01T00:00:00"/>
    <x v="7"/>
    <s v="2024-05-06"/>
    <s v="CUST5056"/>
    <x v="1"/>
    <x v="3"/>
    <s v="Uttar Pradesh"/>
    <s v="Noida"/>
    <s v="Retail Store"/>
    <x v="0"/>
    <s v="Product-16"/>
    <n v="3.82"/>
    <n v="1187.6199999999999"/>
    <n v="4878.84"/>
    <n v="0.05"/>
    <n v="4841.25"/>
    <n v="3483.01"/>
    <n v="1358.2399999999998"/>
    <s v="Debit Card"/>
    <s v="Neha"/>
    <s v="Medium"/>
  </r>
  <r>
    <s v="ORD00111"/>
    <d v="2024-08-12T00:00:00"/>
    <x v="9"/>
    <s v="2024-08-18"/>
    <s v="CUST3282"/>
    <x v="0"/>
    <x v="1"/>
    <s v="Uttar Pradesh"/>
    <s v="Delhi"/>
    <s v="Retail Store"/>
    <x v="2"/>
    <s v="Product-10"/>
    <n v="2"/>
    <n v="2317.62"/>
    <n v="4775.7"/>
    <n v="0.1"/>
    <n v="3673.8"/>
    <n v="2518.25"/>
    <n v="1155.5500000000002"/>
    <s v="Net Banking"/>
    <s v="Neha"/>
    <s v="Medium"/>
  </r>
  <r>
    <s v="ORD00057"/>
    <d v="2024-07-12T00:00:00"/>
    <x v="5"/>
    <s v="2024-07-19"/>
    <s v="CUST1047"/>
    <x v="2"/>
    <x v="3"/>
    <s v="Delhi"/>
    <s v="Bengaluru"/>
    <s v="Retail Store"/>
    <x v="0"/>
    <s v="Product-36"/>
    <n v="6.65"/>
    <n v="3640.58"/>
    <n v="19623.669999999998"/>
    <n v="0.15"/>
    <n v="18919.599999999999"/>
    <n v="12538.45"/>
    <n v="6381.1499999999978"/>
    <s v="Credit Card"/>
    <s v="Pooja"/>
    <s v="Medium"/>
  </r>
  <r>
    <s v="ORD00262"/>
    <d v="2024-10-27T00:00:00"/>
    <x v="2"/>
    <s v="2024-11-01"/>
    <s v="CUST5601"/>
    <x v="1"/>
    <x v="2"/>
    <s v="Karnataka"/>
    <s v="Noida"/>
    <s v="Online"/>
    <x v="2"/>
    <s v="Product-36"/>
    <n v="9.18"/>
    <n v="547.87"/>
    <n v="5032.68"/>
    <n v="0.14000000000000001"/>
    <n v="4716.38"/>
    <n v="2594.04"/>
    <n v="2122.34"/>
    <s v="Net Banking"/>
    <s v="Amit"/>
    <s v="High"/>
  </r>
  <r>
    <s v="ORD00059"/>
    <d v="2024-07-26T00:00:00"/>
    <x v="5"/>
    <s v="2024-07-27"/>
    <s v="CUST2015"/>
    <x v="0"/>
    <x v="2"/>
    <s v="Delhi"/>
    <s v="Noida"/>
    <s v="Retail Store"/>
    <x v="2"/>
    <s v="Product-18"/>
    <n v="6.53"/>
    <n v="550.66"/>
    <n v="3211.08"/>
    <n v="0"/>
    <n v="3828.28"/>
    <n v="3122.35"/>
    <n v="705.93000000000029"/>
    <s v="Debit Card"/>
    <s v="Karan"/>
    <s v="Low"/>
  </r>
  <r>
    <s v="ORD00092"/>
    <d v="2024-05-13T00:00:00"/>
    <x v="7"/>
    <s v="2024-05-14"/>
    <s v="CUST7029"/>
    <x v="0"/>
    <x v="1"/>
    <s v="Karnataka"/>
    <s v="Noida"/>
    <s v="B2B"/>
    <x v="0"/>
    <s v="Product-27"/>
    <n v="4.96"/>
    <n v="1269.54"/>
    <n v="7321.45"/>
    <n v="0.09"/>
    <n v="6222.46"/>
    <n v="4189.6499999999996"/>
    <n v="2032.8100000000004"/>
    <s v="UPI"/>
    <s v="Pooja"/>
    <s v="High"/>
  </r>
  <r>
    <s v="ORD00003"/>
    <d v="2024-10-03T00:00:00"/>
    <x v="2"/>
    <s v="2024-10-04"/>
    <s v="CUST4078"/>
    <x v="0"/>
    <x v="0"/>
    <s v="Uttar Pradesh"/>
    <s v="Delhi"/>
    <s v="B2B"/>
    <x v="0"/>
    <s v="Product-40"/>
    <n v="9.56"/>
    <n v="1137.29"/>
    <n v="15328.75"/>
    <n v="0.05"/>
    <n v="13447.59"/>
    <n v="9233.26"/>
    <n v="4214.33"/>
    <s v="Credit Card"/>
    <s v="Pooja"/>
    <s v="High"/>
  </r>
  <r>
    <s v="ORD00068"/>
    <d v="2024-09-04T00:00:00"/>
    <x v="3"/>
    <s v="2024-09-05"/>
    <s v="CUST3532"/>
    <x v="1"/>
    <x v="0"/>
    <s v="Maharashtra"/>
    <s v="Chennai"/>
    <s v="B2B"/>
    <x v="2"/>
    <s v="Product-27"/>
    <n v="6.39"/>
    <n v="801.25"/>
    <n v="5992.33"/>
    <n v="0.16"/>
    <n v="4145.8100000000004"/>
    <n v="3317.51"/>
    <n v="828.30000000000018"/>
    <s v="Debit Card"/>
    <s v="Rohit"/>
    <s v="Medium"/>
  </r>
  <r>
    <s v="ORD00193"/>
    <d v="2024-07-09T00:00:00"/>
    <x v="5"/>
    <s v="2024-07-10"/>
    <s v="CUST2974"/>
    <x v="1"/>
    <x v="2"/>
    <s v="Tamil Nadu"/>
    <s v="Delhi"/>
    <s v="B2B"/>
    <x v="0"/>
    <s v="Product-37"/>
    <n v="1"/>
    <n v="2535.75"/>
    <n v="2388.5"/>
    <n v="0.05"/>
    <n v="2759.83"/>
    <n v="1752.64"/>
    <n v="1007.1899999999998"/>
    <s v="UPI"/>
    <s v="Rohit"/>
    <s v="Low"/>
  </r>
  <r>
    <s v="ORD00019"/>
    <d v="2024-05-12T00:00:00"/>
    <x v="7"/>
    <s v="2024-05-17"/>
    <s v="CUST6796"/>
    <x v="0"/>
    <x v="1"/>
    <s v="Uttar Pradesh"/>
    <s v="Mumbai"/>
    <s v="B2B"/>
    <x v="0"/>
    <s v="Product-34"/>
    <n v="7.54"/>
    <n v="2983.07"/>
    <n v="22718.1"/>
    <n v="0"/>
    <n v="20933.439999999999"/>
    <n v="18495.73"/>
    <n v="2437.7099999999991"/>
    <s v="UPI"/>
    <s v="Pooja"/>
    <s v="Low"/>
  </r>
  <r>
    <s v="ORD00238"/>
    <d v="2024-04-14T00:00:00"/>
    <x v="6"/>
    <s v="2024-04-15"/>
    <s v="CUST2178"/>
    <x v="1"/>
    <x v="1"/>
    <s v="Maharashtra"/>
    <s v="Delhi"/>
    <s v="B2B"/>
    <x v="1"/>
    <s v="Product-48"/>
    <n v="3.12"/>
    <n v="1639.02"/>
    <n v="5517.27"/>
    <n v="0"/>
    <n v="5673.05"/>
    <n v="3394"/>
    <n v="2279.0500000000002"/>
    <s v="Credit Card"/>
    <s v="Pooja"/>
    <s v="Low"/>
  </r>
  <r>
    <s v="ORD00169"/>
    <d v="2024-08-27T00:00:00"/>
    <x v="9"/>
    <s v="2024-09-03"/>
    <s v="CUST7638"/>
    <x v="0"/>
    <x v="2"/>
    <s v="Karnataka"/>
    <s v="Chennai"/>
    <s v="B2B"/>
    <x v="0"/>
    <s v="Product-15"/>
    <n v="4.03"/>
    <n v="959.47"/>
    <n v="3589.18"/>
    <n v="0.11"/>
    <n v="3706.03"/>
    <n v="1984.52"/>
    <n v="1721.5100000000002"/>
    <s v="Net Banking"/>
    <s v="Neha"/>
    <s v="High"/>
  </r>
  <r>
    <s v="ORD00125"/>
    <d v="2024-08-19T00:00:00"/>
    <x v="9"/>
    <s v="2024-08-22"/>
    <s v="CUST3576"/>
    <x v="1"/>
    <x v="0"/>
    <s v="Karnataka"/>
    <s v="Mumbai"/>
    <s v="B2B"/>
    <x v="0"/>
    <s v="Product-18"/>
    <n v="11.14"/>
    <n v="395.13"/>
    <n v="4716.57"/>
    <n v="0.11"/>
    <n v="4752.43"/>
    <n v="3237.85"/>
    <n v="1514.5800000000004"/>
    <s v="Net Banking"/>
    <s v="Rohit"/>
    <s v="High"/>
  </r>
  <r>
    <s v="ORD00265"/>
    <d v="2024-11-13T00:00:00"/>
    <x v="4"/>
    <s v="2024-11-16"/>
    <s v="CUST6236"/>
    <x v="0"/>
    <x v="1"/>
    <s v="Karnataka"/>
    <s v="Delhi"/>
    <s v="Online"/>
    <x v="1"/>
    <s v="Product-29"/>
    <n v="8.86"/>
    <n v="1755.32"/>
    <n v="15016.72"/>
    <n v="0.09"/>
    <n v="13928.04"/>
    <n v="6721.15"/>
    <n v="7206.8900000000012"/>
    <s v="Net Banking"/>
    <s v="Neha"/>
    <s v="Medium"/>
  </r>
  <r>
    <s v="ORD00234"/>
    <d v="2024-08-01T00:00:00"/>
    <x v="9"/>
    <s v="2024-08-08"/>
    <s v="CUST3384"/>
    <x v="0"/>
    <x v="3"/>
    <s v="Maharashtra"/>
    <s v="Noida"/>
    <s v="Online"/>
    <x v="0"/>
    <s v="Product-35"/>
    <n v="9.3800000000000008"/>
    <n v="912.52"/>
    <n v="7918.72"/>
    <n v="0.16"/>
    <n v="7481.87"/>
    <n v="5386.2"/>
    <n v="2095.67"/>
    <s v="Debit Card"/>
    <s v="Karan"/>
    <s v="Medium"/>
  </r>
  <r>
    <s v="ORD00180"/>
    <d v="2024-07-26T00:00:00"/>
    <x v="5"/>
    <s v="2024-08-02"/>
    <s v="CUST8972"/>
    <x v="2"/>
    <x v="0"/>
    <s v="Delhi"/>
    <s v="Bengaluru"/>
    <s v="Retail Store"/>
    <x v="0"/>
    <s v="Product-8"/>
    <n v="4.1500000000000004"/>
    <n v="761.93"/>
    <n v="3129.01"/>
    <n v="0.09"/>
    <n v="3157.33"/>
    <n v="1775.48"/>
    <n v="1381.85"/>
    <s v="Debit Card"/>
    <s v="Pooja"/>
    <s v="Low"/>
  </r>
  <r>
    <s v="ORD00071"/>
    <d v="2024-03-15T00:00:00"/>
    <x v="8"/>
    <s v="2024-03-18"/>
    <s v="CUST2782"/>
    <x v="0"/>
    <x v="1"/>
    <s v="Maharashtra"/>
    <s v="Bengaluru"/>
    <s v="Online"/>
    <x v="0"/>
    <s v="Product-31"/>
    <n v="4.28"/>
    <n v="976.06"/>
    <n v="5027.03"/>
    <n v="0.05"/>
    <n v="4825.6000000000004"/>
    <n v="3687.87"/>
    <n v="1137.7300000000005"/>
    <s v="Debit Card"/>
    <s v="Amit"/>
    <s v="High"/>
  </r>
  <r>
    <s v="ORD00167"/>
    <d v="2024-01-04T00:00:00"/>
    <x v="10"/>
    <s v="2024-01-07"/>
    <s v="CUST7317"/>
    <x v="0"/>
    <x v="1"/>
    <s v="Delhi"/>
    <s v="Delhi"/>
    <s v="Retail Store"/>
    <x v="2"/>
    <s v="Product-36"/>
    <n v="6.34"/>
    <n v="2208.23"/>
    <n v="14646.87"/>
    <n v="0"/>
    <n v="16242.39"/>
    <n v="10275.959999999999"/>
    <n v="5966.43"/>
    <s v="Credit Card"/>
    <s v="Pooja"/>
    <s v="Low"/>
  </r>
  <r>
    <s v="ORD00070"/>
    <d v="2024-02-16T00:00:00"/>
    <x v="1"/>
    <s v="2024-02-20"/>
    <s v="CUST3129"/>
    <x v="2"/>
    <x v="0"/>
    <s v="Uttar Pradesh"/>
    <s v="Mumbai"/>
    <s v="B2B"/>
    <x v="2"/>
    <s v="Product-6"/>
    <n v="9.08"/>
    <n v="3472.44"/>
    <n v="34106.14"/>
    <n v="0.15"/>
    <n v="26920.48"/>
    <n v="21889.75"/>
    <n v="5030.7299999999996"/>
    <s v="Debit Card"/>
    <s v="Karan"/>
    <s v="Low"/>
  </r>
  <r>
    <s v="ORD00237"/>
    <d v="2024-09-29T00:00:00"/>
    <x v="3"/>
    <s v="2024-09-30"/>
    <s v="CUST4599"/>
    <x v="0"/>
    <x v="3"/>
    <s v="Maharashtra"/>
    <s v="Mumbai"/>
    <s v="B2B"/>
    <x v="1"/>
    <s v="Product-30"/>
    <n v="7.7"/>
    <n v="3081.07"/>
    <n v="18315.189999999999"/>
    <n v="0.11"/>
    <n v="22264.720000000001"/>
    <n v="8972.5"/>
    <n v="13292.220000000001"/>
    <s v="Net Banking"/>
    <s v="Pooja"/>
    <s v="Low"/>
  </r>
  <r>
    <s v="ORD00060"/>
    <d v="2024-05-14T00:00:00"/>
    <x v="7"/>
    <s v="2024-05-20"/>
    <s v="CUST2070"/>
    <x v="2"/>
    <x v="2"/>
    <s v="Delhi"/>
    <s v="Chennai"/>
    <s v="B2B"/>
    <x v="2"/>
    <s v="Product-50"/>
    <n v="12.08"/>
    <n v="2308.21"/>
    <n v="35828.660000000003"/>
    <n v="0.11"/>
    <n v="26032.73"/>
    <n v="20140.72"/>
    <n v="5892.0099999999984"/>
    <s v="Net Banking"/>
    <s v="Rohit"/>
    <s v="Medium"/>
  </r>
  <r>
    <s v="ORD00058"/>
    <d v="2024-06-07T00:00:00"/>
    <x v="0"/>
    <s v="2024-06-14"/>
    <s v="CUST9872"/>
    <x v="0"/>
    <x v="2"/>
    <s v="Karnataka"/>
    <s v="Bengaluru"/>
    <s v="B2B"/>
    <x v="2"/>
    <s v="Product-2"/>
    <n v="6.78"/>
    <n v="669.87"/>
    <n v="5025.87"/>
    <n v="0.14000000000000001"/>
    <n v="3921.78"/>
    <n v="2542.52"/>
    <n v="1379.2600000000002"/>
    <s v="Net Banking"/>
    <s v="Neha"/>
    <s v="High"/>
  </r>
  <r>
    <s v="ORD00183"/>
    <d v="2024-03-11T00:00:00"/>
    <x v="8"/>
    <s v="2024-03-17"/>
    <s v="CUST5854"/>
    <x v="0"/>
    <x v="2"/>
    <s v="Uttar Pradesh"/>
    <s v="Mumbai"/>
    <s v="Online"/>
    <x v="1"/>
    <s v="Product-20"/>
    <n v="1.1000000000000001"/>
    <n v="431.15"/>
    <n v="521.03"/>
    <n v="0.16"/>
    <n v="375.74"/>
    <n v="332.8"/>
    <n v="42.94"/>
    <s v="Debit Card"/>
    <s v="Pooja"/>
    <s v="Low"/>
  </r>
  <r>
    <s v="ORD00038"/>
    <d v="2024-11-19T00:00:00"/>
    <x v="4"/>
    <s v="2024-11-25"/>
    <s v="CUST5987"/>
    <x v="1"/>
    <x v="2"/>
    <s v="Delhi"/>
    <s v="Chennai"/>
    <s v="Online"/>
    <x v="2"/>
    <s v="Product-18"/>
    <n v="4.54"/>
    <n v="631.20000000000005"/>
    <n v="2520.46"/>
    <n v="0.05"/>
    <n v="2148.2399999999998"/>
    <n v="1500.36"/>
    <n v="647.87999999999988"/>
    <s v="UPI"/>
    <s v="Neha"/>
    <s v="High"/>
  </r>
  <r>
    <s v="ORD00278"/>
    <d v="2024-03-30T00:00:00"/>
    <x v="8"/>
    <s v="2024-04-05"/>
    <s v="CUST8455"/>
    <x v="2"/>
    <x v="3"/>
    <s v="Delhi"/>
    <s v="Mumbai"/>
    <s v="Retail Store"/>
    <x v="2"/>
    <s v="Product-32"/>
    <n v="6.04"/>
    <n v="1806.31"/>
    <n v="11430.88"/>
    <n v="0"/>
    <n v="10765.03"/>
    <n v="6683.43"/>
    <n v="4081.6000000000004"/>
    <s v="UPI"/>
    <s v="Rohit"/>
    <s v="Medium"/>
  </r>
  <r>
    <s v="ORD00033"/>
    <d v="2024-07-14T00:00:00"/>
    <x v="5"/>
    <s v="2024-07-15"/>
    <s v="CUST1081"/>
    <x v="2"/>
    <x v="3"/>
    <s v="Delhi"/>
    <s v="Mumbai"/>
    <s v="Retail Store"/>
    <x v="1"/>
    <s v="Product-3"/>
    <n v="7.96"/>
    <n v="1344.86"/>
    <n v="10251.370000000001"/>
    <n v="0.05"/>
    <n v="10023.58"/>
    <n v="6280.54"/>
    <n v="3743.04"/>
    <s v="Net Banking"/>
    <s v="Amit"/>
    <s v="Medium"/>
  </r>
  <r>
    <s v="ORD00108"/>
    <d v="2024-05-05T00:00:00"/>
    <x v="7"/>
    <s v="2024-05-11"/>
    <s v="CUST2399"/>
    <x v="1"/>
    <x v="3"/>
    <s v="Maharashtra"/>
    <s v="Bengaluru"/>
    <s v="Retail Store"/>
    <x v="0"/>
    <s v="Product-6"/>
    <n v="4.76"/>
    <n v="1500.61"/>
    <n v="6467.66"/>
    <n v="0.14000000000000001"/>
    <n v="5771.67"/>
    <n v="3779.66"/>
    <n v="1992.0100000000002"/>
    <s v="Debit Card"/>
    <s v="Neha"/>
    <s v="High"/>
  </r>
  <r>
    <s v="ORD00182"/>
    <d v="2024-02-25T00:00:00"/>
    <x v="1"/>
    <s v="2024-03-02"/>
    <s v="CUST9897"/>
    <x v="0"/>
    <x v="0"/>
    <s v="Karnataka"/>
    <s v="Delhi"/>
    <s v="B2B"/>
    <x v="2"/>
    <s v="Product-41"/>
    <n v="7.64"/>
    <n v="3187.95"/>
    <n v="25262.13"/>
    <n v="0.15"/>
    <n v="23277.55"/>
    <n v="15567.59"/>
    <n v="7709.9599999999991"/>
    <s v="Debit Card"/>
    <s v="Neha"/>
    <s v="Low"/>
  </r>
  <r>
    <s v="ORD00189"/>
    <d v="2024-03-11T00:00:00"/>
    <x v="8"/>
    <s v="2024-03-14"/>
    <s v="CUST4645"/>
    <x v="1"/>
    <x v="1"/>
    <s v="Delhi"/>
    <s v="Mumbai"/>
    <s v="B2B"/>
    <x v="1"/>
    <s v="Product-24"/>
    <n v="5.32"/>
    <n v="1817.34"/>
    <n v="11980.77"/>
    <n v="0"/>
    <n v="12324.63"/>
    <n v="9193.86"/>
    <n v="3130.7699999999986"/>
    <s v="Net Banking"/>
    <s v="Rohit"/>
    <s v="High"/>
  </r>
  <r>
    <s v="ORD00117"/>
    <d v="2024-11-09T00:00:00"/>
    <x v="4"/>
    <s v="2024-11-13"/>
    <s v="CUST8501"/>
    <x v="1"/>
    <x v="2"/>
    <s v="Delhi"/>
    <s v="Mumbai"/>
    <s v="Online"/>
    <x v="2"/>
    <s v="Product-50"/>
    <n v="10.58"/>
    <n v="823.57"/>
    <n v="8088.81"/>
    <n v="0"/>
    <n v="8750.94"/>
    <n v="4768.3500000000004"/>
    <n v="3982.59"/>
    <s v="UPI"/>
    <s v="Amit"/>
    <s v="Medium"/>
  </r>
  <r>
    <s v="ORD00028"/>
    <d v="2024-03-07T00:00:00"/>
    <x v="8"/>
    <s v="2024-03-08"/>
    <s v="CUST5290"/>
    <x v="2"/>
    <x v="2"/>
    <s v="Maharashtra"/>
    <s v="Bengaluru"/>
    <s v="B2B"/>
    <x v="2"/>
    <s v="Product-34"/>
    <n v="8.7899999999999991"/>
    <n v="2253.06"/>
    <n v="24365.69"/>
    <n v="0"/>
    <n v="22690.73"/>
    <n v="22803.98"/>
    <n v="-113.25"/>
    <s v="Credit Card"/>
    <s v="Rohit"/>
    <s v="Medium"/>
  </r>
  <r>
    <s v="ORD00061"/>
    <d v="2024-09-09T00:00:00"/>
    <x v="3"/>
    <s v="2024-09-11"/>
    <s v="CUST3479"/>
    <x v="1"/>
    <x v="2"/>
    <s v="Karnataka"/>
    <s v="Bengaluru"/>
    <s v="Retail Store"/>
    <x v="2"/>
    <s v="Product-39"/>
    <n v="7.61"/>
    <n v="1071.8"/>
    <n v="7473.89"/>
    <n v="0.09"/>
    <n v="7444.83"/>
    <n v="5737.46"/>
    <n v="1707.37"/>
    <s v="UPI"/>
    <s v="Karan"/>
    <s v="Low"/>
  </r>
  <r>
    <s v="ORD00189"/>
    <d v="2024-03-11T00:00:00"/>
    <x v="8"/>
    <s v="2024-03-14"/>
    <s v="CUST4645"/>
    <x v="1"/>
    <x v="1"/>
    <s v="Delhi"/>
    <s v="Mumbai"/>
    <s v="B2B"/>
    <x v="1"/>
    <s v="Product-24"/>
    <n v="5.6"/>
    <n v="1992.02"/>
    <n v="11739.42"/>
    <n v="0"/>
    <n v="11774.73"/>
    <n v="8721.5"/>
    <n v="3053.2299999999996"/>
    <s v="Net Banking"/>
    <s v="Rohit"/>
    <s v="High"/>
  </r>
  <r>
    <s v="ORD00087"/>
    <d v="2024-05-14T00:00:00"/>
    <x v="7"/>
    <s v="2024-05-20"/>
    <s v="CUST9572"/>
    <x v="0"/>
    <x v="3"/>
    <s v="Maharashtra"/>
    <s v="Delhi"/>
    <s v="B2B"/>
    <x v="0"/>
    <s v="Product-11"/>
    <n v="1"/>
    <n v="1118.04"/>
    <n v="1296.1199999999999"/>
    <n v="0.14000000000000001"/>
    <n v="957.16"/>
    <n v="840.28"/>
    <n v="116.88"/>
    <s v="Debit Card"/>
    <s v="Neha"/>
    <s v="High"/>
  </r>
  <r>
    <s v="ORD00237"/>
    <d v="2024-09-29T00:00:00"/>
    <x v="3"/>
    <s v="2024-09-30"/>
    <s v="CUST4599"/>
    <x v="0"/>
    <x v="3"/>
    <s v="Maharashtra"/>
    <s v="Mumbai"/>
    <s v="B2B"/>
    <x v="1"/>
    <s v="Product-30"/>
    <n v="7.18"/>
    <n v="3660.65"/>
    <n v="22215.13"/>
    <n v="0.1"/>
    <n v="19334.07"/>
    <n v="13272.23"/>
    <n v="6061.84"/>
    <s v="Net Banking"/>
    <s v="Pooja"/>
    <s v="Low"/>
  </r>
  <r>
    <s v="ORD00119"/>
    <d v="2024-09-24T00:00:00"/>
    <x v="3"/>
    <s v="2024-09-25"/>
    <s v="CUST7629"/>
    <x v="0"/>
    <x v="0"/>
    <s v="Delhi"/>
    <s v="Chennai"/>
    <s v="B2B"/>
    <x v="1"/>
    <s v="Product-43"/>
    <n v="1.95"/>
    <n v="2767.25"/>
    <n v="5822.61"/>
    <n v="0.16"/>
    <n v="4982.91"/>
    <n v="3602.38"/>
    <n v="1380.5299999999997"/>
    <s v="Credit Card"/>
    <s v="Pooja"/>
    <s v="Medium"/>
  </r>
  <r>
    <s v="ORD00098"/>
    <d v="2024-05-01T00:00:00"/>
    <x v="7"/>
    <s v="2024-05-06"/>
    <s v="CUST5056"/>
    <x v="1"/>
    <x v="3"/>
    <s v="Uttar Pradesh"/>
    <s v="Noida"/>
    <s v="Retail Store"/>
    <x v="0"/>
    <s v="Product-16"/>
    <n v="3.98"/>
    <n v="1175.04"/>
    <n v="4833.25"/>
    <n v="0.05"/>
    <n v="5246.94"/>
    <n v="3636.08"/>
    <n v="1610.8599999999997"/>
    <s v="Debit Card"/>
    <s v="Neha"/>
    <s v="Medium"/>
  </r>
  <r>
    <s v="ORD00112"/>
    <d v="2024-03-25T00:00:00"/>
    <x v="8"/>
    <s v="2024-03-30"/>
    <s v="CUST6254"/>
    <x v="0"/>
    <x v="1"/>
    <s v="Karnataka"/>
    <s v="Chennai"/>
    <s v="Retail Store"/>
    <x v="2"/>
    <s v="Product-27"/>
    <n v="9.64"/>
    <n v="3402.41"/>
    <n v="29848.240000000002"/>
    <n v="0"/>
    <n v="34330.92"/>
    <n v="20208.82"/>
    <n v="14122.099999999999"/>
    <s v="UPI"/>
    <s v="Neha"/>
    <s v="High"/>
  </r>
  <r>
    <s v="ORD00169"/>
    <d v="2024-08-27T00:00:00"/>
    <x v="9"/>
    <s v="2024-09-03"/>
    <s v="CUST7638"/>
    <x v="0"/>
    <x v="2"/>
    <s v="Karnataka"/>
    <s v="Chennai"/>
    <s v="B2B"/>
    <x v="0"/>
    <s v="Product-15"/>
    <n v="3.71"/>
    <n v="975.55"/>
    <n v="3658.81"/>
    <n v="0.11"/>
    <n v="3105.37"/>
    <n v="2138.5100000000002"/>
    <n v="966.85999999999967"/>
    <s v="Net Banking"/>
    <s v="Neha"/>
    <s v="High"/>
  </r>
  <r>
    <s v="ORD00073"/>
    <d v="2024-09-22T00:00:00"/>
    <x v="3"/>
    <s v="2024-09-24"/>
    <s v="CUST4155"/>
    <x v="2"/>
    <x v="0"/>
    <s v="Karnataka"/>
    <s v="Delhi"/>
    <s v="Retail Store"/>
    <x v="1"/>
    <s v="Product-30"/>
    <n v="7.14"/>
    <n v="1927.59"/>
    <n v="11753.34"/>
    <n v="0.05"/>
    <n v="11502.56"/>
    <n v="7348.61"/>
    <n v="4153.95"/>
    <s v="Debit Card"/>
    <s v="Pooja"/>
    <s v="Medium"/>
  </r>
  <r>
    <s v="ORD00225"/>
    <d v="2024-07-05T00:00:00"/>
    <x v="5"/>
    <s v="2024-07-10"/>
    <s v="CUST3823"/>
    <x v="2"/>
    <x v="1"/>
    <s v="Maharashtra"/>
    <s v="Delhi"/>
    <s v="Retail Store"/>
    <x v="2"/>
    <s v="Product-24"/>
    <n v="3.62"/>
    <n v="2333.04"/>
    <n v="7922.25"/>
    <n v="0.11"/>
    <n v="8296.42"/>
    <n v="4438.3599999999997"/>
    <n v="3858.0600000000004"/>
    <s v="Net Banking"/>
    <s v="Amit"/>
    <s v="Medium"/>
  </r>
  <r>
    <s v="ORD00148"/>
    <d v="2024-09-28T00:00:00"/>
    <x v="3"/>
    <s v="2024-09-30"/>
    <s v="CUST1341"/>
    <x v="2"/>
    <x v="2"/>
    <s v="Tamil Nadu"/>
    <s v="Chennai"/>
    <s v="Retail Store"/>
    <x v="1"/>
    <s v="Product-3"/>
    <n v="2.09"/>
    <n v="1270.04"/>
    <n v="2706.81"/>
    <n v="0.05"/>
    <n v="2443.34"/>
    <n v="2051.89"/>
    <n v="391.45000000000027"/>
    <s v="UPI"/>
    <s v="Amit"/>
    <s v="High"/>
  </r>
  <r>
    <s v="ORD00202"/>
    <d v="2024-03-18T00:00:00"/>
    <x v="8"/>
    <s v="2024-03-20"/>
    <s v="CUST7489"/>
    <x v="1"/>
    <x v="3"/>
    <s v="Maharashtra"/>
    <s v="Noida"/>
    <s v="Online"/>
    <x v="0"/>
    <s v="Product-20"/>
    <n v="4.54"/>
    <n v="457.68"/>
    <n v="1776.46"/>
    <n v="0.14000000000000001"/>
    <n v="1158.17"/>
    <n v="985.78"/>
    <n v="172.3900000000001"/>
    <s v="Debit Card"/>
    <s v="Rohit"/>
    <s v="High"/>
  </r>
  <r>
    <s v="ORD00095"/>
    <d v="2024-02-26T00:00:00"/>
    <x v="1"/>
    <s v="2024-03-03"/>
    <s v="CUST6826"/>
    <x v="2"/>
    <x v="1"/>
    <s v="Tamil Nadu"/>
    <s v="Delhi"/>
    <s v="Retail Store"/>
    <x v="1"/>
    <s v="Product-2"/>
    <n v="2.12"/>
    <n v="1995.55"/>
    <n v="3567.95"/>
    <n v="0"/>
    <n v="3626.67"/>
    <n v="3120.66"/>
    <n v="506.01000000000022"/>
    <s v="Debit Card"/>
    <s v="Neha"/>
    <s v="Medium"/>
  </r>
  <r>
    <s v="ORD00300"/>
    <d v="2024-11-24T00:00:00"/>
    <x v="4"/>
    <s v="2024-11-28"/>
    <s v="CUST7183"/>
    <x v="0"/>
    <x v="2"/>
    <s v="Karnataka"/>
    <s v="Delhi"/>
    <s v="Retail Store"/>
    <x v="2"/>
    <s v="Product-32"/>
    <n v="5.01"/>
    <n v="3017.92"/>
    <n v="15222.37"/>
    <n v="0"/>
    <n v="16753.990000000002"/>
    <n v="8717"/>
    <n v="8036.9900000000016"/>
    <s v="UPI"/>
    <s v="Amit"/>
    <s v="Medium"/>
  </r>
  <r>
    <s v="ORD00264"/>
    <d v="2024-02-01T00:00:00"/>
    <x v="1"/>
    <s v="2024-02-03"/>
    <s v="CUST1876"/>
    <x v="1"/>
    <x v="3"/>
    <s v="Tamil Nadu"/>
    <s v="Bengaluru"/>
    <s v="B2B"/>
    <x v="0"/>
    <s v="Product-18"/>
    <n v="4.8899999999999997"/>
    <n v="2591.17"/>
    <n v="15199.55"/>
    <n v="0.05"/>
    <n v="14789.45"/>
    <n v="9070.7000000000007"/>
    <n v="5718.75"/>
    <s v="Debit Card"/>
    <s v="Pooja"/>
    <s v="Low"/>
  </r>
  <r>
    <s v="ORD00295"/>
    <d v="2024-02-04T00:00:00"/>
    <x v="1"/>
    <s v="2024-02-09"/>
    <s v="CUST2849"/>
    <x v="1"/>
    <x v="1"/>
    <s v="Uttar Pradesh"/>
    <s v="Bengaluru"/>
    <s v="Retail Store"/>
    <x v="0"/>
    <s v="Product-7"/>
    <n v="1"/>
    <n v="566.16999999999996"/>
    <n v="712.45"/>
    <n v="0"/>
    <n v="556.17999999999995"/>
    <n v="392.3"/>
    <n v="163.87999999999994"/>
    <s v="Debit Card"/>
    <s v="Rohit"/>
    <s v="Medium"/>
  </r>
  <r>
    <s v="ORD00285"/>
    <d v="2024-09-02T00:00:00"/>
    <x v="3"/>
    <s v="2024-09-09"/>
    <s v="CUST9668"/>
    <x v="2"/>
    <x v="3"/>
    <s v="Delhi"/>
    <s v="Noida"/>
    <s v="Retail Store"/>
    <x v="0"/>
    <s v="Product-5"/>
    <n v="1.95"/>
    <n v="2696.27"/>
    <n v="5522.6"/>
    <n v="0"/>
    <n v="5800.69"/>
    <n v="3665.85"/>
    <n v="2134.8399999999997"/>
    <s v="UPI"/>
    <s v="Karan"/>
    <s v="High"/>
  </r>
  <r>
    <s v="ORD00082"/>
    <d v="2024-10-17T00:00:00"/>
    <x v="2"/>
    <s v="2024-10-20"/>
    <s v="CUST7770"/>
    <x v="1"/>
    <x v="3"/>
    <s v="Uttar Pradesh"/>
    <s v="Mumbai"/>
    <s v="Online"/>
    <x v="2"/>
    <s v="Product-40"/>
    <n v="5.28"/>
    <n v="767.07"/>
    <n v="3926.97"/>
    <n v="0.1"/>
    <n v="3194.28"/>
    <n v="2763.54"/>
    <n v="430.74000000000024"/>
    <s v="Net Banking"/>
    <s v="Neha"/>
    <s v="Low"/>
  </r>
  <r>
    <s v="ORD00180"/>
    <d v="2024-07-26T00:00:00"/>
    <x v="5"/>
    <s v="2024-08-02"/>
    <s v="CUST8972"/>
    <x v="2"/>
    <x v="0"/>
    <s v="Delhi"/>
    <s v="Bengaluru"/>
    <s v="Retail Store"/>
    <x v="0"/>
    <s v="Product-8"/>
    <n v="4"/>
    <n v="824.67"/>
    <n v="2866.37"/>
    <n v="0.1"/>
    <n v="2970.72"/>
    <n v="1610.8"/>
    <n v="1359.9199999999998"/>
    <s v="Debit Card"/>
    <s v="Pooja"/>
    <s v="Low"/>
  </r>
  <r>
    <s v="ORD00100"/>
    <d v="2024-07-17T00:00:00"/>
    <x v="5"/>
    <s v="2024-07-21"/>
    <s v="CUST9199"/>
    <x v="1"/>
    <x v="3"/>
    <s v="Tamil Nadu"/>
    <s v="Delhi"/>
    <s v="Online"/>
    <x v="2"/>
    <s v="Product-39"/>
    <n v="1.1100000000000001"/>
    <n v="501.9"/>
    <n v="398.74"/>
    <n v="0.14000000000000001"/>
    <n v="333.36"/>
    <n v="322.31"/>
    <n v="11.050000000000011"/>
    <s v="Net Banking"/>
    <s v="Amit"/>
    <s v="High"/>
  </r>
  <r>
    <s v="ORD00073"/>
    <d v="2024-09-22T00:00:00"/>
    <x v="3"/>
    <s v="2024-09-24"/>
    <s v="CUST4155"/>
    <x v="2"/>
    <x v="0"/>
    <s v="Karnataka"/>
    <s v="Delhi"/>
    <s v="Retail Store"/>
    <x v="1"/>
    <s v="Product-30"/>
    <n v="7.3"/>
    <n v="1836.55"/>
    <n v="11197.66"/>
    <n v="0.05"/>
    <n v="11062.22"/>
    <n v="6654.56"/>
    <n v="4407.6599999999989"/>
    <s v="Debit Card"/>
    <s v="Pooja"/>
    <s v="Medium"/>
  </r>
  <r>
    <s v="ORD00286"/>
    <d v="2024-02-13T00:00:00"/>
    <x v="1"/>
    <s v="2024-02-18"/>
    <s v="CUST9936"/>
    <x v="1"/>
    <x v="3"/>
    <s v="Tamil Nadu"/>
    <s v="Chennai"/>
    <s v="B2B"/>
    <x v="0"/>
    <s v="Product-36"/>
    <n v="8.68"/>
    <n v="2420.2800000000002"/>
    <n v="19164.43"/>
    <n v="0"/>
    <n v="22930.22"/>
    <n v="15524.07"/>
    <n v="7406.1500000000015"/>
    <s v="Credit Card"/>
    <s v="Amit"/>
    <s v="Low"/>
  </r>
  <r>
    <s v="ORD00189"/>
    <d v="2024-03-11T00:00:00"/>
    <x v="8"/>
    <s v="2024-03-14"/>
    <s v="CUST4645"/>
    <x v="1"/>
    <x v="1"/>
    <s v="Delhi"/>
    <s v="Mumbai"/>
    <s v="B2B"/>
    <x v="1"/>
    <s v="Product-24"/>
    <n v="5.78"/>
    <n v="1659.31"/>
    <n v="14548.24"/>
    <n v="0"/>
    <n v="11719.71"/>
    <n v="9560.6299999999992"/>
    <n v="2159.08"/>
    <s v="Net Banking"/>
    <s v="Rohit"/>
    <s v="High"/>
  </r>
  <r>
    <s v="ORD00021"/>
    <d v="2024-05-07T00:00:00"/>
    <x v="7"/>
    <s v="2024-05-09"/>
    <s v="CUST1456"/>
    <x v="2"/>
    <x v="1"/>
    <s v="Karnataka"/>
    <s v="Noida"/>
    <s v="B2B"/>
    <x v="1"/>
    <s v="Product-33"/>
    <n v="4.3600000000000003"/>
    <n v="599.66"/>
    <n v="2859.67"/>
    <n v="0"/>
    <n v="2250.9699999999998"/>
    <n v="2093.42"/>
    <n v="157.54999999999973"/>
    <s v="Credit Card"/>
    <s v="Rohit"/>
    <s v="Medium"/>
  </r>
  <r>
    <s v="ORD00139"/>
    <d v="2024-09-26T00:00:00"/>
    <x v="3"/>
    <s v="2024-09-29"/>
    <s v="CUST4576"/>
    <x v="0"/>
    <x v="2"/>
    <s v="Maharashtra"/>
    <s v="Mumbai"/>
    <s v="B2B"/>
    <x v="0"/>
    <s v="Product-46"/>
    <n v="3.19"/>
    <n v="1643.43"/>
    <n v="4852.21"/>
    <n v="0"/>
    <n v="4676"/>
    <n v="3894.32"/>
    <n v="781.67999999999984"/>
    <s v="Credit Card"/>
    <s v="Neha"/>
    <s v="High"/>
  </r>
  <r>
    <s v="ORD00286"/>
    <d v="2024-02-13T00:00:00"/>
    <x v="1"/>
    <s v="2024-02-18"/>
    <s v="CUST9936"/>
    <x v="1"/>
    <x v="3"/>
    <s v="Tamil Nadu"/>
    <s v="Chennai"/>
    <s v="B2B"/>
    <x v="0"/>
    <s v="Product-36"/>
    <n v="9.5500000000000007"/>
    <n v="2455.11"/>
    <n v="21515.96"/>
    <n v="0"/>
    <n v="21582.27"/>
    <n v="17045.669999999998"/>
    <n v="4536.6000000000022"/>
    <s v="Credit Card"/>
    <s v="Amit"/>
    <s v="Low"/>
  </r>
  <r>
    <s v="ORD00265"/>
    <d v="2024-11-13T00:00:00"/>
    <x v="4"/>
    <s v="2024-11-16"/>
    <s v="CUST6236"/>
    <x v="0"/>
    <x v="1"/>
    <s v="Karnataka"/>
    <s v="Delhi"/>
    <s v="Online"/>
    <x v="1"/>
    <s v="Product-29"/>
    <n v="8.58"/>
    <n v="1709.04"/>
    <n v="12571.47"/>
    <n v="0.09"/>
    <n v="11873.22"/>
    <n v="8192.41"/>
    <n v="3680.8099999999995"/>
    <s v="Net Banking"/>
    <s v="Neha"/>
    <s v="Medium"/>
  </r>
  <r>
    <s v="ORD00202"/>
    <d v="2024-03-18T00:00:00"/>
    <x v="8"/>
    <s v="2024-03-20"/>
    <s v="CUST7489"/>
    <x v="1"/>
    <x v="3"/>
    <s v="Maharashtra"/>
    <s v="Noida"/>
    <s v="Online"/>
    <x v="0"/>
    <s v="Product-20"/>
    <n v="3.88"/>
    <n v="398.44"/>
    <n v="1970.44"/>
    <n v="0.15"/>
    <n v="1403.58"/>
    <n v="925.55"/>
    <n v="478.03"/>
    <s v="Debit Card"/>
    <s v="Rohit"/>
    <s v="High"/>
  </r>
  <r>
    <s v="ORD00258"/>
    <d v="2024-07-18T00:00:00"/>
    <x v="5"/>
    <s v="2024-07-21"/>
    <s v="CUST6759"/>
    <x v="1"/>
    <x v="1"/>
    <s v="Karnataka"/>
    <s v="Chennai"/>
    <s v="Retail Store"/>
    <x v="1"/>
    <s v="Product-39"/>
    <n v="6.08"/>
    <n v="3659.55"/>
    <n v="20569.41"/>
    <n v="0.1"/>
    <n v="15922.16"/>
    <n v="13250.47"/>
    <n v="2671.6900000000005"/>
    <s v="Credit Card"/>
    <s v="Neha"/>
    <s v="Medium"/>
  </r>
  <r>
    <s v="ORD00203"/>
    <d v="2024-10-19T00:00:00"/>
    <x v="2"/>
    <s v="2024-10-24"/>
    <s v="CUST4116"/>
    <x v="1"/>
    <x v="0"/>
    <s v="Uttar Pradesh"/>
    <s v="Mumbai"/>
    <s v="Retail Store"/>
    <x v="1"/>
    <s v="Product-23"/>
    <n v="11.78"/>
    <n v="3178.25"/>
    <n v="39285.93"/>
    <n v="0.1"/>
    <n v="34225.019999999997"/>
    <n v="22102.2"/>
    <n v="12122.819999999996"/>
    <s v="Net Banking"/>
    <s v="Rohit"/>
    <s v="High"/>
  </r>
  <r>
    <s v="ORD00243"/>
    <d v="2024-02-17T00:00:00"/>
    <x v="1"/>
    <s v="2024-02-19"/>
    <s v="CUST9859"/>
    <x v="2"/>
    <x v="2"/>
    <s v="Maharashtra"/>
    <s v="Chennai"/>
    <s v="Retail Store"/>
    <x v="0"/>
    <s v="Product-38"/>
    <n v="6.79"/>
    <n v="1282.28"/>
    <n v="9768.48"/>
    <n v="0.1"/>
    <n v="9993.94"/>
    <n v="6212.28"/>
    <n v="3781.6600000000008"/>
    <s v="Debit Card"/>
    <s v="Amit"/>
    <s v="High"/>
  </r>
  <r>
    <s v="ORD00300"/>
    <d v="2024-11-24T00:00:00"/>
    <x v="4"/>
    <s v="2024-11-28"/>
    <s v="CUST7183"/>
    <x v="0"/>
    <x v="2"/>
    <s v="Karnataka"/>
    <s v="Delhi"/>
    <s v="Retail Store"/>
    <x v="2"/>
    <s v="Product-32"/>
    <n v="4.7"/>
    <n v="3106.72"/>
    <n v="14862.69"/>
    <n v="0"/>
    <n v="15195.19"/>
    <n v="9916.8700000000008"/>
    <n v="5278.32"/>
    <s v="UPI"/>
    <s v="Amit"/>
    <s v="Medium"/>
  </r>
  <r>
    <s v="ORD00281"/>
    <d v="2024-11-15T00:00:00"/>
    <x v="4"/>
    <s v="2024-11-20"/>
    <s v="CUST4349"/>
    <x v="0"/>
    <x v="1"/>
    <s v="Delhi"/>
    <s v="Delhi"/>
    <s v="B2B"/>
    <x v="0"/>
    <s v="Product-13"/>
    <n v="8.81"/>
    <n v="1955.37"/>
    <n v="13100.53"/>
    <n v="0.05"/>
    <n v="15209.79"/>
    <n v="8210.6299999999992"/>
    <n v="6999.1600000000017"/>
    <s v="Net Banking"/>
    <s v="Pooja"/>
    <s v="High"/>
  </r>
  <r>
    <s v="ORD00194"/>
    <d v="2024-07-06T00:00:00"/>
    <x v="5"/>
    <s v="2024-07-12"/>
    <s v="CUST3010"/>
    <x v="2"/>
    <x v="3"/>
    <s v="Uttar Pradesh"/>
    <s v="Noida"/>
    <s v="Retail Store"/>
    <x v="1"/>
    <s v="Product-32"/>
    <n v="4.24"/>
    <n v="2700.05"/>
    <n v="15635.05"/>
    <n v="0"/>
    <n v="17264.47"/>
    <n v="13782.4"/>
    <n v="3482.0700000000015"/>
    <s v="UPI"/>
    <s v="Karan"/>
    <s v="Medium"/>
  </r>
  <r>
    <s v="ORD00279"/>
    <d v="2024-08-31T00:00:00"/>
    <x v="9"/>
    <s v="2024-09-07"/>
    <s v="CUST4428"/>
    <x v="0"/>
    <x v="3"/>
    <s v="Delhi"/>
    <s v="Mumbai"/>
    <s v="B2B"/>
    <x v="2"/>
    <s v="Product-34"/>
    <n v="2.71"/>
    <n v="2855.41"/>
    <n v="9576.82"/>
    <n v="0.1"/>
    <n v="7617.84"/>
    <n v="5482.89"/>
    <n v="2134.9499999999998"/>
    <s v="Net Banking"/>
    <s v="Pooja"/>
    <s v="Low"/>
  </r>
  <r>
    <s v="ORD00073"/>
    <d v="2024-09-22T00:00:00"/>
    <x v="3"/>
    <s v="2024-09-24"/>
    <s v="CUST4155"/>
    <x v="2"/>
    <x v="0"/>
    <s v="Karnataka"/>
    <s v="Delhi"/>
    <s v="Retail Store"/>
    <x v="1"/>
    <s v="Product-30"/>
    <n v="7.66"/>
    <n v="1643.24"/>
    <n v="10212.85"/>
    <n v="0.05"/>
    <n v="9844.6299999999992"/>
    <n v="6426.64"/>
    <n v="3417.9899999999989"/>
    <s v="Debit Card"/>
    <s v="Pooja"/>
    <s v="Medium"/>
  </r>
  <r>
    <s v="ORD00073"/>
    <d v="2024-09-22T00:00:00"/>
    <x v="3"/>
    <s v="2024-09-24"/>
    <s v="CUST4155"/>
    <x v="2"/>
    <x v="0"/>
    <s v="Karnataka"/>
    <s v="Delhi"/>
    <s v="Retail Store"/>
    <x v="1"/>
    <s v="Product-30"/>
    <n v="6.66"/>
    <n v="1902.62"/>
    <n v="11334.25"/>
    <n v="0.05"/>
    <n v="11260.1"/>
    <n v="6283.33"/>
    <n v="4976.7700000000004"/>
    <s v="Debit Card"/>
    <s v="Pooja"/>
    <s v="Medium"/>
  </r>
  <r>
    <s v="ORD00040"/>
    <d v="2024-08-18T00:00:00"/>
    <x v="9"/>
    <s v="2024-08-21"/>
    <s v="CUST2479"/>
    <x v="2"/>
    <x v="3"/>
    <s v="Karnataka"/>
    <s v="Mumbai"/>
    <s v="B2B"/>
    <x v="1"/>
    <s v="Product-33"/>
    <n v="6.64"/>
    <n v="1044.8800000000001"/>
    <n v="6357.32"/>
    <n v="0.05"/>
    <n v="6667.51"/>
    <n v="4420.41"/>
    <n v="2247.1000000000004"/>
    <s v="Debit Card"/>
    <s v="Amit"/>
    <s v="High"/>
  </r>
  <r>
    <s v="ORD00124"/>
    <d v="2024-02-01T00:00:00"/>
    <x v="1"/>
    <s v="2024-02-06"/>
    <s v="CUST1253"/>
    <x v="2"/>
    <x v="3"/>
    <s v="Uttar Pradesh"/>
    <s v="Chennai"/>
    <s v="Online"/>
    <x v="2"/>
    <s v="Product-25"/>
    <n v="9.9600000000000009"/>
    <n v="2519.27"/>
    <n v="27765.34"/>
    <n v="0.1"/>
    <n v="25140.42"/>
    <n v="23833.77"/>
    <n v="1306.6499999999978"/>
    <s v="Net Banking"/>
    <s v="Karan"/>
    <s v="Low"/>
  </r>
  <r>
    <s v="ORD00290"/>
    <d v="2024-03-09T00:00:00"/>
    <x v="8"/>
    <s v="2024-03-12"/>
    <s v="CUST2551"/>
    <x v="2"/>
    <x v="1"/>
    <s v="Maharashtra"/>
    <s v="Chennai"/>
    <s v="B2B"/>
    <x v="2"/>
    <s v="Product-18"/>
    <n v="5.28"/>
    <n v="2837.01"/>
    <n v="17634.580000000002"/>
    <n v="0"/>
    <n v="14296.19"/>
    <n v="12665.46"/>
    <n v="1630.7300000000014"/>
    <s v="Credit Card"/>
    <s v="Amit"/>
    <s v="Medium"/>
  </r>
  <r>
    <s v="ORD00263"/>
    <d v="2024-11-23T00:00:00"/>
    <x v="4"/>
    <s v="2024-11-27"/>
    <s v="CUST5546"/>
    <x v="0"/>
    <x v="2"/>
    <s v="Uttar Pradesh"/>
    <s v="Chennai"/>
    <s v="Online"/>
    <x v="1"/>
    <s v="Product-23"/>
    <n v="7.57"/>
    <n v="3567.82"/>
    <n v="27260.5"/>
    <n v="0.1"/>
    <n v="25558.9"/>
    <n v="20459.95"/>
    <n v="5098.9500000000007"/>
    <s v="Credit Card"/>
    <s v="Neha"/>
    <s v="High"/>
  </r>
  <r>
    <s v="ORD00189"/>
    <d v="2024-03-11T00:00:00"/>
    <x v="8"/>
    <s v="2024-03-14"/>
    <s v="CUST4645"/>
    <x v="1"/>
    <x v="1"/>
    <s v="Delhi"/>
    <s v="Mumbai"/>
    <s v="B2B"/>
    <x v="1"/>
    <s v="Product-24"/>
    <n v="5.63"/>
    <n v="2373.35"/>
    <n v="13236.38"/>
    <n v="0"/>
    <n v="13874.33"/>
    <n v="10715.47"/>
    <n v="3158.8600000000006"/>
    <s v="Net Banking"/>
    <s v="Rohit"/>
    <s v="High"/>
  </r>
  <r>
    <s v="ORD00046"/>
    <d v="2024-03-23T00:00:00"/>
    <x v="8"/>
    <s v="2024-03-24"/>
    <s v="CUST8421"/>
    <x v="0"/>
    <x v="1"/>
    <s v="Tamil Nadu"/>
    <s v="Mumbai"/>
    <s v="B2B"/>
    <x v="0"/>
    <s v="Product-16"/>
    <n v="4"/>
    <n v="1762.4"/>
    <n v="7169.27"/>
    <n v="0.16"/>
    <n v="6574.52"/>
    <n v="4830.7700000000004"/>
    <n v="1743.75"/>
    <s v="UPI"/>
    <s v="Neha"/>
    <s v="Medium"/>
  </r>
  <r>
    <s v="ORD00203"/>
    <d v="2024-10-19T00:00:00"/>
    <x v="2"/>
    <s v="2024-10-24"/>
    <s v="CUST4116"/>
    <x v="1"/>
    <x v="0"/>
    <s v="Uttar Pradesh"/>
    <s v="Mumbai"/>
    <s v="Retail Store"/>
    <x v="1"/>
    <s v="Product-23"/>
    <n v="11.92"/>
    <n v="3385.45"/>
    <n v="35892.36"/>
    <n v="0.1"/>
    <n v="36619.300000000003"/>
    <n v="20180.939999999999"/>
    <n v="16438.360000000004"/>
    <s v="Net Banking"/>
    <s v="Rohit"/>
    <s v="High"/>
  </r>
  <r>
    <s v="ORD00300"/>
    <d v="2024-11-24T00:00:00"/>
    <x v="4"/>
    <s v="2024-11-28"/>
    <s v="CUST7183"/>
    <x v="0"/>
    <x v="2"/>
    <s v="Karnataka"/>
    <s v="Delhi"/>
    <s v="Retail Store"/>
    <x v="2"/>
    <s v="Product-32"/>
    <n v="4.8099999999999996"/>
    <n v="3020.92"/>
    <n v="13390.21"/>
    <n v="0"/>
    <n v="15293.07"/>
    <n v="9564.4"/>
    <n v="5728.67"/>
    <s v="UPI"/>
    <s v="Amit"/>
    <s v="Medium"/>
  </r>
  <r>
    <s v="ORD00199"/>
    <d v="2024-10-23T00:00:00"/>
    <x v="2"/>
    <s v="2024-10-27"/>
    <s v="CUST1743"/>
    <x v="1"/>
    <x v="2"/>
    <s v="Maharashtra"/>
    <s v="Bengaluru"/>
    <s v="Retail Store"/>
    <x v="2"/>
    <s v="Product-5"/>
    <n v="5.47"/>
    <n v="1212.8599999999999"/>
    <n v="6736.27"/>
    <n v="0.05"/>
    <n v="6643.9"/>
    <n v="4515.6099999999997"/>
    <n v="2128.29"/>
    <s v="Debit Card"/>
    <s v="Rohit"/>
    <s v="High"/>
  </r>
  <r>
    <s v="ORD00009"/>
    <d v="2024-03-18T00:00:00"/>
    <x v="8"/>
    <s v="2024-03-20"/>
    <s v="CUST3987"/>
    <x v="0"/>
    <x v="3"/>
    <s v="Delhi"/>
    <s v="Mumbai"/>
    <s v="Retail Store"/>
    <x v="1"/>
    <s v="Product-24"/>
    <n v="9.2799999999999994"/>
    <n v="1147.82"/>
    <n v="12296.17"/>
    <n v="0.17"/>
    <n v="9265.83"/>
    <n v="8528.99"/>
    <n v="736.84000000000015"/>
    <s v="Debit Card"/>
    <s v="Neha"/>
    <s v="High"/>
  </r>
  <r>
    <s v="ORD00200"/>
    <d v="2024-10-20T00:00:00"/>
    <x v="2"/>
    <s v="2024-10-25"/>
    <s v="CUST2560"/>
    <x v="2"/>
    <x v="1"/>
    <s v="Uttar Pradesh"/>
    <s v="Delhi"/>
    <s v="Retail Store"/>
    <x v="2"/>
    <s v="Product-16"/>
    <n v="9.36"/>
    <n v="3081.86"/>
    <n v="35887.879999999997"/>
    <n v="0"/>
    <n v="30200.76"/>
    <n v="26932.2"/>
    <n v="3268.5599999999977"/>
    <s v="Credit Card"/>
    <s v="Amit"/>
    <s v="Medium"/>
  </r>
  <r>
    <s v="ORD00237"/>
    <d v="2024-09-29T00:00:00"/>
    <x v="3"/>
    <s v="2024-09-30"/>
    <s v="CUST4599"/>
    <x v="0"/>
    <x v="3"/>
    <s v="Maharashtra"/>
    <s v="Mumbai"/>
    <s v="B2B"/>
    <x v="1"/>
    <s v="Product-30"/>
    <n v="7.74"/>
    <n v="3689.42"/>
    <n v="20643.55"/>
    <n v="0.09"/>
    <n v="21302.33"/>
    <n v="10683.6"/>
    <n v="10618.730000000001"/>
    <s v="Net Banking"/>
    <s v="Pooja"/>
    <s v="Low"/>
  </r>
  <r>
    <s v="ORD00180"/>
    <d v="2024-07-26T00:00:00"/>
    <x v="5"/>
    <s v="2024-08-02"/>
    <s v="CUST8972"/>
    <x v="2"/>
    <x v="0"/>
    <s v="Delhi"/>
    <s v="Bengaluru"/>
    <s v="Retail Store"/>
    <x v="0"/>
    <s v="Product-8"/>
    <n v="3.86"/>
    <n v="767.15"/>
    <n v="2885.44"/>
    <n v="0.08"/>
    <n v="2945.28"/>
    <n v="1888.93"/>
    <n v="1056.3500000000001"/>
    <s v="Debit Card"/>
    <s v="Pooja"/>
    <s v="Low"/>
  </r>
  <r>
    <s v="ORD00084"/>
    <d v="2024-10-23T00:00:00"/>
    <x v="2"/>
    <s v="2024-10-27"/>
    <s v="CUST1006"/>
    <x v="2"/>
    <x v="0"/>
    <s v="Uttar Pradesh"/>
    <s v="Delhi"/>
    <s v="Retail Store"/>
    <x v="0"/>
    <s v="Product-16"/>
    <n v="9.58"/>
    <n v="3425.45"/>
    <n v="34823.040000000001"/>
    <n v="0.15"/>
    <n v="28231.200000000001"/>
    <n v="16896.75"/>
    <n v="11334.45"/>
    <s v="Credit Card"/>
    <s v="Amit"/>
    <s v="Low"/>
  </r>
  <r>
    <s v="ORD00187"/>
    <d v="2024-08-12T00:00:00"/>
    <x v="9"/>
    <s v="2024-08-13"/>
    <s v="CUST3694"/>
    <x v="0"/>
    <x v="3"/>
    <s v="Delhi"/>
    <s v="Chennai"/>
    <s v="B2B"/>
    <x v="1"/>
    <s v="Product-23"/>
    <n v="10.66"/>
    <n v="2888.7"/>
    <n v="36327.81"/>
    <n v="0.05"/>
    <n v="36411.129999999997"/>
    <n v="28949.63"/>
    <n v="7461.4999999999964"/>
    <s v="Credit Card"/>
    <s v="Pooja"/>
    <s v="Low"/>
  </r>
  <r>
    <s v="ORD00146"/>
    <d v="2024-10-20T00:00:00"/>
    <x v="2"/>
    <s v="2024-10-24"/>
    <s v="CUST7369"/>
    <x v="1"/>
    <x v="1"/>
    <s v="Uttar Pradesh"/>
    <s v="Noida"/>
    <s v="B2B"/>
    <x v="0"/>
    <s v="Product-26"/>
    <n v="12.7"/>
    <n v="1346.03"/>
    <n v="18190.05"/>
    <n v="0"/>
    <n v="19404.3"/>
    <n v="14781.38"/>
    <n v="4622.92"/>
    <s v="UPI"/>
    <s v="Rohit"/>
    <s v="Medium"/>
  </r>
  <r>
    <s v="ORD00185"/>
    <d v="2024-09-10T00:00:00"/>
    <x v="3"/>
    <s v="2024-09-14"/>
    <s v="CUST2314"/>
    <x v="2"/>
    <x v="2"/>
    <s v="Maharashtra"/>
    <s v="Mumbai"/>
    <s v="Retail Store"/>
    <x v="1"/>
    <s v="Product-26"/>
    <n v="8.5399999999999991"/>
    <n v="2521.14"/>
    <n v="19853.23"/>
    <n v="0.09"/>
    <n v="21091.26"/>
    <n v="14219.37"/>
    <n v="6871.8899999999976"/>
    <s v="UPI"/>
    <s v="Amit"/>
    <s v="Medium"/>
  </r>
  <r>
    <s v="ORD00024"/>
    <d v="2024-03-24T00:00:00"/>
    <x v="8"/>
    <s v="2024-03-30"/>
    <s v="CUST7616"/>
    <x v="0"/>
    <x v="1"/>
    <s v="Maharashtra"/>
    <s v="Bengaluru"/>
    <s v="Retail Store"/>
    <x v="0"/>
    <s v="Product-47"/>
    <n v="4.0599999999999996"/>
    <n v="912.99"/>
    <n v="3445.41"/>
    <n v="0.15"/>
    <n v="2622.87"/>
    <n v="2296.52"/>
    <n v="326.34999999999991"/>
    <s v="Debit Card"/>
    <s v="Amit"/>
    <s v="Medium"/>
  </r>
  <r>
    <s v="ORD00204"/>
    <d v="2024-08-07T00:00:00"/>
    <x v="9"/>
    <s v="2024-08-13"/>
    <s v="CUST5519"/>
    <x v="0"/>
    <x v="0"/>
    <s v="Maharashtra"/>
    <s v="Bengaluru"/>
    <s v="Online"/>
    <x v="1"/>
    <s v="Product-2"/>
    <n v="1.81"/>
    <n v="2891.56"/>
    <n v="5523.17"/>
    <n v="0.1"/>
    <n v="5460.63"/>
    <n v="4875.01"/>
    <n v="585.61999999999989"/>
    <s v="Credit Card"/>
    <s v="Amit"/>
    <s v="Medium"/>
  </r>
  <r>
    <s v="ORD00164"/>
    <d v="2024-05-21T00:00:00"/>
    <x v="7"/>
    <s v="2024-05-23"/>
    <s v="CUST2032"/>
    <x v="0"/>
    <x v="2"/>
    <s v="Tamil Nadu"/>
    <s v="Noida"/>
    <s v="Retail Store"/>
    <x v="0"/>
    <s v="Product-4"/>
    <n v="1.03"/>
    <n v="1255.98"/>
    <n v="1231.47"/>
    <n v="0"/>
    <n v="1185.23"/>
    <n v="917.7"/>
    <n v="267.52999999999997"/>
    <s v="Credit Card"/>
    <s v="Pooja"/>
    <s v="High"/>
  </r>
  <r>
    <s v="ORD00021"/>
    <d v="2024-05-07T00:00:00"/>
    <x v="7"/>
    <s v="2024-05-09"/>
    <s v="CUST1456"/>
    <x v="2"/>
    <x v="1"/>
    <s v="Karnataka"/>
    <s v="Noida"/>
    <s v="B2B"/>
    <x v="1"/>
    <s v="Product-33"/>
    <n v="4.1900000000000004"/>
    <n v="561.07000000000005"/>
    <n v="2948.24"/>
    <n v="0"/>
    <n v="3018.71"/>
    <n v="1771.03"/>
    <n v="1247.68"/>
    <s v="Credit Card"/>
    <s v="Rohit"/>
    <s v="Medium"/>
  </r>
  <r>
    <s v="ORD00249"/>
    <d v="2024-03-28T00:00:00"/>
    <x v="8"/>
    <s v="2024-03-30"/>
    <s v="CUST9488"/>
    <x v="2"/>
    <x v="3"/>
    <s v="Uttar Pradesh"/>
    <s v="Delhi"/>
    <s v="Online"/>
    <x v="1"/>
    <s v="Product-38"/>
    <n v="4.8899999999999997"/>
    <n v="3209.12"/>
    <n v="18839.66"/>
    <n v="0.16"/>
    <n v="14143.6"/>
    <n v="9861.76"/>
    <n v="4281.84"/>
    <s v="Credit Card"/>
    <s v="Neha"/>
    <s v="Low"/>
  </r>
  <r>
    <s v="ORD00278"/>
    <d v="2024-03-30T00:00:00"/>
    <x v="8"/>
    <s v="2024-04-05"/>
    <s v="CUST8455"/>
    <x v="2"/>
    <x v="3"/>
    <s v="Delhi"/>
    <s v="Mumbai"/>
    <s v="Retail Store"/>
    <x v="2"/>
    <s v="Product-32"/>
    <n v="5.44"/>
    <n v="1549.32"/>
    <n v="10248.61"/>
    <n v="0"/>
    <n v="10841.35"/>
    <n v="7981.44"/>
    <n v="2859.9100000000008"/>
    <s v="UPI"/>
    <s v="Rohit"/>
    <s v="Medium"/>
  </r>
  <r>
    <s v="ORD00275"/>
    <d v="2024-06-17T00:00:00"/>
    <x v="0"/>
    <s v="2024-06-23"/>
    <s v="CUST8066"/>
    <x v="0"/>
    <x v="1"/>
    <s v="Maharashtra"/>
    <s v="Bengaluru"/>
    <s v="B2B"/>
    <x v="0"/>
    <s v="Product-8"/>
    <n v="5.21"/>
    <n v="635.69000000000005"/>
    <n v="3166.62"/>
    <n v="0.14000000000000001"/>
    <n v="2388.41"/>
    <n v="1926.26"/>
    <n v="462.14999999999986"/>
    <s v="Net Banking"/>
    <s v="Neha"/>
    <s v="Medium"/>
  </r>
  <r>
    <s v="ORD00202"/>
    <d v="2024-03-18T00:00:00"/>
    <x v="8"/>
    <s v="2024-03-20"/>
    <s v="CUST7489"/>
    <x v="1"/>
    <x v="3"/>
    <s v="Maharashtra"/>
    <s v="Noida"/>
    <s v="Online"/>
    <x v="0"/>
    <s v="Product-20"/>
    <n v="4"/>
    <n v="413.92"/>
    <n v="1873.17"/>
    <n v="0.16"/>
    <n v="1486.5"/>
    <n v="874.05"/>
    <n v="612.45000000000005"/>
    <s v="Debit Card"/>
    <s v="Rohit"/>
    <s v="High"/>
  </r>
  <r>
    <s v="ORD00094"/>
    <d v="2024-06-27T00:00:00"/>
    <x v="0"/>
    <s v="2024-07-01"/>
    <s v="CUST6688"/>
    <x v="1"/>
    <x v="3"/>
    <s v="Uttar Pradesh"/>
    <s v="Mumbai"/>
    <s v="Retail Store"/>
    <x v="0"/>
    <s v="Product-45"/>
    <n v="2"/>
    <n v="1868.1"/>
    <n v="4008.08"/>
    <n v="0.05"/>
    <n v="4180.46"/>
    <n v="3211.29"/>
    <n v="969.17000000000007"/>
    <s v="Credit Card"/>
    <s v="Pooja"/>
    <s v="Low"/>
  </r>
  <r>
    <s v="ORD00274"/>
    <d v="2024-09-15T00:00:00"/>
    <x v="3"/>
    <s v="2024-09-18"/>
    <s v="CUST2841"/>
    <x v="0"/>
    <x v="1"/>
    <s v="Uttar Pradesh"/>
    <s v="Noida"/>
    <s v="Retail Store"/>
    <x v="0"/>
    <s v="Product-43"/>
    <n v="6.9"/>
    <n v="1698.33"/>
    <n v="10755.06"/>
    <n v="0.1"/>
    <n v="9143.85"/>
    <n v="7668.8"/>
    <n v="1475.0500000000002"/>
    <s v="UPI"/>
    <s v="Rohit"/>
    <s v="High"/>
  </r>
  <r>
    <s v="ORD00249"/>
    <d v="2024-03-28T00:00:00"/>
    <x v="8"/>
    <s v="2024-03-30"/>
    <s v="CUST9488"/>
    <x v="2"/>
    <x v="3"/>
    <s v="Uttar Pradesh"/>
    <s v="Delhi"/>
    <s v="Online"/>
    <x v="1"/>
    <s v="Product-38"/>
    <n v="5.17"/>
    <n v="3512.75"/>
    <n v="17483.45"/>
    <n v="0.16"/>
    <n v="13432.21"/>
    <n v="9729.4699999999993"/>
    <n v="3702.74"/>
    <s v="Credit Card"/>
    <s v="Neha"/>
    <s v="Low"/>
  </r>
  <r>
    <s v="ORD00129"/>
    <d v="2024-06-10T00:00:00"/>
    <x v="0"/>
    <s v="2024-06-15"/>
    <s v="CUST4352"/>
    <x v="1"/>
    <x v="1"/>
    <s v="Uttar Pradesh"/>
    <s v="Noida"/>
    <s v="Online"/>
    <x v="2"/>
    <s v="Product-50"/>
    <n v="0.97"/>
    <n v="1578.08"/>
    <n v="1458.42"/>
    <n v="0"/>
    <n v="1418.61"/>
    <n v="824.66"/>
    <n v="593.94999999999993"/>
    <s v="Debit Card"/>
    <s v="Pooja"/>
    <s v="Low"/>
  </r>
  <r>
    <s v="ORD00188"/>
    <d v="2024-10-04T00:00:00"/>
    <x v="2"/>
    <s v="2024-10-07"/>
    <s v="CUST2334"/>
    <x v="2"/>
    <x v="3"/>
    <s v="Uttar Pradesh"/>
    <s v="Bengaluru"/>
    <s v="B2B"/>
    <x v="1"/>
    <s v="Product-27"/>
    <n v="8.89"/>
    <n v="1795.82"/>
    <n v="14812.89"/>
    <n v="0.05"/>
    <n v="17404.419999999998"/>
    <n v="12660.36"/>
    <n v="4744.0599999999977"/>
    <s v="Debit Card"/>
    <s v="Pooja"/>
    <s v="High"/>
  </r>
  <r>
    <s v="ORD00099"/>
    <d v="2024-02-22T00:00:00"/>
    <x v="1"/>
    <s v="2024-02-24"/>
    <s v="CUST3430"/>
    <x v="0"/>
    <x v="3"/>
    <s v="Tamil Nadu"/>
    <s v="Bengaluru"/>
    <s v="Online"/>
    <x v="0"/>
    <s v="Product-41"/>
    <n v="10.17"/>
    <n v="675.81"/>
    <n v="7517.94"/>
    <n v="0.15"/>
    <n v="6807.39"/>
    <n v="3886.34"/>
    <n v="2921.05"/>
    <s v="UPI"/>
    <s v="Rohit"/>
    <s v="Low"/>
  </r>
  <r>
    <s v="ORD00187"/>
    <d v="2024-08-12T00:00:00"/>
    <x v="9"/>
    <s v="2024-08-13"/>
    <s v="CUST3694"/>
    <x v="0"/>
    <x v="3"/>
    <s v="Delhi"/>
    <s v="Chennai"/>
    <s v="B2B"/>
    <x v="1"/>
    <s v="Product-23"/>
    <n v="10.17"/>
    <n v="3258.08"/>
    <n v="40456.89"/>
    <n v="0.05"/>
    <n v="42496.6"/>
    <n v="28815.43"/>
    <n v="13681.169999999998"/>
    <s v="Credit Card"/>
    <s v="Pooja"/>
    <s v="Low"/>
  </r>
  <r>
    <s v="ORD00230"/>
    <d v="2024-11-07T00:00:00"/>
    <x v="4"/>
    <s v="2024-11-14"/>
    <s v="CUST3121"/>
    <x v="1"/>
    <x v="2"/>
    <s v="Uttar Pradesh"/>
    <s v="Bengaluru"/>
    <s v="Online"/>
    <x v="1"/>
    <s v="Product-14"/>
    <n v="4.55"/>
    <n v="1629.9"/>
    <n v="7186.19"/>
    <n v="0.16"/>
    <n v="6328.38"/>
    <n v="5307.48"/>
    <n v="1020.9000000000005"/>
    <s v="Debit Card"/>
    <s v="Amit"/>
    <s v="Low"/>
  </r>
  <r>
    <s v="ORD00092"/>
    <d v="2024-05-13T00:00:00"/>
    <x v="7"/>
    <s v="2024-05-14"/>
    <s v="CUST7029"/>
    <x v="0"/>
    <x v="1"/>
    <s v="Karnataka"/>
    <s v="Noida"/>
    <s v="B2B"/>
    <x v="0"/>
    <s v="Product-27"/>
    <n v="4.9800000000000004"/>
    <n v="1262.81"/>
    <n v="8005.9"/>
    <n v="0.09"/>
    <n v="6053.22"/>
    <n v="4124.63"/>
    <n v="1928.5900000000001"/>
    <s v="UPI"/>
    <s v="Pooja"/>
    <s v="High"/>
  </r>
  <r>
    <s v="ORD00146"/>
    <d v="2024-10-20T00:00:00"/>
    <x v="2"/>
    <s v="2024-10-24"/>
    <s v="CUST7369"/>
    <x v="1"/>
    <x v="1"/>
    <s v="Uttar Pradesh"/>
    <s v="Noida"/>
    <s v="B2B"/>
    <x v="0"/>
    <s v="Product-26"/>
    <n v="11.05"/>
    <n v="1590.88"/>
    <n v="17268.53"/>
    <n v="0"/>
    <n v="15755.08"/>
    <n v="15959.64"/>
    <n v="-204.55999999999949"/>
    <s v="UPI"/>
    <s v="Rohit"/>
    <s v="Medium"/>
  </r>
  <r>
    <s v="ORD00189"/>
    <d v="2024-03-11T00:00:00"/>
    <x v="8"/>
    <s v="2024-03-14"/>
    <s v="CUST4645"/>
    <x v="1"/>
    <x v="1"/>
    <s v="Delhi"/>
    <s v="Mumbai"/>
    <s v="B2B"/>
    <x v="1"/>
    <s v="Product-24"/>
    <n v="5.16"/>
    <n v="1928.81"/>
    <n v="11476.45"/>
    <n v="0"/>
    <n v="14502.81"/>
    <n v="8364.64"/>
    <n v="6138.17"/>
    <s v="Net Banking"/>
    <s v="Rohit"/>
    <s v="High"/>
  </r>
  <r>
    <s v="ORD00163"/>
    <d v="2024-09-17T00:00:00"/>
    <x v="3"/>
    <s v="2024-09-18"/>
    <s v="CUST9035"/>
    <x v="0"/>
    <x v="1"/>
    <s v="Delhi"/>
    <s v="Delhi"/>
    <s v="B2B"/>
    <x v="1"/>
    <s v="Product-21"/>
    <n v="0.99"/>
    <n v="612.54999999999995"/>
    <n v="761.08"/>
    <n v="0.05"/>
    <n v="638.02"/>
    <n v="558.82000000000005"/>
    <n v="79.199999999999932"/>
    <s v="Credit Card"/>
    <s v="Neha"/>
    <s v="Medium"/>
  </r>
  <r>
    <s v="ORD00042"/>
    <d v="2024-06-10T00:00:00"/>
    <x v="0"/>
    <s v="2024-06-11"/>
    <s v="CUST2966"/>
    <x v="2"/>
    <x v="0"/>
    <s v="Karnataka"/>
    <s v="Bengaluru"/>
    <s v="Retail Store"/>
    <x v="0"/>
    <s v="Product-26"/>
    <n v="5.61"/>
    <n v="328.13"/>
    <n v="2370.6799999999998"/>
    <n v="0.12"/>
    <n v="2215.44"/>
    <n v="1643.19"/>
    <n v="572.25"/>
    <s v="Net Banking"/>
    <s v="Karan"/>
    <s v="Low"/>
  </r>
  <r>
    <s v="ORD00038"/>
    <d v="2024-11-19T00:00:00"/>
    <x v="4"/>
    <s v="2024-11-25"/>
    <s v="CUST5987"/>
    <x v="1"/>
    <x v="2"/>
    <s v="Delhi"/>
    <s v="Chennai"/>
    <s v="Online"/>
    <x v="2"/>
    <s v="Product-18"/>
    <n v="4.24"/>
    <n v="642.28"/>
    <n v="2595.12"/>
    <n v="0.05"/>
    <n v="2132.0300000000002"/>
    <n v="1614.63"/>
    <n v="517.40000000000009"/>
    <s v="UPI"/>
    <s v="Neha"/>
    <s v="High"/>
  </r>
  <r>
    <s v="ORD00152"/>
    <d v="2024-08-28T00:00:00"/>
    <x v="9"/>
    <s v="2024-09-04"/>
    <s v="CUST9395"/>
    <x v="1"/>
    <x v="1"/>
    <s v="Uttar Pradesh"/>
    <s v="Chennai"/>
    <s v="Online"/>
    <x v="2"/>
    <s v="Product-11"/>
    <n v="4.9400000000000004"/>
    <n v="411.52"/>
    <n v="2321.42"/>
    <n v="0.1"/>
    <n v="1906.34"/>
    <n v="1385.14"/>
    <n v="521.19999999999982"/>
    <s v="Credit Card"/>
    <s v="Rohit"/>
    <s v="High"/>
  </r>
  <r>
    <s v="ORD00295"/>
    <d v="2024-02-04T00:00:00"/>
    <x v="1"/>
    <s v="2024-02-09"/>
    <s v="CUST2849"/>
    <x v="1"/>
    <x v="1"/>
    <s v="Uttar Pradesh"/>
    <s v="Bengaluru"/>
    <s v="Retail Store"/>
    <x v="0"/>
    <s v="Product-7"/>
    <n v="0.93"/>
    <n v="651.28"/>
    <n v="607.4"/>
    <n v="0"/>
    <n v="601.92999999999995"/>
    <n v="429.22"/>
    <n v="172.70999999999992"/>
    <s v="Debit Card"/>
    <s v="Rohit"/>
    <s v="Medium"/>
  </r>
  <r>
    <s v="ORD00197"/>
    <d v="2024-09-13T00:00:00"/>
    <x v="3"/>
    <s v="2024-09-17"/>
    <s v="CUST7431"/>
    <x v="0"/>
    <x v="2"/>
    <s v="Tamil Nadu"/>
    <s v="Chennai"/>
    <s v="Online"/>
    <x v="1"/>
    <s v="Product-34"/>
    <n v="0.95"/>
    <n v="2693.79"/>
    <n v="2825.84"/>
    <n v="0"/>
    <n v="3099.58"/>
    <n v="1722.79"/>
    <n v="1376.79"/>
    <s v="UPI"/>
    <s v="Rohit"/>
    <s v="Medium"/>
  </r>
  <r>
    <s v="ORD00169"/>
    <d v="2024-08-27T00:00:00"/>
    <x v="9"/>
    <s v="2024-09-03"/>
    <s v="CUST7638"/>
    <x v="0"/>
    <x v="2"/>
    <s v="Karnataka"/>
    <s v="Chennai"/>
    <s v="B2B"/>
    <x v="0"/>
    <s v="Product-15"/>
    <n v="3.46"/>
    <n v="886.25"/>
    <n v="3977.17"/>
    <n v="0.11"/>
    <n v="3279.87"/>
    <n v="2070.0300000000002"/>
    <n v="1209.8399999999997"/>
    <s v="Net Banking"/>
    <s v="Neha"/>
    <s v="High"/>
  </r>
  <r>
    <s v="ORD00023"/>
    <d v="2024-05-03T00:00:00"/>
    <x v="7"/>
    <s v="2024-05-07"/>
    <s v="CUST3530"/>
    <x v="1"/>
    <x v="3"/>
    <s v="Maharashtra"/>
    <s v="Bengaluru"/>
    <s v="Online"/>
    <x v="2"/>
    <s v="Product-15"/>
    <n v="2"/>
    <n v="977.79"/>
    <n v="2157.65"/>
    <n v="0.11"/>
    <n v="2046.62"/>
    <n v="1406"/>
    <n v="640.61999999999989"/>
    <s v="UPI"/>
    <s v="Pooja"/>
    <s v="Medium"/>
  </r>
  <r>
    <s v="ORD00243"/>
    <d v="2024-02-17T00:00:00"/>
    <x v="1"/>
    <s v="2024-02-19"/>
    <s v="CUST9859"/>
    <x v="2"/>
    <x v="2"/>
    <s v="Maharashtra"/>
    <s v="Chennai"/>
    <s v="Retail Store"/>
    <x v="0"/>
    <s v="Product-38"/>
    <n v="7.19"/>
    <n v="1342.07"/>
    <n v="10684.3"/>
    <n v="0.11"/>
    <n v="9418.24"/>
    <n v="6481.1"/>
    <n v="2937.1399999999994"/>
    <s v="Debit Card"/>
    <s v="Amit"/>
    <s v="High"/>
  </r>
  <r>
    <s v="ORD00001"/>
    <d v="2024-06-14T00:00:00"/>
    <x v="0"/>
    <s v="2024-06-16"/>
    <s v="CUST2542"/>
    <x v="0"/>
    <x v="0"/>
    <s v="Uttar Pradesh"/>
    <s v="Mumbai"/>
    <s v="Online"/>
    <x v="0"/>
    <s v="Product-28"/>
    <n v="6.63"/>
    <n v="2441.33"/>
    <n v="14515.58"/>
    <n v="0"/>
    <n v="16452.64"/>
    <n v="13545.37"/>
    <n v="2907.2699999999986"/>
    <s v="Net Banking"/>
    <s v="Amit"/>
    <s v="Low"/>
  </r>
  <r>
    <s v="ORD00226"/>
    <d v="2024-03-19T00:00:00"/>
    <x v="8"/>
    <s v="2024-03-25"/>
    <s v="CUST9562"/>
    <x v="1"/>
    <x v="3"/>
    <s v="Tamil Nadu"/>
    <s v="Delhi"/>
    <s v="Retail Store"/>
    <x v="2"/>
    <s v="Product-19"/>
    <n v="5.21"/>
    <n v="1416.26"/>
    <n v="6995.85"/>
    <n v="0.11"/>
    <n v="7442.61"/>
    <n v="5505.21"/>
    <n v="1937.3999999999996"/>
    <s v="Net Banking"/>
    <s v="Amit"/>
    <s v="Medium"/>
  </r>
  <r>
    <s v="ORD00169"/>
    <d v="2024-08-27T00:00:00"/>
    <x v="9"/>
    <s v="2024-09-03"/>
    <s v="CUST7638"/>
    <x v="0"/>
    <x v="2"/>
    <s v="Karnataka"/>
    <s v="Chennai"/>
    <s v="B2B"/>
    <x v="0"/>
    <s v="Product-15"/>
    <n v="3.33"/>
    <n v="836.21"/>
    <n v="3813.52"/>
    <n v="0.11"/>
    <n v="3309.09"/>
    <n v="1872.22"/>
    <n v="1436.8700000000001"/>
    <s v="Net Banking"/>
    <s v="Neha"/>
    <s v="High"/>
  </r>
  <r>
    <s v="ORD00233"/>
    <d v="2024-04-23T00:00:00"/>
    <x v="6"/>
    <s v="2024-04-30"/>
    <s v="CUST2445"/>
    <x v="2"/>
    <x v="1"/>
    <s v="Delhi"/>
    <s v="Mumbai"/>
    <s v="B2B"/>
    <x v="2"/>
    <s v="Product-31"/>
    <n v="1.99"/>
    <n v="2085.85"/>
    <n v="4270.41"/>
    <n v="0"/>
    <n v="4039.09"/>
    <n v="2813.71"/>
    <n v="1225.3800000000001"/>
    <s v="UPI"/>
    <s v="Karan"/>
    <s v="High"/>
  </r>
  <r>
    <s v="ORD00094"/>
    <d v="2024-06-27T00:00:00"/>
    <x v="0"/>
    <s v="2024-07-01"/>
    <s v="CUST6688"/>
    <x v="1"/>
    <x v="3"/>
    <s v="Uttar Pradesh"/>
    <s v="Mumbai"/>
    <s v="Retail Store"/>
    <x v="0"/>
    <s v="Product-45"/>
    <n v="2.13"/>
    <n v="1685.42"/>
    <n v="3651.57"/>
    <n v="0.05"/>
    <n v="3915.64"/>
    <n v="3343.09"/>
    <n v="572.54999999999973"/>
    <s v="Credit Card"/>
    <s v="Pooja"/>
    <s v="Low"/>
  </r>
  <r>
    <s v="ORD00157"/>
    <d v="2024-03-15T00:00:00"/>
    <x v="8"/>
    <s v="2024-03-19"/>
    <s v="CUST6408"/>
    <x v="0"/>
    <x v="2"/>
    <s v="Karnataka"/>
    <s v="Mumbai"/>
    <s v="Retail Store"/>
    <x v="0"/>
    <s v="Product-2"/>
    <n v="8.86"/>
    <n v="1642.93"/>
    <n v="17840.439999999999"/>
    <n v="0.05"/>
    <n v="16174.98"/>
    <n v="9129.0400000000009"/>
    <n v="7045.9399999999987"/>
    <s v="UPI"/>
    <s v="Rohit"/>
    <s v="High"/>
  </r>
  <r>
    <s v="ORD00088"/>
    <d v="2024-04-13T00:00:00"/>
    <x v="6"/>
    <s v="2024-04-15"/>
    <s v="CUST6383"/>
    <x v="1"/>
    <x v="2"/>
    <s v="Tamil Nadu"/>
    <s v="Noida"/>
    <s v="Retail Store"/>
    <x v="2"/>
    <s v="Product-34"/>
    <n v="12.14"/>
    <n v="3345.01"/>
    <n v="37265.440000000002"/>
    <n v="0.05"/>
    <n v="39043.519999999997"/>
    <n v="28406.12"/>
    <n v="10637.399999999998"/>
    <s v="UPI"/>
    <s v="Amit"/>
    <s v="Medium"/>
  </r>
  <r>
    <s v="ORD00021"/>
    <d v="2024-05-07T00:00:00"/>
    <x v="7"/>
    <s v="2024-05-09"/>
    <s v="CUST1456"/>
    <x v="2"/>
    <x v="1"/>
    <s v="Karnataka"/>
    <s v="Noida"/>
    <s v="B2B"/>
    <x v="1"/>
    <s v="Product-33"/>
    <n v="4.49"/>
    <n v="614.37"/>
    <n v="2883.32"/>
    <n v="0"/>
    <n v="3288.11"/>
    <n v="1613.45"/>
    <n v="1674.66"/>
    <s v="Credit Card"/>
    <s v="Rohit"/>
    <s v="Medium"/>
  </r>
  <r>
    <s v="ORD00232"/>
    <d v="2024-09-08T00:00:00"/>
    <x v="3"/>
    <s v="2024-09-10"/>
    <s v="CUST4280"/>
    <x v="0"/>
    <x v="0"/>
    <s v="Karnataka"/>
    <s v="Noida"/>
    <s v="Retail Store"/>
    <x v="2"/>
    <s v="Product-50"/>
    <n v="9.83"/>
    <n v="2609.92"/>
    <n v="25995.25"/>
    <n v="0"/>
    <n v="22703.41"/>
    <n v="20095.88"/>
    <n v="2607.5299999999988"/>
    <s v="Net Banking"/>
    <s v="Amit"/>
    <s v="Low"/>
  </r>
  <r>
    <s v="ORD00020"/>
    <d v="2024-11-07T00:00:00"/>
    <x v="4"/>
    <s v="2024-11-08"/>
    <s v="CUST2971"/>
    <x v="1"/>
    <x v="0"/>
    <s v="Karnataka"/>
    <s v="Noida"/>
    <s v="B2B"/>
    <x v="1"/>
    <s v="Product-31"/>
    <n v="3.15"/>
    <n v="1023.68"/>
    <n v="2778.23"/>
    <n v="0.14000000000000001"/>
    <n v="2168.23"/>
    <n v="1888.15"/>
    <n v="280.07999999999993"/>
    <s v="UPI"/>
    <s v="Karan"/>
    <s v="Low"/>
  </r>
  <r>
    <s v="ORD00187"/>
    <d v="2024-08-12T00:00:00"/>
    <x v="9"/>
    <s v="2024-08-13"/>
    <s v="CUST3694"/>
    <x v="0"/>
    <x v="3"/>
    <s v="Delhi"/>
    <s v="Chennai"/>
    <s v="B2B"/>
    <x v="1"/>
    <s v="Product-23"/>
    <n v="10.32"/>
    <n v="3399.63"/>
    <n v="33729.57"/>
    <n v="0.05"/>
    <n v="35898.29"/>
    <n v="28138.87"/>
    <n v="7759.4200000000019"/>
    <s v="Credit Card"/>
    <s v="Pooja"/>
    <s v="Low"/>
  </r>
  <r>
    <s v="ORD00183"/>
    <d v="2024-03-11T00:00:00"/>
    <x v="8"/>
    <s v="2024-03-17"/>
    <s v="CUST5854"/>
    <x v="0"/>
    <x v="2"/>
    <s v="Uttar Pradesh"/>
    <s v="Mumbai"/>
    <s v="Online"/>
    <x v="1"/>
    <s v="Product-20"/>
    <n v="1.07"/>
    <n v="479.97"/>
    <n v="522.33000000000004"/>
    <n v="0.16"/>
    <n v="432.05"/>
    <n v="352.74"/>
    <n v="79.31"/>
    <s v="Debit Card"/>
    <s v="Pooja"/>
    <s v="Low"/>
  </r>
  <r>
    <s v="ORD00236"/>
    <d v="2024-03-08T00:00:00"/>
    <x v="8"/>
    <s v="2024-03-09"/>
    <s v="CUST9011"/>
    <x v="1"/>
    <x v="2"/>
    <s v="Karnataka"/>
    <s v="Bengaluru"/>
    <s v="Online"/>
    <x v="2"/>
    <s v="Product-46"/>
    <n v="4.07"/>
    <n v="2091.31"/>
    <n v="7539.39"/>
    <n v="0.11"/>
    <n v="7655.48"/>
    <n v="6201.42"/>
    <n v="1454.0599999999995"/>
    <s v="UPI"/>
    <s v="Rohit"/>
    <s v="Low"/>
  </r>
  <r>
    <s v="ORD00084"/>
    <d v="2024-10-23T00:00:00"/>
    <x v="2"/>
    <s v="2024-10-27"/>
    <s v="CUST1006"/>
    <x v="2"/>
    <x v="0"/>
    <s v="Uttar Pradesh"/>
    <s v="Delhi"/>
    <s v="Retail Store"/>
    <x v="0"/>
    <s v="Product-16"/>
    <n v="10.36"/>
    <n v="3516.7"/>
    <n v="32132.55"/>
    <n v="0.15"/>
    <n v="25867.63"/>
    <n v="17147.64"/>
    <n v="8719.9900000000016"/>
    <s v="Credit Card"/>
    <s v="Amit"/>
    <s v="Low"/>
  </r>
  <r>
    <s v="ORD00159"/>
    <d v="2024-02-04T00:00:00"/>
    <x v="1"/>
    <s v="2024-02-09"/>
    <s v="CUST3526"/>
    <x v="2"/>
    <x v="1"/>
    <s v="Tamil Nadu"/>
    <s v="Chennai"/>
    <s v="Retail Store"/>
    <x v="1"/>
    <s v="Product-38"/>
    <n v="3.98"/>
    <n v="758.16"/>
    <n v="3166.39"/>
    <n v="0.09"/>
    <n v="2660.18"/>
    <n v="1947.46"/>
    <n v="712.7199999999998"/>
    <s v="Debit Card"/>
    <s v="Karan"/>
    <s v="High"/>
  </r>
  <r>
    <s v="ORD00031"/>
    <d v="2024-01-28T00:00:00"/>
    <x v="10"/>
    <s v="2024-02-04"/>
    <s v="CUST1907"/>
    <x v="2"/>
    <x v="1"/>
    <s v="Uttar Pradesh"/>
    <s v="Bengaluru"/>
    <s v="B2B"/>
    <x v="0"/>
    <s v="Product-45"/>
    <n v="3.16"/>
    <n v="419.01"/>
    <n v="1408.49"/>
    <n v="0.09"/>
    <n v="1328.3"/>
    <n v="839.24"/>
    <n v="489.05999999999995"/>
    <s v="Debit Card"/>
    <s v="Amit"/>
    <s v="Medium"/>
  </r>
  <r>
    <s v="ORD00072"/>
    <d v="2024-11-21T00:00:00"/>
    <x v="4"/>
    <s v="2024-11-25"/>
    <s v="CUST4638"/>
    <x v="1"/>
    <x v="1"/>
    <s v="Uttar Pradesh"/>
    <s v="Mumbai"/>
    <s v="Retail Store"/>
    <x v="0"/>
    <s v="Product-37"/>
    <n v="2.0499999999999998"/>
    <n v="3555"/>
    <n v="6880.09"/>
    <n v="0.05"/>
    <n v="6534.87"/>
    <n v="4993.17"/>
    <n v="1541.6999999999998"/>
    <s v="Credit Card"/>
    <s v="Amit"/>
    <s v="Medium"/>
  </r>
  <r>
    <s v="ORD00022"/>
    <d v="2024-09-17T00:00:00"/>
    <x v="3"/>
    <s v="2024-09-22"/>
    <s v="CUST5253"/>
    <x v="1"/>
    <x v="2"/>
    <s v="Tamil Nadu"/>
    <s v="Mumbai"/>
    <s v="Retail Store"/>
    <x v="0"/>
    <s v="Product-26"/>
    <n v="7.28"/>
    <n v="1815.09"/>
    <n v="17016.16"/>
    <n v="0.05"/>
    <n v="15830.46"/>
    <n v="12204.95"/>
    <n v="3625.5099999999984"/>
    <s v="Net Banking"/>
    <s v="Rohit"/>
    <s v="Low"/>
  </r>
  <r>
    <s v="ORD00232"/>
    <d v="2024-09-08T00:00:00"/>
    <x v="3"/>
    <s v="2024-09-10"/>
    <s v="CUST4280"/>
    <x v="0"/>
    <x v="0"/>
    <s v="Karnataka"/>
    <s v="Noida"/>
    <s v="Retail Store"/>
    <x v="2"/>
    <s v="Product-50"/>
    <n v="9.3699999999999992"/>
    <n v="2596.48"/>
    <n v="26783.25"/>
    <n v="0"/>
    <n v="24653.84"/>
    <n v="19930.77"/>
    <n v="4723.07"/>
    <s v="Net Banking"/>
    <s v="Amit"/>
    <s v="Low"/>
  </r>
  <r>
    <s v="ORD00230"/>
    <d v="2024-11-07T00:00:00"/>
    <x v="4"/>
    <s v="2024-11-14"/>
    <s v="CUST3121"/>
    <x v="1"/>
    <x v="2"/>
    <s v="Uttar Pradesh"/>
    <s v="Bengaluru"/>
    <s v="Online"/>
    <x v="1"/>
    <s v="Product-14"/>
    <n v="4.91"/>
    <n v="1426.03"/>
    <n v="7444.09"/>
    <n v="0.15"/>
    <n v="6478.07"/>
    <n v="5394.3"/>
    <n v="1083.7699999999995"/>
    <s v="Debit Card"/>
    <s v="Amit"/>
    <s v="Low"/>
  </r>
  <r>
    <s v="ORD00057"/>
    <d v="2024-07-12T00:00:00"/>
    <x v="5"/>
    <s v="2024-07-19"/>
    <s v="CUST1047"/>
    <x v="2"/>
    <x v="3"/>
    <s v="Delhi"/>
    <s v="Bengaluru"/>
    <s v="Retail Store"/>
    <x v="0"/>
    <s v="Product-36"/>
    <n v="5.77"/>
    <n v="3234.82"/>
    <n v="21631.58"/>
    <n v="0.17"/>
    <n v="18436.63"/>
    <n v="11549.05"/>
    <n v="6887.5800000000017"/>
    <s v="Credit Card"/>
    <s v="Pooja"/>
    <s v="Medium"/>
  </r>
  <r>
    <s v="ORD00199"/>
    <d v="2024-10-23T00:00:00"/>
    <x v="2"/>
    <s v="2024-10-27"/>
    <s v="CUST1743"/>
    <x v="1"/>
    <x v="2"/>
    <s v="Maharashtra"/>
    <s v="Bengaluru"/>
    <s v="Retail Store"/>
    <x v="2"/>
    <s v="Product-5"/>
    <n v="5.26"/>
    <n v="1199.6500000000001"/>
    <n v="6316.51"/>
    <n v="0.05"/>
    <n v="6739.83"/>
    <n v="4934.22"/>
    <n v="1805.6099999999997"/>
    <s v="Debit Card"/>
    <s v="Rohit"/>
    <s v="High"/>
  </r>
  <r>
    <s v="ORD00057"/>
    <d v="2024-07-12T00:00:00"/>
    <x v="5"/>
    <s v="2024-07-19"/>
    <s v="CUST1047"/>
    <x v="2"/>
    <x v="3"/>
    <s v="Delhi"/>
    <s v="Bengaluru"/>
    <s v="Retail Store"/>
    <x v="0"/>
    <s v="Product-36"/>
    <n v="6.59"/>
    <n v="3777.74"/>
    <n v="21213.07"/>
    <n v="0.15"/>
    <n v="19452.93"/>
    <n v="12085.44"/>
    <n v="7367.49"/>
    <s v="Credit Card"/>
    <s v="Pooja"/>
    <s v="Medium"/>
  </r>
  <r>
    <s v="ORD00137"/>
    <d v="2024-02-25T00:00:00"/>
    <x v="1"/>
    <s v="2024-02-28"/>
    <s v="CUST9412"/>
    <x v="2"/>
    <x v="2"/>
    <s v="Uttar Pradesh"/>
    <s v="Chennai"/>
    <s v="Retail Store"/>
    <x v="0"/>
    <s v="Product-17"/>
    <n v="7.78"/>
    <n v="2725.56"/>
    <n v="25689.86"/>
    <n v="0"/>
    <n v="27831.66"/>
    <n v="15454.18"/>
    <n v="12377.48"/>
    <s v="Credit Card"/>
    <s v="Rohit"/>
    <s v="Medium"/>
  </r>
  <r>
    <s v="ORD00012"/>
    <d v="2024-05-09T00:00:00"/>
    <x v="7"/>
    <s v="2024-05-12"/>
    <s v="CUST8996"/>
    <x v="0"/>
    <x v="1"/>
    <s v="Tamil Nadu"/>
    <s v="Bengaluru"/>
    <s v="Online"/>
    <x v="0"/>
    <s v="Product-7"/>
    <n v="10.74"/>
    <n v="1509.57"/>
    <n v="14260.2"/>
    <n v="0"/>
    <n v="16261.38"/>
    <n v="9359.77"/>
    <n v="6901.6099999999988"/>
    <s v="Debit Card"/>
    <s v="Rohit"/>
    <s v="Medium"/>
  </r>
  <r>
    <s v="ORD00137"/>
    <d v="2024-02-25T00:00:00"/>
    <x v="1"/>
    <s v="2024-02-28"/>
    <s v="CUST9412"/>
    <x v="2"/>
    <x v="2"/>
    <s v="Uttar Pradesh"/>
    <s v="Chennai"/>
    <s v="Retail Store"/>
    <x v="0"/>
    <s v="Product-17"/>
    <n v="7.02"/>
    <n v="2469.36"/>
    <n v="24852.7"/>
    <n v="0"/>
    <n v="27574.02"/>
    <n v="14829.16"/>
    <n v="12744.86"/>
    <s v="Credit Card"/>
    <s v="Rohit"/>
    <s v="Medium"/>
  </r>
  <r>
    <s v="ORD00197"/>
    <d v="2024-09-13T00:00:00"/>
    <x v="3"/>
    <s v="2024-09-17"/>
    <s v="CUST7431"/>
    <x v="0"/>
    <x v="2"/>
    <s v="Tamil Nadu"/>
    <s v="Chennai"/>
    <s v="Online"/>
    <x v="1"/>
    <s v="Product-34"/>
    <n v="0.94"/>
    <n v="2844.84"/>
    <n v="3116.45"/>
    <n v="0"/>
    <n v="2732.14"/>
    <n v="1977.07"/>
    <n v="755.06999999999994"/>
    <s v="UPI"/>
    <s v="Rohit"/>
    <s v="Medium"/>
  </r>
  <r>
    <s v="ORD00137"/>
    <d v="2024-02-25T00:00:00"/>
    <x v="1"/>
    <s v="2024-02-28"/>
    <s v="CUST9412"/>
    <x v="2"/>
    <x v="2"/>
    <s v="Uttar Pradesh"/>
    <s v="Chennai"/>
    <s v="Retail Store"/>
    <x v="0"/>
    <s v="Product-17"/>
    <n v="8.48"/>
    <n v="3310.47"/>
    <n v="27762.84"/>
    <n v="0"/>
    <n v="25179.24"/>
    <n v="16370.97"/>
    <n v="8808.2700000000023"/>
    <s v="Credit Card"/>
    <s v="Rohit"/>
    <s v="Medium"/>
  </r>
  <r>
    <s v="ORD00082"/>
    <d v="2024-10-17T00:00:00"/>
    <x v="2"/>
    <s v="2024-10-20"/>
    <s v="CUST7770"/>
    <x v="1"/>
    <x v="3"/>
    <s v="Uttar Pradesh"/>
    <s v="Mumbai"/>
    <s v="Online"/>
    <x v="2"/>
    <s v="Product-40"/>
    <n v="4.62"/>
    <n v="638.47"/>
    <n v="3552.83"/>
    <n v="0.1"/>
    <n v="3235.49"/>
    <n v="2553.9499999999998"/>
    <n v="681.54"/>
    <s v="Net Banking"/>
    <s v="Neha"/>
    <s v="Low"/>
  </r>
  <r>
    <s v="ORD00070"/>
    <d v="2024-02-16T00:00:00"/>
    <x v="1"/>
    <s v="2024-02-20"/>
    <s v="CUST3129"/>
    <x v="2"/>
    <x v="0"/>
    <s v="Uttar Pradesh"/>
    <s v="Mumbai"/>
    <s v="B2B"/>
    <x v="2"/>
    <s v="Product-6"/>
    <n v="9.07"/>
    <n v="2605.7199999999998"/>
    <n v="31546.05"/>
    <n v="0.16"/>
    <n v="28213.29"/>
    <n v="17309.93"/>
    <n v="10903.36"/>
    <s v="Debit Card"/>
    <s v="Karan"/>
    <s v="Low"/>
  </r>
  <r>
    <s v="ORD00100"/>
    <d v="2024-07-17T00:00:00"/>
    <x v="5"/>
    <s v="2024-07-21"/>
    <s v="CUST9199"/>
    <x v="1"/>
    <x v="3"/>
    <s v="Tamil Nadu"/>
    <s v="Delhi"/>
    <s v="Online"/>
    <x v="2"/>
    <s v="Product-39"/>
    <n v="1.18"/>
    <n v="482.7"/>
    <n v="379.86"/>
    <n v="0.14000000000000001"/>
    <n v="302.64"/>
    <n v="294.82"/>
    <n v="7.8199999999999932"/>
    <s v="Net Banking"/>
    <s v="Amit"/>
    <s v="High"/>
  </r>
  <r>
    <s v="ORD00061"/>
    <d v="2024-09-09T00:00:00"/>
    <x v="3"/>
    <s v="2024-09-11"/>
    <s v="CUST3479"/>
    <x v="1"/>
    <x v="2"/>
    <s v="Karnataka"/>
    <s v="Bengaluru"/>
    <s v="Retail Store"/>
    <x v="2"/>
    <s v="Product-39"/>
    <n v="8.09"/>
    <n v="987.46"/>
    <n v="6484.46"/>
    <n v="0.09"/>
    <n v="6623.93"/>
    <n v="5132.53"/>
    <n v="1491.4000000000005"/>
    <s v="UPI"/>
    <s v="Karan"/>
    <s v="Low"/>
  </r>
  <r>
    <s v="ORD00113"/>
    <d v="2024-07-03T00:00:00"/>
    <x v="5"/>
    <s v="2024-07-09"/>
    <s v="CUST6414"/>
    <x v="2"/>
    <x v="1"/>
    <s v="Tamil Nadu"/>
    <s v="Mumbai"/>
    <s v="Online"/>
    <x v="0"/>
    <s v="Product-46"/>
    <n v="10.53"/>
    <n v="520.37"/>
    <n v="5016.38"/>
    <n v="0"/>
    <n v="4842.99"/>
    <n v="4552.0600000000004"/>
    <n v="290.92999999999938"/>
    <s v="Net Banking"/>
    <s v="Neha"/>
    <s v="Medium"/>
  </r>
  <r>
    <s v="ORD00128"/>
    <d v="2024-04-02T00:00:00"/>
    <x v="6"/>
    <s v="2024-04-09"/>
    <s v="CUST9474"/>
    <x v="2"/>
    <x v="2"/>
    <s v="Delhi"/>
    <s v="Chennai"/>
    <s v="Retail Store"/>
    <x v="0"/>
    <s v="Product-24"/>
    <n v="13.96"/>
    <n v="1334.47"/>
    <n v="14519.13"/>
    <n v="0.11"/>
    <n v="14615.33"/>
    <n v="9011.4"/>
    <n v="5603.93"/>
    <s v="Net Banking"/>
    <s v="Amit"/>
    <s v="Low"/>
  </r>
  <r>
    <s v="ORD00280"/>
    <d v="2024-08-11T00:00:00"/>
    <x v="9"/>
    <s v="2024-08-13"/>
    <s v="CUST9704"/>
    <x v="0"/>
    <x v="0"/>
    <s v="Delhi"/>
    <s v="Delhi"/>
    <s v="Retail Store"/>
    <x v="0"/>
    <s v="Product-14"/>
    <n v="2.71"/>
    <n v="432.01"/>
    <n v="1446.91"/>
    <n v="0.05"/>
    <n v="1356.37"/>
    <n v="903.54"/>
    <n v="452.82999999999993"/>
    <s v="UPI"/>
    <s v="Rohit"/>
    <s v="Medium"/>
  </r>
  <r>
    <s v="ORD00017"/>
    <d v="2024-07-21T00:00:00"/>
    <x v="5"/>
    <s v="2024-07-25"/>
    <s v="CUST3785"/>
    <x v="2"/>
    <x v="0"/>
    <s v="Maharashtra"/>
    <s v="Noida"/>
    <s v="Retail Store"/>
    <x v="1"/>
    <s v="Product-10"/>
    <n v="7.45"/>
    <n v="2888.93"/>
    <n v="18281.54"/>
    <n v="0"/>
    <n v="19428.7"/>
    <n v="14843.24"/>
    <n v="4585.4600000000009"/>
    <s v="Net Banking"/>
    <s v="Rohit"/>
    <s v="Low"/>
  </r>
  <r>
    <s v="ORD00265"/>
    <d v="2024-11-13T00:00:00"/>
    <x v="4"/>
    <s v="2024-11-16"/>
    <s v="CUST6236"/>
    <x v="0"/>
    <x v="1"/>
    <s v="Karnataka"/>
    <s v="Delhi"/>
    <s v="Online"/>
    <x v="1"/>
    <s v="Product-29"/>
    <n v="9.0500000000000007"/>
    <n v="1948.89"/>
    <n v="14374.55"/>
    <n v="0.1"/>
    <n v="11604.1"/>
    <n v="8096.64"/>
    <n v="3507.46"/>
    <s v="Net Banking"/>
    <s v="Neha"/>
    <s v="Medium"/>
  </r>
  <r>
    <s v="ORD00058"/>
    <d v="2024-06-07T00:00:00"/>
    <x v="0"/>
    <s v="2024-06-14"/>
    <s v="CUST9872"/>
    <x v="0"/>
    <x v="2"/>
    <s v="Karnataka"/>
    <s v="Bengaluru"/>
    <s v="B2B"/>
    <x v="2"/>
    <s v="Product-2"/>
    <n v="6.65"/>
    <n v="689.76"/>
    <n v="4925.5200000000004"/>
    <n v="0.13"/>
    <n v="4080.9"/>
    <n v="2687.3"/>
    <n v="1393.6"/>
    <s v="Net Banking"/>
    <s v="Neha"/>
    <s v="High"/>
  </r>
  <r>
    <s v="ORD00124"/>
    <d v="2024-02-01T00:00:00"/>
    <x v="1"/>
    <s v="2024-02-06"/>
    <s v="CUST1253"/>
    <x v="2"/>
    <x v="3"/>
    <s v="Uttar Pradesh"/>
    <s v="Chennai"/>
    <s v="Online"/>
    <x v="2"/>
    <s v="Product-25"/>
    <n v="9.98"/>
    <n v="2362.9299999999998"/>
    <n v="29870.81"/>
    <n v="0.09"/>
    <n v="25090.17"/>
    <n v="24092.62"/>
    <n v="997.54999999999927"/>
    <s v="Net Banking"/>
    <s v="Karan"/>
    <s v="Low"/>
  </r>
  <r>
    <s v="ORD00087"/>
    <d v="2024-05-14T00:00:00"/>
    <x v="7"/>
    <s v="2024-05-20"/>
    <s v="CUST9572"/>
    <x v="0"/>
    <x v="3"/>
    <s v="Maharashtra"/>
    <s v="Delhi"/>
    <s v="B2B"/>
    <x v="0"/>
    <s v="Product-11"/>
    <n v="0.94"/>
    <n v="1400.83"/>
    <n v="1320.87"/>
    <n v="0.15"/>
    <n v="1175.2"/>
    <n v="758.33"/>
    <n v="416.87"/>
    <s v="Debit Card"/>
    <s v="Neha"/>
    <s v="High"/>
  </r>
  <r>
    <s v="ORD00246"/>
    <d v="2024-03-08T00:00:00"/>
    <x v="8"/>
    <s v="2024-03-12"/>
    <s v="CUST3685"/>
    <x v="0"/>
    <x v="2"/>
    <s v="Delhi"/>
    <s v="Bengaluru"/>
    <s v="Online"/>
    <x v="1"/>
    <s v="Product-31"/>
    <n v="10.32"/>
    <n v="2648.42"/>
    <n v="34287.1"/>
    <n v="0"/>
    <n v="32062.48"/>
    <n v="21622.59"/>
    <n v="10439.89"/>
    <s v="Debit Card"/>
    <s v="Neha"/>
    <s v="Medium"/>
  </r>
  <r>
    <s v="ORD00234"/>
    <d v="2024-08-01T00:00:00"/>
    <x v="9"/>
    <s v="2024-08-08"/>
    <s v="CUST3384"/>
    <x v="0"/>
    <x v="3"/>
    <s v="Maharashtra"/>
    <s v="Noida"/>
    <s v="Online"/>
    <x v="0"/>
    <s v="Product-35"/>
    <n v="10.42"/>
    <n v="850.69"/>
    <n v="8512.9"/>
    <n v="0.16"/>
    <n v="6609.5"/>
    <n v="5593.36"/>
    <n v="1016.1400000000003"/>
    <s v="Debit Card"/>
    <s v="Karan"/>
    <s v="Medium"/>
  </r>
  <r>
    <s v="ORD00046"/>
    <d v="2024-03-23T00:00:00"/>
    <x v="8"/>
    <s v="2024-03-24"/>
    <s v="CUST8421"/>
    <x v="0"/>
    <x v="1"/>
    <s v="Tamil Nadu"/>
    <s v="Mumbai"/>
    <s v="B2B"/>
    <x v="0"/>
    <s v="Product-16"/>
    <n v="4.67"/>
    <n v="1795.07"/>
    <n v="8288.32"/>
    <n v="0.14000000000000001"/>
    <n v="6420.61"/>
    <n v="5121.6099999999997"/>
    <n v="1299"/>
    <s v="UPI"/>
    <s v="Neha"/>
    <s v="Medium"/>
  </r>
  <r>
    <s v="ORD00281"/>
    <d v="2024-11-15T00:00:00"/>
    <x v="4"/>
    <s v="2024-11-20"/>
    <s v="CUST4349"/>
    <x v="0"/>
    <x v="1"/>
    <s v="Delhi"/>
    <s v="Delhi"/>
    <s v="B2B"/>
    <x v="0"/>
    <s v="Product-13"/>
    <n v="8.86"/>
    <n v="2039.37"/>
    <n v="13499.22"/>
    <n v="0.05"/>
    <n v="14016.99"/>
    <n v="7908.66"/>
    <n v="6108.33"/>
    <s v="Net Banking"/>
    <s v="Pooja"/>
    <s v="High"/>
  </r>
  <r>
    <s v="ORD00187"/>
    <d v="2024-08-12T00:00:00"/>
    <x v="9"/>
    <s v="2024-08-13"/>
    <s v="CUST3694"/>
    <x v="0"/>
    <x v="3"/>
    <s v="Delhi"/>
    <s v="Chennai"/>
    <s v="B2B"/>
    <x v="1"/>
    <s v="Product-23"/>
    <n v="9.4"/>
    <n v="3703.86"/>
    <n v="30686.04"/>
    <n v="0.05"/>
    <n v="34493.449999999997"/>
    <n v="30075.87"/>
    <n v="4417.5799999999981"/>
    <s v="Credit Card"/>
    <s v="Pooja"/>
    <s v="Low"/>
  </r>
  <r>
    <s v="ORD00096"/>
    <d v="2024-05-14T00:00:00"/>
    <x v="7"/>
    <s v="2024-05-18"/>
    <s v="CUST4826"/>
    <x v="0"/>
    <x v="2"/>
    <s v="Uttar Pradesh"/>
    <s v="Noida"/>
    <s v="B2B"/>
    <x v="1"/>
    <s v="Product-42"/>
    <n v="9.89"/>
    <n v="1867.55"/>
    <n v="20272.46"/>
    <n v="0.16"/>
    <n v="13300.55"/>
    <n v="12226.92"/>
    <n v="1073.6299999999992"/>
    <s v="UPI"/>
    <s v="Rohit"/>
    <s v="High"/>
  </r>
  <r>
    <s v="ORD00187"/>
    <d v="2024-08-12T00:00:00"/>
    <x v="9"/>
    <s v="2024-08-13"/>
    <s v="CUST3694"/>
    <x v="0"/>
    <x v="3"/>
    <s v="Delhi"/>
    <s v="Chennai"/>
    <s v="B2B"/>
    <x v="1"/>
    <s v="Product-23"/>
    <n v="10.49"/>
    <n v="3485.17"/>
    <n v="44423.66"/>
    <n v="0.05"/>
    <n v="40946.410000000003"/>
    <n v="29891.95"/>
    <n v="11054.460000000003"/>
    <s v="Credit Card"/>
    <s v="Pooja"/>
    <s v="Low"/>
  </r>
  <r>
    <s v="ORD00028"/>
    <d v="2024-03-07T00:00:00"/>
    <x v="8"/>
    <s v="2024-03-08"/>
    <s v="CUST5290"/>
    <x v="2"/>
    <x v="2"/>
    <s v="Maharashtra"/>
    <s v="Bengaluru"/>
    <s v="B2B"/>
    <x v="2"/>
    <s v="Product-34"/>
    <n v="10.25"/>
    <n v="2309.96"/>
    <n v="22892.87"/>
    <n v="0"/>
    <n v="24238.48"/>
    <n v="20567.740000000002"/>
    <n v="3670.739999999998"/>
    <s v="Credit Card"/>
    <s v="Rohit"/>
    <s v="Medium"/>
  </r>
  <r>
    <s v="ORD00042"/>
    <d v="2024-06-10T00:00:00"/>
    <x v="0"/>
    <s v="2024-06-11"/>
    <s v="CUST2966"/>
    <x v="2"/>
    <x v="0"/>
    <s v="Karnataka"/>
    <s v="Bengaluru"/>
    <s v="Retail Store"/>
    <x v="0"/>
    <s v="Product-26"/>
    <n v="5.45"/>
    <n v="322.49"/>
    <n v="2428.0300000000002"/>
    <n v="0.13"/>
    <n v="2064.5500000000002"/>
    <n v="1801.85"/>
    <n v="262.70000000000027"/>
    <s v="Net Banking"/>
    <s v="Karan"/>
    <s v="Low"/>
  </r>
  <r>
    <s v="ORD00265"/>
    <d v="2024-11-13T00:00:00"/>
    <x v="4"/>
    <s v="2024-11-16"/>
    <s v="CUST6236"/>
    <x v="0"/>
    <x v="1"/>
    <s v="Karnataka"/>
    <s v="Delhi"/>
    <s v="Online"/>
    <x v="1"/>
    <s v="Product-29"/>
    <n v="8.1999999999999993"/>
    <n v="1863.74"/>
    <n v="13225.21"/>
    <n v="0.08"/>
    <n v="11530.91"/>
    <n v="8637.6200000000008"/>
    <n v="2893.2899999999991"/>
    <s v="Net Banking"/>
    <s v="Neha"/>
    <s v="Medium"/>
  </r>
  <r>
    <s v="ORD00070"/>
    <d v="2024-02-16T00:00:00"/>
    <x v="1"/>
    <s v="2024-02-20"/>
    <s v="CUST3129"/>
    <x v="2"/>
    <x v="0"/>
    <s v="Uttar Pradesh"/>
    <s v="Mumbai"/>
    <s v="B2B"/>
    <x v="2"/>
    <s v="Product-6"/>
    <n v="9.81"/>
    <n v="2492.62"/>
    <n v="28762.400000000001"/>
    <n v="0.15"/>
    <n v="26872.06"/>
    <n v="17894.93"/>
    <n v="8977.130000000001"/>
    <s v="Debit Card"/>
    <s v="Karan"/>
    <s v="Low"/>
  </r>
  <r>
    <s v="ORD00220"/>
    <d v="2024-07-27T00:00:00"/>
    <x v="5"/>
    <s v="2024-08-03"/>
    <s v="CUST1678"/>
    <x v="1"/>
    <x v="1"/>
    <s v="Uttar Pradesh"/>
    <s v="Bengaluru"/>
    <s v="B2B"/>
    <x v="2"/>
    <s v="Product-45"/>
    <n v="9.15"/>
    <n v="3303.9"/>
    <n v="27334.02"/>
    <n v="0.1"/>
    <n v="25330.53"/>
    <n v="17707.55"/>
    <n v="7622.98"/>
    <s v="Net Banking"/>
    <s v="Rohit"/>
    <s v="Medium"/>
  </r>
  <r>
    <s v="ORD00298"/>
    <d v="2024-05-10T00:00:00"/>
    <x v="7"/>
    <s v="2024-05-16"/>
    <s v="CUST5847"/>
    <x v="2"/>
    <x v="3"/>
    <s v="Maharashtra"/>
    <s v="Bengaluru"/>
    <s v="Retail Store"/>
    <x v="1"/>
    <s v="Product-47"/>
    <n v="1.78"/>
    <n v="2208.7800000000002"/>
    <n v="3649.76"/>
    <n v="0.05"/>
    <n v="3908.37"/>
    <n v="2706"/>
    <n v="1202.3699999999999"/>
    <s v="Credit Card"/>
    <s v="Neha"/>
    <s v="Medium"/>
  </r>
  <r>
    <s v="ORD00278"/>
    <d v="2024-03-30T00:00:00"/>
    <x v="8"/>
    <s v="2024-04-05"/>
    <s v="CUST8455"/>
    <x v="2"/>
    <x v="3"/>
    <s v="Delhi"/>
    <s v="Mumbai"/>
    <s v="Retail Store"/>
    <x v="2"/>
    <s v="Product-32"/>
    <n v="5.91"/>
    <n v="1917.17"/>
    <n v="11649.06"/>
    <n v="0"/>
    <n v="9171.1299999999992"/>
    <n v="6850.69"/>
    <n v="2320.4399999999996"/>
    <s v="UPI"/>
    <s v="Rohit"/>
    <s v="Medium"/>
  </r>
  <r>
    <s v="ORD00268"/>
    <d v="2024-03-25T00:00:00"/>
    <x v="8"/>
    <s v="2024-03-31"/>
    <s v="CUST7463"/>
    <x v="1"/>
    <x v="3"/>
    <s v="Tamil Nadu"/>
    <s v="Chennai"/>
    <s v="Retail Store"/>
    <x v="2"/>
    <s v="Product-23"/>
    <n v="2.78"/>
    <n v="3324.79"/>
    <n v="9943.34"/>
    <n v="0"/>
    <n v="10849.08"/>
    <n v="8958.2000000000007"/>
    <n v="1890.8799999999992"/>
    <s v="Credit Card"/>
    <s v="Neha"/>
    <s v="High"/>
  </r>
  <r>
    <s v="ORD00086"/>
    <d v="2024-09-01T00:00:00"/>
    <x v="3"/>
    <s v="2024-09-07"/>
    <s v="CUST8622"/>
    <x v="2"/>
    <x v="1"/>
    <s v="Maharashtra"/>
    <s v="Mumbai"/>
    <s v="Online"/>
    <x v="2"/>
    <s v="Product-15"/>
    <n v="9.3000000000000007"/>
    <n v="513.45000000000005"/>
    <n v="3477.25"/>
    <n v="0.15"/>
    <n v="3441.37"/>
    <n v="2610.88"/>
    <n v="830.48999999999978"/>
    <s v="UPI"/>
    <s v="Amit"/>
    <s v="Medium"/>
  </r>
  <r>
    <s v="ORD00001"/>
    <d v="2024-06-14T00:00:00"/>
    <x v="0"/>
    <s v="2024-06-16"/>
    <s v="CUST2542"/>
    <x v="0"/>
    <x v="0"/>
    <s v="Uttar Pradesh"/>
    <s v="Mumbai"/>
    <s v="Online"/>
    <x v="0"/>
    <s v="Product-28"/>
    <n v="7.28"/>
    <n v="2701.25"/>
    <n v="15786.38"/>
    <n v="0"/>
    <n v="19252.73"/>
    <n v="13261.73"/>
    <n v="5991"/>
    <s v="Net Banking"/>
    <s v="Amit"/>
    <s v="Low"/>
  </r>
  <r>
    <s v="ORD00201"/>
    <d v="2024-06-23T00:00:00"/>
    <x v="0"/>
    <s v="2024-06-29"/>
    <s v="CUST7651"/>
    <x v="0"/>
    <x v="0"/>
    <s v="Karnataka"/>
    <s v="Bengaluru"/>
    <s v="Retail Store"/>
    <x v="1"/>
    <s v="Product-24"/>
    <n v="6.28"/>
    <n v="2174.64"/>
    <n v="12805.77"/>
    <n v="0.05"/>
    <n v="10164.219999999999"/>
    <n v="7368.1"/>
    <n v="2796.119999999999"/>
    <s v="Credit Card"/>
    <s v="Neha"/>
    <s v="Medium"/>
  </r>
  <r>
    <s v="ORD00262"/>
    <d v="2024-10-27T00:00:00"/>
    <x v="2"/>
    <s v="2024-11-01"/>
    <s v="CUST5601"/>
    <x v="1"/>
    <x v="2"/>
    <s v="Karnataka"/>
    <s v="Noida"/>
    <s v="Online"/>
    <x v="2"/>
    <s v="Product-36"/>
    <n v="9.49"/>
    <n v="537.27"/>
    <n v="4963.53"/>
    <n v="0.14000000000000001"/>
    <n v="4754.3599999999997"/>
    <n v="2736.76"/>
    <n v="2017.5999999999995"/>
    <s v="Net Banking"/>
    <s v="Amit"/>
    <s v="High"/>
  </r>
  <r>
    <s v="ORD00187"/>
    <d v="2024-08-12T00:00:00"/>
    <x v="9"/>
    <s v="2024-08-13"/>
    <s v="CUST3694"/>
    <x v="0"/>
    <x v="3"/>
    <s v="Delhi"/>
    <s v="Chennai"/>
    <s v="B2B"/>
    <x v="1"/>
    <s v="Product-23"/>
    <n v="8.92"/>
    <n v="3929.48"/>
    <n v="36833.120000000003"/>
    <n v="0.05"/>
    <n v="34587.089999999997"/>
    <n v="28582.87"/>
    <n v="6004.2199999999975"/>
    <s v="Credit Card"/>
    <s v="Pooja"/>
    <s v="Low"/>
  </r>
  <r>
    <s v="ORD00151"/>
    <d v="2024-02-14T00:00:00"/>
    <x v="1"/>
    <s v="2024-02-20"/>
    <s v="CUST4630"/>
    <x v="1"/>
    <x v="1"/>
    <s v="Maharashtra"/>
    <s v="Noida"/>
    <s v="B2B"/>
    <x v="2"/>
    <s v="Product-30"/>
    <n v="9.84"/>
    <n v="1188.8399999999999"/>
    <n v="9793.39"/>
    <n v="0.15"/>
    <n v="9397.08"/>
    <n v="8132.29"/>
    <n v="1264.79"/>
    <s v="Debit Card"/>
    <s v="Karan"/>
    <s v="Medium"/>
  </r>
  <r>
    <s v="ORD00242"/>
    <d v="2024-03-17T00:00:00"/>
    <x v="8"/>
    <s v="2024-03-23"/>
    <s v="CUST6764"/>
    <x v="2"/>
    <x v="2"/>
    <s v="Uttar Pradesh"/>
    <s v="Noida"/>
    <s v="Online"/>
    <x v="2"/>
    <s v="Product-32"/>
    <n v="2.76"/>
    <n v="1635.94"/>
    <n v="5141.46"/>
    <n v="0.14000000000000001"/>
    <n v="4394.97"/>
    <n v="2571.54"/>
    <n v="1823.4300000000003"/>
    <s v="Debit Card"/>
    <s v="Amit"/>
    <s v="Medium"/>
  </r>
  <r>
    <s v="ORD00147"/>
    <d v="2024-07-24T00:00:00"/>
    <x v="5"/>
    <s v="2024-07-26"/>
    <s v="CUST1877"/>
    <x v="0"/>
    <x v="2"/>
    <s v="Karnataka"/>
    <s v="Mumbai"/>
    <s v="Retail Store"/>
    <x v="1"/>
    <s v="Product-41"/>
    <n v="5.96"/>
    <n v="2819.96"/>
    <n v="15128.38"/>
    <n v="0.11"/>
    <n v="13092.52"/>
    <n v="12879.21"/>
    <n v="213.31000000000131"/>
    <s v="UPI"/>
    <s v="Rohit"/>
    <s v="Low"/>
  </r>
  <r>
    <s v="ORD00298"/>
    <d v="2024-05-10T00:00:00"/>
    <x v="7"/>
    <s v="2024-05-16"/>
    <s v="CUST5847"/>
    <x v="2"/>
    <x v="3"/>
    <s v="Maharashtra"/>
    <s v="Bengaluru"/>
    <s v="Retail Store"/>
    <x v="1"/>
    <s v="Product-47"/>
    <n v="1.74"/>
    <n v="2398.1799999999998"/>
    <n v="3348.81"/>
    <n v="0.05"/>
    <n v="3752.85"/>
    <n v="2654.49"/>
    <n v="1098.3600000000001"/>
    <s v="Credit Card"/>
    <s v="Neha"/>
    <s v="Medium"/>
  </r>
  <r>
    <s v="ORD00220"/>
    <d v="2024-07-27T00:00:00"/>
    <x v="5"/>
    <s v="2024-08-03"/>
    <s v="CUST1678"/>
    <x v="1"/>
    <x v="1"/>
    <s v="Uttar Pradesh"/>
    <s v="Bengaluru"/>
    <s v="B2B"/>
    <x v="2"/>
    <s v="Product-45"/>
    <n v="7.84"/>
    <n v="3289.53"/>
    <n v="29406.74"/>
    <n v="0.1"/>
    <n v="28044.48"/>
    <n v="16747.3"/>
    <n v="11297.18"/>
    <s v="Net Banking"/>
    <s v="Rohit"/>
    <s v="Medium"/>
  </r>
  <r>
    <s v="ORD00006"/>
    <d v="2024-09-11T00:00:00"/>
    <x v="3"/>
    <s v="2024-09-16"/>
    <s v="CUST8767"/>
    <x v="1"/>
    <x v="0"/>
    <s v="Delhi"/>
    <s v="Bengaluru"/>
    <s v="B2B"/>
    <x v="1"/>
    <s v="Product-44"/>
    <n v="8.52"/>
    <n v="566.79"/>
    <n v="4892.05"/>
    <n v="0"/>
    <n v="4679.2299999999996"/>
    <n v="4294.03"/>
    <n v="385.19999999999982"/>
    <s v="Net Banking"/>
    <s v="Rohit"/>
    <s v="High"/>
  </r>
  <r>
    <s v="ORD00137"/>
    <d v="2024-02-25T00:00:00"/>
    <x v="1"/>
    <s v="2024-02-28"/>
    <s v="CUST9412"/>
    <x v="2"/>
    <x v="2"/>
    <s v="Uttar Pradesh"/>
    <s v="Chennai"/>
    <s v="Retail Store"/>
    <x v="0"/>
    <s v="Product-17"/>
    <n v="7.02"/>
    <n v="2275.04"/>
    <n v="27299.57"/>
    <n v="0"/>
    <n v="25019.8"/>
    <n v="14342.68"/>
    <n v="10677.119999999999"/>
    <s v="Credit Card"/>
    <s v="Rohit"/>
    <s v="Medium"/>
  </r>
  <r>
    <s v="ORD00201"/>
    <d v="2024-06-23T00:00:00"/>
    <x v="0"/>
    <s v="2024-06-29"/>
    <s v="CUST7651"/>
    <x v="0"/>
    <x v="0"/>
    <s v="Karnataka"/>
    <s v="Bengaluru"/>
    <s v="Retail Store"/>
    <x v="1"/>
    <s v="Product-24"/>
    <n v="6.08"/>
    <n v="2377.85"/>
    <n v="12481.92"/>
    <n v="0.05"/>
    <n v="9622.7000000000007"/>
    <n v="7335.25"/>
    <n v="2287.4500000000007"/>
    <s v="Credit Card"/>
    <s v="Neha"/>
    <s v="Medium"/>
  </r>
  <r>
    <s v="ORD00095"/>
    <d v="2024-02-26T00:00:00"/>
    <x v="1"/>
    <s v="2024-03-03"/>
    <s v="CUST6826"/>
    <x v="2"/>
    <x v="1"/>
    <s v="Tamil Nadu"/>
    <s v="Delhi"/>
    <s v="Retail Store"/>
    <x v="1"/>
    <s v="Product-2"/>
    <n v="1.97"/>
    <n v="2082"/>
    <n v="3615.82"/>
    <n v="0"/>
    <n v="3553.3"/>
    <n v="3345.28"/>
    <n v="208.01999999999998"/>
    <s v="Debit Card"/>
    <s v="Neha"/>
    <s v="Medium"/>
  </r>
  <r>
    <s v="ORD00061"/>
    <d v="2024-09-09T00:00:00"/>
    <x v="3"/>
    <s v="2024-09-11"/>
    <s v="CUST3479"/>
    <x v="1"/>
    <x v="2"/>
    <s v="Karnataka"/>
    <s v="Bengaluru"/>
    <s v="Retail Store"/>
    <x v="2"/>
    <s v="Product-39"/>
    <n v="8.1999999999999993"/>
    <n v="1019.09"/>
    <n v="6552.77"/>
    <n v="0.09"/>
    <n v="7220.66"/>
    <n v="5708.94"/>
    <n v="1511.7200000000003"/>
    <s v="UPI"/>
    <s v="Karan"/>
    <s v="Low"/>
  </r>
  <r>
    <s v="ORD00194"/>
    <d v="2024-07-06T00:00:00"/>
    <x v="5"/>
    <s v="2024-07-12"/>
    <s v="CUST3010"/>
    <x v="2"/>
    <x v="3"/>
    <s v="Uttar Pradesh"/>
    <s v="Noida"/>
    <s v="Retail Store"/>
    <x v="1"/>
    <s v="Product-32"/>
    <n v="6.19"/>
    <n v="2930.77"/>
    <n v="17984.89"/>
    <n v="0"/>
    <n v="18842.84"/>
    <n v="13396.5"/>
    <n v="5446.34"/>
    <s v="UPI"/>
    <s v="Karan"/>
    <s v="Medium"/>
  </r>
  <r>
    <s v="ORD00229"/>
    <d v="2024-09-09T00:00:00"/>
    <x v="3"/>
    <s v="2024-09-16"/>
    <s v="CUST5758"/>
    <x v="1"/>
    <x v="3"/>
    <s v="Delhi"/>
    <s v="Chennai"/>
    <s v="Retail Store"/>
    <x v="2"/>
    <s v="Product-3"/>
    <n v="1.93"/>
    <n v="980.36"/>
    <n v="1850.95"/>
    <n v="0.15"/>
    <n v="1887.45"/>
    <n v="1457.41"/>
    <n v="430.03999999999996"/>
    <s v="Debit Card"/>
    <s v="Pooja"/>
    <s v="Medium"/>
  </r>
  <r>
    <s v="ORD00159"/>
    <d v="2024-02-04T00:00:00"/>
    <x v="1"/>
    <s v="2024-02-09"/>
    <s v="CUST3526"/>
    <x v="2"/>
    <x v="1"/>
    <s v="Tamil Nadu"/>
    <s v="Chennai"/>
    <s v="Retail Store"/>
    <x v="1"/>
    <s v="Product-38"/>
    <n v="3.66"/>
    <n v="752.59"/>
    <n v="2658.39"/>
    <n v="0.1"/>
    <n v="2603.79"/>
    <n v="1814.2"/>
    <n v="789.58999999999992"/>
    <s v="Debit Card"/>
    <s v="Karan"/>
    <s v="High"/>
  </r>
  <r>
    <s v="ORD00262"/>
    <d v="2024-10-27T00:00:00"/>
    <x v="2"/>
    <s v="2024-11-01"/>
    <s v="CUST5601"/>
    <x v="1"/>
    <x v="2"/>
    <s v="Karnataka"/>
    <s v="Noida"/>
    <s v="Online"/>
    <x v="2"/>
    <s v="Product-36"/>
    <n v="10.210000000000001"/>
    <n v="589.01"/>
    <n v="5008.58"/>
    <n v="0.13"/>
    <n v="4282.4399999999996"/>
    <n v="2876.44"/>
    <n v="1405.9999999999995"/>
    <s v="Net Banking"/>
    <s v="Amit"/>
    <s v="High"/>
  </r>
  <r>
    <s v="ORD00084"/>
    <d v="2024-10-23T00:00:00"/>
    <x v="2"/>
    <s v="2024-10-27"/>
    <s v="CUST1006"/>
    <x v="2"/>
    <x v="0"/>
    <s v="Uttar Pradesh"/>
    <s v="Delhi"/>
    <s v="Retail Store"/>
    <x v="0"/>
    <s v="Product-16"/>
    <n v="10.55"/>
    <n v="3583.63"/>
    <n v="33857.47"/>
    <n v="0.14000000000000001"/>
    <n v="29399.200000000001"/>
    <n v="16702.509999999998"/>
    <n v="12696.690000000002"/>
    <s v="Credit Card"/>
    <s v="Amit"/>
    <s v="Low"/>
  </r>
  <r>
    <s v="ORD00080"/>
    <d v="2024-07-07T00:00:00"/>
    <x v="5"/>
    <s v="2024-07-12"/>
    <s v="CUST3895"/>
    <x v="1"/>
    <x v="0"/>
    <s v="Karnataka"/>
    <s v="Noida"/>
    <s v="Retail Store"/>
    <x v="2"/>
    <s v="Product-41"/>
    <n v="2.85"/>
    <n v="1528.09"/>
    <n v="4807.2"/>
    <n v="0"/>
    <n v="4793.49"/>
    <n v="3292.37"/>
    <n v="1501.12"/>
    <s v="Debit Card"/>
    <s v="Amit"/>
    <s v="High"/>
  </r>
  <r>
    <s v="ORD00142"/>
    <d v="2024-07-06T00:00:00"/>
    <x v="5"/>
    <s v="2024-07-07"/>
    <s v="CUST8303"/>
    <x v="1"/>
    <x v="0"/>
    <s v="Delhi"/>
    <s v="Bengaluru"/>
    <s v="B2B"/>
    <x v="0"/>
    <s v="Product-21"/>
    <n v="3.05"/>
    <n v="2971.96"/>
    <n v="8898.73"/>
    <n v="0"/>
    <n v="7924.3"/>
    <n v="4501.03"/>
    <n v="3423.2700000000004"/>
    <s v="Net Banking"/>
    <s v="Karan"/>
    <s v="Low"/>
  </r>
  <r>
    <s v="ORD00185"/>
    <d v="2024-09-10T00:00:00"/>
    <x v="3"/>
    <s v="2024-09-14"/>
    <s v="CUST2314"/>
    <x v="2"/>
    <x v="2"/>
    <s v="Maharashtra"/>
    <s v="Mumbai"/>
    <s v="Retail Store"/>
    <x v="1"/>
    <s v="Product-26"/>
    <n v="7.61"/>
    <n v="2864.68"/>
    <n v="19524.419999999998"/>
    <n v="0.1"/>
    <n v="19628.46"/>
    <n v="14829.37"/>
    <n v="4799.0899999999983"/>
    <s v="UPI"/>
    <s v="Amit"/>
    <s v="Medium"/>
  </r>
  <r>
    <s v="ORD00025"/>
    <d v="2024-10-10T00:00:00"/>
    <x v="2"/>
    <s v="2024-10-14"/>
    <s v="CUST5840"/>
    <x v="1"/>
    <x v="0"/>
    <s v="Delhi"/>
    <s v="Mumbai"/>
    <s v="Online"/>
    <x v="0"/>
    <s v="Product-17"/>
    <n v="7.68"/>
    <n v="2416.21"/>
    <n v="20252.63"/>
    <n v="0.14000000000000001"/>
    <n v="14408.94"/>
    <n v="10357.81"/>
    <n v="4051.130000000001"/>
    <s v="Debit Card"/>
    <s v="Amit"/>
    <s v="Low"/>
  </r>
  <r>
    <s v="ORD00117"/>
    <d v="2024-11-09T00:00:00"/>
    <x v="4"/>
    <s v="2024-11-13"/>
    <s v="CUST8501"/>
    <x v="1"/>
    <x v="2"/>
    <s v="Delhi"/>
    <s v="Mumbai"/>
    <s v="Online"/>
    <x v="2"/>
    <s v="Product-50"/>
    <n v="10.46"/>
    <n v="819.56"/>
    <n v="9191.4699999999993"/>
    <n v="0"/>
    <n v="9345.2900000000009"/>
    <n v="5349.25"/>
    <n v="3996.0400000000009"/>
    <s v="UPI"/>
    <s v="Amit"/>
    <s v="Medium"/>
  </r>
  <r>
    <s v="ORD00024"/>
    <d v="2024-03-24T00:00:00"/>
    <x v="8"/>
    <s v="2024-03-30"/>
    <s v="CUST7616"/>
    <x v="0"/>
    <x v="1"/>
    <s v="Maharashtra"/>
    <s v="Bengaluru"/>
    <s v="Retail Store"/>
    <x v="0"/>
    <s v="Product-47"/>
    <n v="4.0199999999999996"/>
    <n v="978.86"/>
    <n v="3685.23"/>
    <n v="0.14000000000000001"/>
    <n v="2792.5"/>
    <n v="2656.66"/>
    <n v="135.84000000000015"/>
    <s v="Debit Card"/>
    <s v="Amit"/>
    <s v="Medium"/>
  </r>
  <r>
    <s v="ORD00148"/>
    <d v="2024-09-28T00:00:00"/>
    <x v="3"/>
    <s v="2024-09-30"/>
    <s v="CUST1341"/>
    <x v="2"/>
    <x v="2"/>
    <s v="Tamil Nadu"/>
    <s v="Chennai"/>
    <s v="Retail Store"/>
    <x v="1"/>
    <s v="Product-3"/>
    <n v="2.02"/>
    <n v="1472.8"/>
    <n v="2639.92"/>
    <n v="0.05"/>
    <n v="2808.11"/>
    <n v="1936.93"/>
    <n v="871.18000000000006"/>
    <s v="UPI"/>
    <s v="Amit"/>
    <s v="High"/>
  </r>
  <r>
    <s v="ORD00096"/>
    <d v="2024-05-14T00:00:00"/>
    <x v="7"/>
    <s v="2024-05-18"/>
    <s v="CUST4826"/>
    <x v="0"/>
    <x v="2"/>
    <s v="Uttar Pradesh"/>
    <s v="Noida"/>
    <s v="B2B"/>
    <x v="1"/>
    <s v="Product-42"/>
    <n v="9.86"/>
    <n v="2094.46"/>
    <n v="15899.01"/>
    <n v="0.15"/>
    <n v="13586.37"/>
    <n v="13725.09"/>
    <n v="-138.71999999999935"/>
    <s v="UPI"/>
    <s v="Rohit"/>
    <s v="High"/>
  </r>
  <r>
    <s v="ORD00098"/>
    <d v="2024-05-01T00:00:00"/>
    <x v="7"/>
    <s v="2024-05-06"/>
    <s v="CUST5056"/>
    <x v="1"/>
    <x v="3"/>
    <s v="Uttar Pradesh"/>
    <s v="Noida"/>
    <s v="Retail Store"/>
    <x v="0"/>
    <s v="Product-16"/>
    <n v="3.22"/>
    <n v="1378.69"/>
    <n v="4358.37"/>
    <n v="0.05"/>
    <n v="5056.51"/>
    <n v="3288.68"/>
    <n v="1767.8300000000004"/>
    <s v="Debit Card"/>
    <s v="Neha"/>
    <s v="Medium"/>
  </r>
  <r>
    <s v="ORD00169"/>
    <d v="2024-08-27T00:00:00"/>
    <x v="9"/>
    <s v="2024-09-03"/>
    <s v="CUST7638"/>
    <x v="0"/>
    <x v="2"/>
    <s v="Karnataka"/>
    <s v="Chennai"/>
    <s v="B2B"/>
    <x v="0"/>
    <s v="Product-15"/>
    <n v="3.59"/>
    <n v="945.56"/>
    <n v="4264.93"/>
    <n v="0.1"/>
    <n v="3449.15"/>
    <n v="2150.8000000000002"/>
    <n v="1298.3499999999999"/>
    <s v="Net Banking"/>
    <s v="Neha"/>
    <s v="High"/>
  </r>
  <r>
    <s v="ORD00028"/>
    <d v="2024-03-07T00:00:00"/>
    <x v="8"/>
    <s v="2024-03-08"/>
    <s v="CUST5290"/>
    <x v="2"/>
    <x v="2"/>
    <s v="Maharashtra"/>
    <s v="Bengaluru"/>
    <s v="B2B"/>
    <x v="2"/>
    <s v="Product-34"/>
    <n v="9.3699999999999992"/>
    <n v="2780.37"/>
    <n v="20796.78"/>
    <n v="0"/>
    <n v="23704.85"/>
    <n v="21505.63"/>
    <n v="2199.2199999999975"/>
    <s v="Credit Card"/>
    <s v="Rohit"/>
    <s v="Medium"/>
  </r>
  <r>
    <s v="ORD00180"/>
    <d v="2024-07-26T00:00:00"/>
    <x v="5"/>
    <s v="2024-08-02"/>
    <s v="CUST8972"/>
    <x v="2"/>
    <x v="0"/>
    <s v="Delhi"/>
    <s v="Bengaluru"/>
    <s v="Retail Store"/>
    <x v="0"/>
    <s v="Product-8"/>
    <n v="4.2300000000000004"/>
    <n v="738.99"/>
    <n v="2921.68"/>
    <n v="0.1"/>
    <n v="2590.38"/>
    <n v="1608.23"/>
    <n v="982.15000000000009"/>
    <s v="Debit Card"/>
    <s v="Pooja"/>
    <s v="Low"/>
  </r>
  <r>
    <s v="ORD00188"/>
    <d v="2024-10-04T00:00:00"/>
    <x v="2"/>
    <s v="2024-10-07"/>
    <s v="CUST2334"/>
    <x v="2"/>
    <x v="3"/>
    <s v="Uttar Pradesh"/>
    <s v="Bengaluru"/>
    <s v="B2B"/>
    <x v="1"/>
    <s v="Product-27"/>
    <n v="8.9"/>
    <n v="2071.39"/>
    <n v="15576.61"/>
    <n v="0.05"/>
    <n v="15640.29"/>
    <n v="14126.73"/>
    <n v="1513.5600000000013"/>
    <s v="Debit Card"/>
    <s v="Pooja"/>
    <s v="High"/>
  </r>
  <r>
    <s v="ORD00288"/>
    <d v="2024-02-15T00:00:00"/>
    <x v="1"/>
    <s v="2024-02-18"/>
    <s v="CUST6486"/>
    <x v="2"/>
    <x v="0"/>
    <s v="Delhi"/>
    <s v="Delhi"/>
    <s v="Online"/>
    <x v="0"/>
    <s v="Product-44"/>
    <n v="4.7699999999999996"/>
    <n v="1463.48"/>
    <n v="6299.27"/>
    <n v="0.09"/>
    <n v="6068.79"/>
    <n v="4006.59"/>
    <n v="2062.1999999999998"/>
    <s v="Credit Card"/>
    <s v="Karan"/>
    <s v="Medium"/>
  </r>
  <r>
    <s v="ORD00277"/>
    <d v="2024-01-09T00:00:00"/>
    <x v="10"/>
    <s v="2024-01-10"/>
    <s v="CUST9810"/>
    <x v="0"/>
    <x v="3"/>
    <s v="Maharashtra"/>
    <s v="Noida"/>
    <s v="B2B"/>
    <x v="2"/>
    <s v="Product-23"/>
    <n v="6.24"/>
    <n v="994.16"/>
    <n v="6213.73"/>
    <n v="0"/>
    <n v="6656.8"/>
    <n v="5118.6899999999996"/>
    <n v="1538.1100000000006"/>
    <s v="Debit Card"/>
    <s v="Amit"/>
    <s v="Low"/>
  </r>
  <r>
    <s v="ORD00188"/>
    <d v="2024-10-04T00:00:00"/>
    <x v="2"/>
    <s v="2024-10-07"/>
    <s v="CUST2334"/>
    <x v="2"/>
    <x v="3"/>
    <s v="Uttar Pradesh"/>
    <s v="Bengaluru"/>
    <s v="B2B"/>
    <x v="1"/>
    <s v="Product-27"/>
    <n v="8.0500000000000007"/>
    <n v="2164.54"/>
    <n v="16247.86"/>
    <n v="0.05"/>
    <n v="16160.68"/>
    <n v="12318.47"/>
    <n v="3842.2100000000009"/>
    <s v="Debit Card"/>
    <s v="Pooja"/>
    <s v="High"/>
  </r>
  <r>
    <s v="ORD00202"/>
    <d v="2024-03-18T00:00:00"/>
    <x v="8"/>
    <s v="2024-03-20"/>
    <s v="CUST7489"/>
    <x v="1"/>
    <x v="3"/>
    <s v="Maharashtra"/>
    <s v="Noida"/>
    <s v="Online"/>
    <x v="0"/>
    <s v="Product-20"/>
    <n v="4.0999999999999996"/>
    <n v="456.71"/>
    <n v="1717.16"/>
    <n v="0.14000000000000001"/>
    <n v="1149.26"/>
    <n v="876.13"/>
    <n v="273.13"/>
    <s v="Debit Card"/>
    <s v="Rohit"/>
    <s v="High"/>
  </r>
  <r>
    <s v="ORD00068"/>
    <d v="2024-09-04T00:00:00"/>
    <x v="3"/>
    <s v="2024-09-05"/>
    <s v="CUST3532"/>
    <x v="1"/>
    <x v="0"/>
    <s v="Maharashtra"/>
    <s v="Chennai"/>
    <s v="B2B"/>
    <x v="2"/>
    <s v="Product-27"/>
    <n v="6.17"/>
    <n v="774.41"/>
    <n v="4798.04"/>
    <n v="0.15"/>
    <n v="4232.78"/>
    <n v="3365.43"/>
    <n v="867.34999999999991"/>
    <s v="Debit Card"/>
    <s v="Rohit"/>
    <s v="Medium"/>
  </r>
  <r>
    <s v="ORD00086"/>
    <d v="2024-09-01T00:00:00"/>
    <x v="3"/>
    <s v="2024-09-07"/>
    <s v="CUST8622"/>
    <x v="2"/>
    <x v="1"/>
    <s v="Maharashtra"/>
    <s v="Mumbai"/>
    <s v="Online"/>
    <x v="2"/>
    <s v="Product-15"/>
    <n v="9.31"/>
    <n v="505.48"/>
    <n v="3825.24"/>
    <n v="0.16"/>
    <n v="3523.24"/>
    <n v="2537.7800000000002"/>
    <n v="985.45999999999958"/>
    <s v="UPI"/>
    <s v="Amit"/>
    <s v="Medium"/>
  </r>
  <r>
    <s v="ORD00296"/>
    <d v="2024-07-28T00:00:00"/>
    <x v="5"/>
    <s v="2024-08-03"/>
    <s v="CUST8546"/>
    <x v="0"/>
    <x v="3"/>
    <s v="Maharashtra"/>
    <s v="Delhi"/>
    <s v="Retail Store"/>
    <x v="0"/>
    <s v="Product-7"/>
    <n v="13.13"/>
    <n v="901.89"/>
    <n v="11201.47"/>
    <n v="0"/>
    <n v="11852.9"/>
    <n v="8347.36"/>
    <n v="3505.5399999999991"/>
    <s v="Credit Card"/>
    <s v="Rohit"/>
    <s v="High"/>
  </r>
  <r>
    <s v="ORD00031"/>
    <d v="2024-01-28T00:00:00"/>
    <x v="10"/>
    <s v="2024-02-04"/>
    <s v="CUST1907"/>
    <x v="2"/>
    <x v="1"/>
    <s v="Uttar Pradesh"/>
    <s v="Bengaluru"/>
    <s v="B2B"/>
    <x v="0"/>
    <s v="Product-45"/>
    <n v="2.91"/>
    <n v="487.22"/>
    <n v="1294.8399999999999"/>
    <n v="0.09"/>
    <n v="1240.53"/>
    <n v="798.48"/>
    <n v="442.04999999999995"/>
    <s v="Debit Card"/>
    <s v="Amit"/>
    <s v="Medium"/>
  </r>
  <r>
    <s v="ORD00080"/>
    <d v="2024-07-07T00:00:00"/>
    <x v="5"/>
    <s v="2024-07-12"/>
    <s v="CUST3895"/>
    <x v="1"/>
    <x v="0"/>
    <s v="Karnataka"/>
    <s v="Noida"/>
    <s v="Retail Store"/>
    <x v="2"/>
    <s v="Product-41"/>
    <n v="2.92"/>
    <n v="1480.8"/>
    <n v="4344.28"/>
    <n v="0"/>
    <n v="5110.62"/>
    <n v="3224.46"/>
    <n v="1886.1599999999999"/>
    <s v="Debit Card"/>
    <s v="Amit"/>
    <s v="High"/>
  </r>
  <r>
    <s v="ORD00076"/>
    <d v="2024-06-09T00:00:00"/>
    <x v="0"/>
    <s v="2024-06-16"/>
    <s v="CUST7190"/>
    <x v="1"/>
    <x v="2"/>
    <s v="Delhi"/>
    <s v="Delhi"/>
    <s v="B2B"/>
    <x v="1"/>
    <s v="Product-45"/>
    <n v="11.81"/>
    <n v="2167.5"/>
    <n v="21461.67"/>
    <n v="0"/>
    <n v="22680.26"/>
    <n v="19501.939999999999"/>
    <n v="3178.3199999999997"/>
    <s v="UPI"/>
    <s v="Neha"/>
    <s v="Low"/>
  </r>
  <r>
    <s v="ORD00281"/>
    <d v="2024-11-15T00:00:00"/>
    <x v="4"/>
    <s v="2024-11-20"/>
    <s v="CUST4349"/>
    <x v="0"/>
    <x v="1"/>
    <s v="Delhi"/>
    <s v="Delhi"/>
    <s v="B2B"/>
    <x v="0"/>
    <s v="Product-13"/>
    <n v="8.0399999999999991"/>
    <n v="2054.9699999999998"/>
    <n v="14949.26"/>
    <n v="0.05"/>
    <n v="15128.79"/>
    <n v="8733.2000000000007"/>
    <n v="6395.59"/>
    <s v="Net Banking"/>
    <s v="Pooja"/>
    <s v="High"/>
  </r>
  <r>
    <s v="ORD00117"/>
    <d v="2024-11-09T00:00:00"/>
    <x v="4"/>
    <s v="2024-11-13"/>
    <s v="CUST8501"/>
    <x v="1"/>
    <x v="2"/>
    <s v="Delhi"/>
    <s v="Mumbai"/>
    <s v="Online"/>
    <x v="2"/>
    <s v="Product-50"/>
    <n v="11.12"/>
    <n v="807.8"/>
    <n v="7915.48"/>
    <n v="0"/>
    <n v="9072.41"/>
    <n v="4873.2299999999996"/>
    <n v="4199.18"/>
    <s v="UPI"/>
    <s v="Amit"/>
    <s v="Medium"/>
  </r>
  <r>
    <s v="ORD00244"/>
    <d v="2024-11-02T00:00:00"/>
    <x v="4"/>
    <s v="2024-11-03"/>
    <s v="CUST1820"/>
    <x v="2"/>
    <x v="3"/>
    <s v="Karnataka"/>
    <s v="Chennai"/>
    <s v="Retail Store"/>
    <x v="0"/>
    <s v="Product-22"/>
    <n v="0.95"/>
    <n v="1577.35"/>
    <n v="1260.8699999999999"/>
    <n v="0.05"/>
    <n v="1372.24"/>
    <n v="1113.5899999999999"/>
    <n v="258.65000000000009"/>
    <s v="Debit Card"/>
    <s v="Neha"/>
    <s v="Low"/>
  </r>
  <r>
    <s v="ORD00225"/>
    <d v="2024-07-05T00:00:00"/>
    <x v="5"/>
    <s v="2024-07-10"/>
    <s v="CUST3823"/>
    <x v="2"/>
    <x v="1"/>
    <s v="Maharashtra"/>
    <s v="Delhi"/>
    <s v="Retail Store"/>
    <x v="2"/>
    <s v="Product-24"/>
    <n v="3.87"/>
    <n v="2097.12"/>
    <n v="8064.58"/>
    <n v="0.09"/>
    <n v="6976.65"/>
    <n v="4366.96"/>
    <n v="2609.6899999999996"/>
    <s v="Net Banking"/>
    <s v="Amit"/>
    <s v="Medium"/>
  </r>
  <r>
    <s v="ORD00157"/>
    <d v="2024-03-15T00:00:00"/>
    <x v="8"/>
    <s v="2024-03-19"/>
    <s v="CUST6408"/>
    <x v="0"/>
    <x v="2"/>
    <s v="Karnataka"/>
    <s v="Mumbai"/>
    <s v="Retail Store"/>
    <x v="0"/>
    <s v="Product-2"/>
    <n v="8.84"/>
    <n v="1583.53"/>
    <n v="16829.59"/>
    <n v="0.05"/>
    <n v="16584.63"/>
    <n v="10993.01"/>
    <n v="5591.6200000000008"/>
    <s v="UPI"/>
    <s v="Rohit"/>
    <s v="High"/>
  </r>
  <r>
    <s v="ORD00189"/>
    <d v="2024-03-11T00:00:00"/>
    <x v="8"/>
    <s v="2024-03-14"/>
    <s v="CUST4645"/>
    <x v="1"/>
    <x v="1"/>
    <s v="Delhi"/>
    <s v="Mumbai"/>
    <s v="B2B"/>
    <x v="1"/>
    <s v="Product-24"/>
    <n v="5.56"/>
    <n v="1921.71"/>
    <n v="12087.53"/>
    <n v="0"/>
    <n v="14239.64"/>
    <n v="9253.23"/>
    <n v="4986.41"/>
    <s v="Net Banking"/>
    <s v="Rohit"/>
    <s v="High"/>
  </r>
  <r>
    <s v="ORD00288"/>
    <d v="2024-02-15T00:00:00"/>
    <x v="1"/>
    <s v="2024-02-18"/>
    <s v="CUST6486"/>
    <x v="2"/>
    <x v="0"/>
    <s v="Delhi"/>
    <s v="Delhi"/>
    <s v="Online"/>
    <x v="0"/>
    <s v="Product-44"/>
    <n v="4.7300000000000004"/>
    <n v="1392.64"/>
    <n v="6019.6"/>
    <n v="0.09"/>
    <n v="6605.45"/>
    <n v="4247.4799999999996"/>
    <n v="2357.9700000000003"/>
    <s v="Credit Card"/>
    <s v="Karan"/>
    <s v="Medium"/>
  </r>
  <r>
    <s v="ORD00268"/>
    <d v="2024-03-25T00:00:00"/>
    <x v="8"/>
    <s v="2024-03-31"/>
    <s v="CUST7463"/>
    <x v="1"/>
    <x v="3"/>
    <s v="Tamil Nadu"/>
    <s v="Chennai"/>
    <s v="Retail Store"/>
    <x v="2"/>
    <s v="Product-23"/>
    <n v="3.05"/>
    <n v="3047.84"/>
    <n v="10623.71"/>
    <n v="0"/>
    <n v="9680.99"/>
    <n v="6930.23"/>
    <n v="2750.76"/>
    <s v="Credit Card"/>
    <s v="Neha"/>
    <s v="High"/>
  </r>
  <r>
    <s v="ORD00193"/>
    <d v="2024-07-09T00:00:00"/>
    <x v="5"/>
    <s v="2024-07-10"/>
    <s v="CUST2974"/>
    <x v="1"/>
    <x v="2"/>
    <s v="Tamil Nadu"/>
    <s v="Delhi"/>
    <s v="B2B"/>
    <x v="0"/>
    <s v="Product-37"/>
    <n v="1.07"/>
    <n v="2521.0300000000002"/>
    <n v="2466.52"/>
    <n v="0.05"/>
    <n v="2400.04"/>
    <n v="1730.47"/>
    <n v="669.56999999999994"/>
    <s v="UPI"/>
    <s v="Rohit"/>
    <s v="Low"/>
  </r>
  <r>
    <s v="ORD00100"/>
    <d v="2024-07-17T00:00:00"/>
    <x v="5"/>
    <s v="2024-07-21"/>
    <s v="CUST9199"/>
    <x v="1"/>
    <x v="3"/>
    <s v="Tamil Nadu"/>
    <s v="Delhi"/>
    <s v="Online"/>
    <x v="2"/>
    <s v="Product-39"/>
    <n v="1.1399999999999999"/>
    <n v="471.74"/>
    <n v="471.46"/>
    <n v="0.15"/>
    <n v="368.22"/>
    <n v="276.3"/>
    <n v="91.920000000000016"/>
    <s v="Net Banking"/>
    <s v="Amit"/>
    <s v="High"/>
  </r>
  <r>
    <s v="ORD00072"/>
    <d v="2024-11-21T00:00:00"/>
    <x v="4"/>
    <s v="2024-11-25"/>
    <s v="CUST4638"/>
    <x v="1"/>
    <x v="1"/>
    <s v="Uttar Pradesh"/>
    <s v="Mumbai"/>
    <s v="Retail Store"/>
    <x v="0"/>
    <s v="Product-37"/>
    <n v="2.02"/>
    <n v="3607.26"/>
    <n v="6434.04"/>
    <n v="0.05"/>
    <n v="5938.78"/>
    <n v="5402.14"/>
    <n v="536.63999999999942"/>
    <s v="Credit Card"/>
    <s v="Amit"/>
    <s v="Medium"/>
  </r>
  <r>
    <s v="ORD00198"/>
    <d v="2024-09-27T00:00:00"/>
    <x v="3"/>
    <s v="2024-09-29"/>
    <s v="CUST6914"/>
    <x v="1"/>
    <x v="1"/>
    <s v="Karnataka"/>
    <s v="Noida"/>
    <s v="Retail Store"/>
    <x v="2"/>
    <s v="Product-23"/>
    <n v="5.21"/>
    <n v="3103.09"/>
    <n v="16306.55"/>
    <n v="0"/>
    <n v="15589.42"/>
    <n v="9302.7199999999993"/>
    <n v="6286.7000000000007"/>
    <s v="Debit Card"/>
    <s v="Amit"/>
    <s v="Medium"/>
  </r>
  <r>
    <s v="ORD00288"/>
    <d v="2024-02-15T00:00:00"/>
    <x v="1"/>
    <s v="2024-02-18"/>
    <s v="CUST6486"/>
    <x v="2"/>
    <x v="0"/>
    <s v="Delhi"/>
    <s v="Delhi"/>
    <s v="Online"/>
    <x v="0"/>
    <s v="Product-44"/>
    <n v="5.37"/>
    <n v="1368.7"/>
    <n v="6624"/>
    <n v="0.09"/>
    <n v="5458.77"/>
    <n v="3536.59"/>
    <n v="1922.1800000000003"/>
    <s v="Credit Card"/>
    <s v="Karan"/>
    <s v="Medium"/>
  </r>
  <r>
    <s v="ORD00249"/>
    <d v="2024-03-28T00:00:00"/>
    <x v="8"/>
    <s v="2024-03-30"/>
    <s v="CUST9488"/>
    <x v="2"/>
    <x v="3"/>
    <s v="Uttar Pradesh"/>
    <s v="Delhi"/>
    <s v="Online"/>
    <x v="1"/>
    <s v="Product-38"/>
    <n v="5.49"/>
    <n v="3651.39"/>
    <n v="16418.73"/>
    <n v="0.17"/>
    <n v="12996.46"/>
    <n v="10139.290000000001"/>
    <n v="2857.1699999999983"/>
    <s v="Credit Card"/>
    <s v="Neha"/>
    <s v="Low"/>
  </r>
  <r>
    <s v="ORD00201"/>
    <d v="2024-06-23T00:00:00"/>
    <x v="0"/>
    <s v="2024-06-29"/>
    <s v="CUST7651"/>
    <x v="0"/>
    <x v="0"/>
    <s v="Karnataka"/>
    <s v="Bengaluru"/>
    <s v="Retail Store"/>
    <x v="1"/>
    <s v="Product-24"/>
    <n v="5.78"/>
    <n v="2454.9499999999998"/>
    <n v="11604.64"/>
    <n v="0.05"/>
    <n v="9467.01"/>
    <n v="7253.53"/>
    <n v="2213.4800000000005"/>
    <s v="Credit Card"/>
    <s v="Neha"/>
    <s v="Medium"/>
  </r>
  <r>
    <s v="ORD00224"/>
    <d v="2024-10-05T00:00:00"/>
    <x v="2"/>
    <s v="2024-10-11"/>
    <s v="CUST8754"/>
    <x v="1"/>
    <x v="3"/>
    <s v="Uttar Pradesh"/>
    <s v="Noida"/>
    <s v="Retail Store"/>
    <x v="1"/>
    <s v="Product-15"/>
    <n v="3.97"/>
    <n v="3389.78"/>
    <n v="12414.72"/>
    <n v="0.11"/>
    <n v="10625.53"/>
    <n v="8566.76"/>
    <n v="2058.7700000000004"/>
    <s v="Credit Card"/>
    <s v="Amit"/>
    <s v="High"/>
  </r>
  <r>
    <s v="ORD00072"/>
    <d v="2024-11-21T00:00:00"/>
    <x v="4"/>
    <s v="2024-11-25"/>
    <s v="CUST4638"/>
    <x v="1"/>
    <x v="1"/>
    <s v="Uttar Pradesh"/>
    <s v="Mumbai"/>
    <s v="Retail Store"/>
    <x v="0"/>
    <s v="Product-37"/>
    <n v="2.09"/>
    <n v="3246.91"/>
    <n v="6445.35"/>
    <n v="0.05"/>
    <n v="5862.96"/>
    <n v="5190.84"/>
    <n v="672.11999999999989"/>
    <s v="Credit Card"/>
    <s v="Amit"/>
    <s v="Medium"/>
  </r>
  <r>
    <s v="ORD00225"/>
    <d v="2024-07-05T00:00:00"/>
    <x v="5"/>
    <s v="2024-07-10"/>
    <s v="CUST3823"/>
    <x v="2"/>
    <x v="1"/>
    <s v="Maharashtra"/>
    <s v="Delhi"/>
    <s v="Retail Store"/>
    <x v="2"/>
    <s v="Product-24"/>
    <n v="3.6"/>
    <n v="1864.87"/>
    <n v="7865.66"/>
    <n v="0.1"/>
    <n v="6660.77"/>
    <n v="4977.67"/>
    <n v="1683.1000000000004"/>
    <s v="Net Banking"/>
    <s v="Amit"/>
    <s v="Medium"/>
  </r>
  <r>
    <s v="ORD00060"/>
    <d v="2024-05-14T00:00:00"/>
    <x v="7"/>
    <s v="2024-05-20"/>
    <s v="CUST2070"/>
    <x v="2"/>
    <x v="2"/>
    <s v="Delhi"/>
    <s v="Chennai"/>
    <s v="B2B"/>
    <x v="2"/>
    <s v="Product-50"/>
    <n v="11.81"/>
    <n v="2441.34"/>
    <n v="29952.86"/>
    <n v="0.11"/>
    <n v="28844.92"/>
    <n v="16505.14"/>
    <n v="12339.779999999999"/>
    <s v="Net Banking"/>
    <s v="Rohit"/>
    <s v="Medium"/>
  </r>
  <r>
    <s v="ORD00028"/>
    <d v="2024-03-07T00:00:00"/>
    <x v="8"/>
    <s v="2024-03-08"/>
    <s v="CUST5290"/>
    <x v="2"/>
    <x v="2"/>
    <s v="Maharashtra"/>
    <s v="Bengaluru"/>
    <s v="B2B"/>
    <x v="2"/>
    <s v="Product-34"/>
    <n v="7.94"/>
    <n v="2369.0300000000002"/>
    <n v="22411.55"/>
    <n v="0"/>
    <n v="22491.74"/>
    <n v="23664.9"/>
    <n v="-1173.1599999999999"/>
    <s v="Credit Card"/>
    <s v="Rohit"/>
    <s v="Medium"/>
  </r>
  <r>
    <s v="ORD00007"/>
    <d v="2024-07-16T00:00:00"/>
    <x v="5"/>
    <s v="2024-07-22"/>
    <s v="CUST2918"/>
    <x v="0"/>
    <x v="0"/>
    <s v="Maharashtra"/>
    <s v="Bengaluru"/>
    <s v="Online"/>
    <x v="1"/>
    <s v="Product-16"/>
    <n v="5.95"/>
    <n v="410.49"/>
    <n v="2216.71"/>
    <n v="0.15"/>
    <n v="2296.61"/>
    <n v="1790.08"/>
    <n v="506.5300000000002"/>
    <s v="Net Banking"/>
    <s v="Pooja"/>
    <s v="Medium"/>
  </r>
  <r>
    <s v="ORD00298"/>
    <d v="2024-05-10T00:00:00"/>
    <x v="7"/>
    <s v="2024-05-16"/>
    <s v="CUST5847"/>
    <x v="2"/>
    <x v="3"/>
    <s v="Maharashtra"/>
    <s v="Bengaluru"/>
    <s v="Retail Store"/>
    <x v="1"/>
    <s v="Product-47"/>
    <n v="1.79"/>
    <n v="2468.0500000000002"/>
    <n v="4068.16"/>
    <n v="0.05"/>
    <n v="3656.23"/>
    <n v="2580.12"/>
    <n v="1076.1100000000001"/>
    <s v="Credit Card"/>
    <s v="Neha"/>
    <s v="Medium"/>
  </r>
  <r>
    <s v="ORD00156"/>
    <d v="2024-08-22T00:00:00"/>
    <x v="9"/>
    <s v="2024-08-25"/>
    <s v="CUST7299"/>
    <x v="1"/>
    <x v="3"/>
    <s v="Delhi"/>
    <s v="Chennai"/>
    <s v="Retail Store"/>
    <x v="2"/>
    <s v="Product-20"/>
    <n v="11.52"/>
    <n v="1623.2"/>
    <n v="15930.24"/>
    <n v="0.11"/>
    <n v="16050.02"/>
    <n v="11712.62"/>
    <n v="4337.3999999999996"/>
    <s v="Credit Card"/>
    <s v="Karan"/>
    <s v="Medium"/>
  </r>
  <r>
    <s v="ORD00243"/>
    <d v="2024-02-17T00:00:00"/>
    <x v="1"/>
    <s v="2024-02-19"/>
    <s v="CUST9859"/>
    <x v="2"/>
    <x v="2"/>
    <s v="Maharashtra"/>
    <s v="Chennai"/>
    <s v="Retail Store"/>
    <x v="0"/>
    <s v="Product-38"/>
    <n v="7.34"/>
    <n v="1171.5999999999999"/>
    <n v="9886.11"/>
    <n v="0.11"/>
    <n v="9921.7900000000009"/>
    <n v="6453.5"/>
    <n v="3468.2900000000009"/>
    <s v="Debit Card"/>
    <s v="Amit"/>
    <s v="High"/>
  </r>
  <r>
    <s v="ORD00135"/>
    <d v="2024-02-19T00:00:00"/>
    <x v="1"/>
    <s v="2024-02-23"/>
    <s v="CUST6284"/>
    <x v="2"/>
    <x v="1"/>
    <s v="Delhi"/>
    <s v="Bengaluru"/>
    <s v="Online"/>
    <x v="2"/>
    <s v="Product-15"/>
    <n v="1.01"/>
    <n v="2372.48"/>
    <n v="2565.67"/>
    <n v="0.14000000000000001"/>
    <n v="2104.21"/>
    <n v="1718.83"/>
    <n v="385.38000000000011"/>
    <s v="UPI"/>
    <s v="Neha"/>
    <s v="High"/>
  </r>
  <r>
    <s v="ORD00062"/>
    <d v="2024-07-19T00:00:00"/>
    <x v="5"/>
    <s v="2024-07-26"/>
    <s v="CUST8892"/>
    <x v="1"/>
    <x v="3"/>
    <s v="Maharashtra"/>
    <s v="Chennai"/>
    <s v="Online"/>
    <x v="0"/>
    <s v="Product-17"/>
    <n v="3.04"/>
    <n v="1098.3699999999999"/>
    <n v="3273.82"/>
    <n v="0"/>
    <n v="3203.34"/>
    <n v="2530.44"/>
    <n v="672.90000000000009"/>
    <s v="UPI"/>
    <s v="Neha"/>
    <s v="Low"/>
  </r>
  <r>
    <s v="ORD00197"/>
    <d v="2024-09-13T00:00:00"/>
    <x v="3"/>
    <s v="2024-09-17"/>
    <s v="CUST7431"/>
    <x v="0"/>
    <x v="2"/>
    <s v="Tamil Nadu"/>
    <s v="Chennai"/>
    <s v="Online"/>
    <x v="1"/>
    <s v="Product-34"/>
    <n v="1"/>
    <n v="2646.8"/>
    <n v="2819.74"/>
    <n v="0"/>
    <n v="2968.15"/>
    <n v="1867.77"/>
    <n v="1100.3800000000001"/>
    <s v="UPI"/>
    <s v="Rohit"/>
    <s v="Medium"/>
  </r>
  <r>
    <s v="ORD00062"/>
    <d v="2024-07-19T00:00:00"/>
    <x v="5"/>
    <s v="2024-07-26"/>
    <s v="CUST8892"/>
    <x v="1"/>
    <x v="3"/>
    <s v="Maharashtra"/>
    <s v="Chennai"/>
    <s v="Online"/>
    <x v="0"/>
    <s v="Product-17"/>
    <n v="2.96"/>
    <n v="1123.8399999999999"/>
    <n v="3258.58"/>
    <n v="0"/>
    <n v="3315.96"/>
    <n v="2582.84"/>
    <n v="733.11999999999989"/>
    <s v="UPI"/>
    <s v="Neha"/>
    <s v="Low"/>
  </r>
  <r>
    <s v="ORD00094"/>
    <d v="2024-06-27T00:00:00"/>
    <x v="0"/>
    <s v="2024-07-01"/>
    <s v="CUST6688"/>
    <x v="1"/>
    <x v="3"/>
    <s v="Uttar Pradesh"/>
    <s v="Mumbai"/>
    <s v="Retail Store"/>
    <x v="0"/>
    <s v="Product-45"/>
    <n v="1.99"/>
    <n v="1717.51"/>
    <n v="4047.85"/>
    <n v="0.05"/>
    <n v="4150.54"/>
    <n v="3130.24"/>
    <n v="1020.3000000000002"/>
    <s v="Credit Card"/>
    <s v="Pooja"/>
    <s v="Low"/>
  </r>
  <r>
    <s v="ORD00040"/>
    <d v="2024-08-18T00:00:00"/>
    <x v="9"/>
    <s v="2024-08-21"/>
    <s v="CUST2479"/>
    <x v="2"/>
    <x v="3"/>
    <s v="Karnataka"/>
    <s v="Mumbai"/>
    <s v="B2B"/>
    <x v="1"/>
    <s v="Product-33"/>
    <n v="7.07"/>
    <n v="992.42"/>
    <n v="6395.53"/>
    <n v="0.05"/>
    <n v="6325.01"/>
    <n v="4224.33"/>
    <n v="2100.6800000000003"/>
    <s v="Debit Card"/>
    <s v="Amit"/>
    <s v="High"/>
  </r>
  <r>
    <s v="ORD00187"/>
    <d v="2024-08-12T00:00:00"/>
    <x v="9"/>
    <s v="2024-08-13"/>
    <s v="CUST3694"/>
    <x v="0"/>
    <x v="3"/>
    <s v="Delhi"/>
    <s v="Chennai"/>
    <s v="B2B"/>
    <x v="1"/>
    <s v="Product-23"/>
    <n v="10.36"/>
    <n v="3063.52"/>
    <n v="47806.45"/>
    <n v="0.05"/>
    <n v="38577.53"/>
    <n v="27685.83"/>
    <n v="10891.699999999997"/>
    <s v="Credit Card"/>
    <s v="Pooja"/>
    <s v="Low"/>
  </r>
  <r>
    <s v="ORD00268"/>
    <d v="2024-03-25T00:00:00"/>
    <x v="8"/>
    <s v="2024-03-31"/>
    <s v="CUST7463"/>
    <x v="1"/>
    <x v="3"/>
    <s v="Tamil Nadu"/>
    <s v="Chennai"/>
    <s v="Retail Store"/>
    <x v="2"/>
    <s v="Product-23"/>
    <n v="3.4"/>
    <n v="3462.45"/>
    <n v="9004.01"/>
    <n v="0"/>
    <n v="11168.03"/>
    <n v="8464.26"/>
    <n v="2703.7700000000004"/>
    <s v="Credit Card"/>
    <s v="Neha"/>
    <s v="High"/>
  </r>
  <r>
    <s v="ORD00092"/>
    <d v="2024-05-13T00:00:00"/>
    <x v="7"/>
    <s v="2024-05-14"/>
    <s v="CUST7029"/>
    <x v="0"/>
    <x v="1"/>
    <s v="Karnataka"/>
    <s v="Noida"/>
    <s v="B2B"/>
    <x v="0"/>
    <s v="Product-27"/>
    <n v="4.8600000000000003"/>
    <n v="1368.92"/>
    <n v="7846.06"/>
    <n v="0.09"/>
    <n v="6313.51"/>
    <n v="4023.53"/>
    <n v="2289.98"/>
    <s v="UPI"/>
    <s v="Pooja"/>
    <s v="High"/>
  </r>
  <r>
    <s v="ORD00082"/>
    <d v="2024-10-17T00:00:00"/>
    <x v="2"/>
    <s v="2024-10-20"/>
    <s v="CUST7770"/>
    <x v="1"/>
    <x v="3"/>
    <s v="Uttar Pradesh"/>
    <s v="Mumbai"/>
    <s v="Online"/>
    <x v="2"/>
    <s v="Product-40"/>
    <n v="4.84"/>
    <n v="705.06"/>
    <n v="3607.56"/>
    <n v="0.1"/>
    <n v="3279.54"/>
    <n v="2510.38"/>
    <n v="769.15999999999985"/>
    <s v="Net Banking"/>
    <s v="Neha"/>
    <s v="Low"/>
  </r>
  <r>
    <s v="ORD00022"/>
    <d v="2024-09-17T00:00:00"/>
    <x v="3"/>
    <s v="2024-09-22"/>
    <s v="CUST5253"/>
    <x v="1"/>
    <x v="2"/>
    <s v="Tamil Nadu"/>
    <s v="Mumbai"/>
    <s v="Retail Store"/>
    <x v="0"/>
    <s v="Product-26"/>
    <n v="7.18"/>
    <n v="1954.7"/>
    <n v="18182.96"/>
    <n v="0.05"/>
    <n v="14840.18"/>
    <n v="12934.26"/>
    <n v="1905.92"/>
    <s v="Net Banking"/>
    <s v="Rohit"/>
    <s v="Low"/>
  </r>
  <r>
    <s v="ORD00297"/>
    <d v="2024-06-20T00:00:00"/>
    <x v="0"/>
    <s v="2024-06-23"/>
    <s v="CUST2466"/>
    <x v="2"/>
    <x v="3"/>
    <s v="Karnataka"/>
    <s v="Mumbai"/>
    <s v="Online"/>
    <x v="0"/>
    <s v="Product-31"/>
    <n v="10.3"/>
    <n v="451.65"/>
    <n v="4087.83"/>
    <n v="0.05"/>
    <n v="3757.08"/>
    <n v="2517.86"/>
    <n v="1239.2199999999998"/>
    <s v="UPI"/>
    <s v="Amit"/>
    <s v="Medium"/>
  </r>
  <r>
    <s v="ORD00296"/>
    <d v="2024-07-28T00:00:00"/>
    <x v="5"/>
    <s v="2024-08-03"/>
    <s v="CUST8546"/>
    <x v="0"/>
    <x v="3"/>
    <s v="Maharashtra"/>
    <s v="Delhi"/>
    <s v="Retail Store"/>
    <x v="0"/>
    <s v="Product-7"/>
    <n v="12.47"/>
    <n v="914.27"/>
    <n v="11576.3"/>
    <n v="0"/>
    <n v="11443.5"/>
    <n v="8633.52"/>
    <n v="2809.9799999999996"/>
    <s v="Credit Card"/>
    <s v="Rohit"/>
    <s v="High"/>
  </r>
  <r>
    <s v="ORD00092"/>
    <d v="2024-05-13T00:00:00"/>
    <x v="7"/>
    <s v="2024-05-14"/>
    <s v="CUST7029"/>
    <x v="0"/>
    <x v="1"/>
    <s v="Karnataka"/>
    <s v="Noida"/>
    <s v="B2B"/>
    <x v="0"/>
    <s v="Product-27"/>
    <n v="6.05"/>
    <n v="1068.54"/>
    <n v="5841.48"/>
    <n v="0.09"/>
    <n v="6922.84"/>
    <n v="4073.13"/>
    <n v="2849.71"/>
    <s v="UPI"/>
    <s v="Pooja"/>
    <s v="High"/>
  </r>
  <r>
    <s v="ORD00225"/>
    <d v="2024-07-05T00:00:00"/>
    <x v="5"/>
    <s v="2024-07-10"/>
    <s v="CUST3823"/>
    <x v="2"/>
    <x v="1"/>
    <s v="Maharashtra"/>
    <s v="Delhi"/>
    <s v="Retail Store"/>
    <x v="2"/>
    <s v="Product-24"/>
    <n v="3.73"/>
    <n v="2096.52"/>
    <n v="7506.75"/>
    <n v="0.1"/>
    <n v="7416.07"/>
    <n v="4821.62"/>
    <n v="2594.4499999999998"/>
    <s v="Net Banking"/>
    <s v="Amit"/>
    <s v="Medium"/>
  </r>
  <r>
    <s v="ORD00092"/>
    <d v="2024-05-13T00:00:00"/>
    <x v="7"/>
    <s v="2024-05-14"/>
    <s v="CUST7029"/>
    <x v="0"/>
    <x v="1"/>
    <s v="Karnataka"/>
    <s v="Noida"/>
    <s v="B2B"/>
    <x v="0"/>
    <s v="Product-27"/>
    <n v="6.16"/>
    <n v="1282.06"/>
    <n v="7228.49"/>
    <n v="0.11"/>
    <n v="5643.71"/>
    <n v="4223.8100000000004"/>
    <n v="1419.8999999999996"/>
    <s v="UPI"/>
    <s v="Pooja"/>
    <s v="High"/>
  </r>
  <r>
    <s v="ORD00236"/>
    <d v="2024-03-08T00:00:00"/>
    <x v="8"/>
    <s v="2024-03-09"/>
    <s v="CUST9011"/>
    <x v="1"/>
    <x v="2"/>
    <s v="Karnataka"/>
    <s v="Bengaluru"/>
    <s v="Online"/>
    <x v="2"/>
    <s v="Product-46"/>
    <n v="4.43"/>
    <n v="2172.92"/>
    <n v="7843.11"/>
    <n v="0.11"/>
    <n v="7491.79"/>
    <n v="6676.82"/>
    <n v="814.97000000000025"/>
    <s v="UPI"/>
    <s v="Rohit"/>
    <s v="Low"/>
  </r>
  <r>
    <s v="ORD00189"/>
    <d v="2024-03-11T00:00:00"/>
    <x v="8"/>
    <s v="2024-03-14"/>
    <s v="CUST4645"/>
    <x v="1"/>
    <x v="1"/>
    <s v="Delhi"/>
    <s v="Mumbai"/>
    <s v="B2B"/>
    <x v="1"/>
    <s v="Product-24"/>
    <n v="5.8"/>
    <n v="1854.56"/>
    <n v="11943.78"/>
    <n v="0"/>
    <n v="15320.68"/>
    <n v="10127.209999999999"/>
    <n v="5193.4700000000012"/>
    <s v="Net Banking"/>
    <s v="Rohit"/>
    <s v="High"/>
  </r>
  <r>
    <s v="ORD00286"/>
    <d v="2024-02-13T00:00:00"/>
    <x v="1"/>
    <s v="2024-02-18"/>
    <s v="CUST9936"/>
    <x v="1"/>
    <x v="3"/>
    <s v="Tamil Nadu"/>
    <s v="Chennai"/>
    <s v="B2B"/>
    <x v="0"/>
    <s v="Product-36"/>
    <n v="8.89"/>
    <n v="2410.75"/>
    <n v="17565.88"/>
    <n v="0"/>
    <n v="21194.05"/>
    <n v="16540.63"/>
    <n v="4653.4199999999983"/>
    <s v="Credit Card"/>
    <s v="Amit"/>
    <s v="Low"/>
  </r>
  <r>
    <s v="ORD00197"/>
    <d v="2024-09-13T00:00:00"/>
    <x v="3"/>
    <s v="2024-09-17"/>
    <s v="CUST7431"/>
    <x v="0"/>
    <x v="2"/>
    <s v="Tamil Nadu"/>
    <s v="Chennai"/>
    <s v="Online"/>
    <x v="1"/>
    <s v="Product-34"/>
    <n v="0.98"/>
    <n v="2921.89"/>
    <n v="2847.51"/>
    <n v="0"/>
    <n v="3232.88"/>
    <n v="1707.72"/>
    <n v="1525.16"/>
    <s v="UPI"/>
    <s v="Rohit"/>
    <s v="Medium"/>
  </r>
  <r>
    <s v="ORD00169"/>
    <d v="2024-08-27T00:00:00"/>
    <x v="9"/>
    <s v="2024-09-03"/>
    <s v="CUST7638"/>
    <x v="0"/>
    <x v="2"/>
    <s v="Karnataka"/>
    <s v="Chennai"/>
    <s v="B2B"/>
    <x v="0"/>
    <s v="Product-15"/>
    <n v="3.66"/>
    <n v="921.94"/>
    <n v="4001.56"/>
    <n v="0.11"/>
    <n v="3192.16"/>
    <n v="2270.0100000000002"/>
    <n v="922.14999999999964"/>
    <s v="Net Banking"/>
    <s v="Neha"/>
    <s v="High"/>
  </r>
  <r>
    <s v="ORD00234"/>
    <d v="2024-08-01T00:00:00"/>
    <x v="9"/>
    <s v="2024-08-08"/>
    <s v="CUST3384"/>
    <x v="0"/>
    <x v="3"/>
    <s v="Maharashtra"/>
    <s v="Noida"/>
    <s v="Online"/>
    <x v="0"/>
    <s v="Product-35"/>
    <n v="9.7100000000000009"/>
    <n v="864.85"/>
    <n v="7889.37"/>
    <n v="0.17"/>
    <n v="6786.75"/>
    <n v="5736.82"/>
    <n v="1049.9300000000003"/>
    <s v="Debit Card"/>
    <s v="Karan"/>
    <s v="Medium"/>
  </r>
  <r>
    <s v="ORD00165"/>
    <d v="2024-01-23T00:00:00"/>
    <x v="10"/>
    <s v="2024-01-27"/>
    <s v="CUST3611"/>
    <x v="1"/>
    <x v="2"/>
    <s v="Karnataka"/>
    <s v="Delhi"/>
    <s v="Retail Store"/>
    <x v="2"/>
    <s v="Product-27"/>
    <n v="1.0900000000000001"/>
    <n v="2477.39"/>
    <n v="2736.16"/>
    <n v="0.05"/>
    <n v="1820.9"/>
    <n v="1496.12"/>
    <n v="324.7800000000002"/>
    <s v="Debit Card"/>
    <s v="Pooja"/>
    <s v="Low"/>
  </r>
  <r>
    <s v="ORD00182"/>
    <d v="2024-02-25T00:00:00"/>
    <x v="1"/>
    <s v="2024-03-02"/>
    <s v="CUST9897"/>
    <x v="0"/>
    <x v="0"/>
    <s v="Karnataka"/>
    <s v="Delhi"/>
    <s v="B2B"/>
    <x v="2"/>
    <s v="Product-41"/>
    <n v="7.92"/>
    <n v="3442.4"/>
    <n v="27522.85"/>
    <n v="0.14000000000000001"/>
    <n v="22278.16"/>
    <n v="15128.89"/>
    <n v="7149.27"/>
    <s v="Debit Card"/>
    <s v="Neha"/>
    <s v="Low"/>
  </r>
  <r>
    <s v="ORD00064"/>
    <d v="2024-05-13T00:00:00"/>
    <x v="7"/>
    <s v="2024-05-15"/>
    <s v="CUST5609"/>
    <x v="1"/>
    <x v="2"/>
    <s v="Karnataka"/>
    <s v="Delhi"/>
    <s v="Retail Store"/>
    <x v="2"/>
    <s v="Product-16"/>
    <n v="7.91"/>
    <n v="1271.02"/>
    <n v="8442.68"/>
    <n v="0.05"/>
    <n v="8691.2999999999993"/>
    <n v="5886.03"/>
    <n v="2805.2699999999995"/>
    <s v="Credit Card"/>
    <s v="Amit"/>
    <s v="High"/>
  </r>
  <r>
    <s v="ORD00009"/>
    <d v="2024-03-18T00:00:00"/>
    <x v="8"/>
    <s v="2024-03-20"/>
    <s v="CUST3987"/>
    <x v="0"/>
    <x v="3"/>
    <s v="Delhi"/>
    <s v="Mumbai"/>
    <s v="Retail Store"/>
    <x v="1"/>
    <s v="Product-24"/>
    <n v="11.59"/>
    <n v="1129.3800000000001"/>
    <n v="12983.06"/>
    <n v="0.14000000000000001"/>
    <n v="9916.44"/>
    <n v="8712"/>
    <n v="1204.4400000000005"/>
    <s v="Debit Card"/>
    <s v="Neha"/>
    <s v="High"/>
  </r>
  <r>
    <s v="ORD00015"/>
    <d v="2024-08-29T00:00:00"/>
    <x v="9"/>
    <s v="2024-09-01"/>
    <s v="CUST6726"/>
    <x v="0"/>
    <x v="0"/>
    <s v="Maharashtra"/>
    <s v="Delhi"/>
    <s v="Online"/>
    <x v="2"/>
    <s v="Product-13"/>
    <n v="3.82"/>
    <n v="2793.44"/>
    <n v="10260.59"/>
    <n v="0.1"/>
    <n v="8315.25"/>
    <n v="6515.63"/>
    <n v="1799.62"/>
    <s v="Debit Card"/>
    <s v="Neha"/>
    <s v="Medium"/>
  </r>
  <r>
    <s v="ORD00072"/>
    <d v="2024-11-21T00:00:00"/>
    <x v="4"/>
    <s v="2024-11-25"/>
    <s v="CUST4638"/>
    <x v="1"/>
    <x v="1"/>
    <s v="Uttar Pradesh"/>
    <s v="Mumbai"/>
    <s v="Retail Store"/>
    <x v="0"/>
    <s v="Product-37"/>
    <n v="2.08"/>
    <n v="2949.15"/>
    <n v="5970.49"/>
    <n v="0.05"/>
    <n v="5702.95"/>
    <n v="4320.6000000000004"/>
    <n v="1382.3499999999995"/>
    <s v="Credit Card"/>
    <s v="Amit"/>
    <s v="Medium"/>
  </r>
  <r>
    <s v="ORD00199"/>
    <d v="2024-10-23T00:00:00"/>
    <x v="2"/>
    <s v="2024-10-27"/>
    <s v="CUST1743"/>
    <x v="1"/>
    <x v="2"/>
    <s v="Maharashtra"/>
    <s v="Bengaluru"/>
    <s v="Retail Store"/>
    <x v="2"/>
    <s v="Product-5"/>
    <n v="5.96"/>
    <n v="1007.89"/>
    <n v="7186.94"/>
    <n v="0.05"/>
    <n v="6059.21"/>
    <n v="4854.1000000000004"/>
    <n v="1205.1099999999997"/>
    <s v="Debit Card"/>
    <s v="Rohit"/>
    <s v="High"/>
  </r>
  <r>
    <s v="ORD00157"/>
    <d v="2024-03-15T00:00:00"/>
    <x v="8"/>
    <s v="2024-03-19"/>
    <s v="CUST6408"/>
    <x v="0"/>
    <x v="2"/>
    <s v="Karnataka"/>
    <s v="Mumbai"/>
    <s v="Retail Store"/>
    <x v="0"/>
    <s v="Product-2"/>
    <n v="9.42"/>
    <n v="1600.03"/>
    <n v="19637.54"/>
    <n v="0.05"/>
    <n v="17352.93"/>
    <n v="9633.43"/>
    <n v="7719.5"/>
    <s v="UPI"/>
    <s v="Rohit"/>
    <s v="High"/>
  </r>
  <r>
    <s v="ORD00039"/>
    <d v="2024-09-07T00:00:00"/>
    <x v="3"/>
    <s v="2024-09-10"/>
    <s v="CUST2941"/>
    <x v="1"/>
    <x v="2"/>
    <s v="Karnataka"/>
    <s v="Delhi"/>
    <s v="Retail Store"/>
    <x v="0"/>
    <s v="Product-19"/>
    <n v="12.85"/>
    <n v="1863.04"/>
    <n v="22300.080000000002"/>
    <n v="0.14000000000000001"/>
    <n v="18857.310000000001"/>
    <n v="15260.85"/>
    <n v="3596.4600000000009"/>
    <s v="Net Banking"/>
    <s v="Amit"/>
    <s v="High"/>
  </r>
  <r>
    <s v="ORD00002"/>
    <d v="2024-02-16T00:00:00"/>
    <x v="1"/>
    <s v="2024-02-21"/>
    <s v="CUST2013"/>
    <x v="1"/>
    <x v="1"/>
    <s v="Delhi"/>
    <s v="Mumbai"/>
    <s v="Online"/>
    <x v="1"/>
    <s v="Product-9"/>
    <n v="6.62"/>
    <n v="562.05999999999995"/>
    <n v="4032.55"/>
    <n v="0"/>
    <n v="3895.78"/>
    <n v="3147.96"/>
    <n v="747.82000000000016"/>
    <s v="Debit Card"/>
    <s v="Pooja"/>
    <s v="Low"/>
  </r>
  <r>
    <s v="ORD00023"/>
    <d v="2024-05-03T00:00:00"/>
    <x v="7"/>
    <s v="2024-05-07"/>
    <s v="CUST3530"/>
    <x v="1"/>
    <x v="3"/>
    <s v="Maharashtra"/>
    <s v="Bengaluru"/>
    <s v="Online"/>
    <x v="2"/>
    <s v="Product-15"/>
    <n v="2.14"/>
    <n v="1094.33"/>
    <n v="1945.87"/>
    <n v="0.1"/>
    <n v="1873.02"/>
    <n v="1525.61"/>
    <n v="347.41000000000008"/>
    <s v="UPI"/>
    <s v="Pooja"/>
    <s v="Medium"/>
  </r>
  <r>
    <s v="ORD00293"/>
    <d v="2024-05-27T00:00:00"/>
    <x v="7"/>
    <s v="2024-06-03"/>
    <s v="CUST3888"/>
    <x v="1"/>
    <x v="1"/>
    <s v="Uttar Pradesh"/>
    <s v="Mumbai"/>
    <s v="B2B"/>
    <x v="1"/>
    <s v="Product-19"/>
    <n v="1.1100000000000001"/>
    <n v="2563.09"/>
    <n v="2416.7800000000002"/>
    <n v="0.14000000000000001"/>
    <n v="2230.17"/>
    <n v="1982.27"/>
    <n v="247.90000000000009"/>
    <s v="Net Banking"/>
    <s v="Neha"/>
    <s v="Medium"/>
  </r>
  <r>
    <s v="ORD00163"/>
    <d v="2024-09-17T00:00:00"/>
    <x v="3"/>
    <s v="2024-09-18"/>
    <s v="CUST9035"/>
    <x v="0"/>
    <x v="1"/>
    <s v="Delhi"/>
    <s v="Delhi"/>
    <s v="B2B"/>
    <x v="1"/>
    <s v="Product-21"/>
    <n v="1.03"/>
    <n v="728.02"/>
    <n v="717.32"/>
    <n v="0.05"/>
    <n v="717.38"/>
    <n v="591.41999999999996"/>
    <n v="125.96000000000004"/>
    <s v="Credit Card"/>
    <s v="Neha"/>
    <s v="Medium"/>
  </r>
  <r>
    <s v="ORD00051"/>
    <d v="2024-05-08T00:00:00"/>
    <x v="7"/>
    <s v="2024-05-13"/>
    <s v="CUST5920"/>
    <x v="1"/>
    <x v="2"/>
    <s v="Tamil Nadu"/>
    <s v="Bengaluru"/>
    <s v="Online"/>
    <x v="1"/>
    <s v="Product-1"/>
    <n v="10.91"/>
    <n v="1649.79"/>
    <n v="21936.639999999999"/>
    <n v="0"/>
    <n v="17343.36"/>
    <n v="11406.3"/>
    <n v="5937.0600000000013"/>
    <s v="UPI"/>
    <s v="Karan"/>
    <s v="Medium"/>
  </r>
  <r>
    <s v="ORD00238"/>
    <d v="2024-04-14T00:00:00"/>
    <x v="6"/>
    <s v="2024-04-15"/>
    <s v="CUST2178"/>
    <x v="1"/>
    <x v="1"/>
    <s v="Maharashtra"/>
    <s v="Delhi"/>
    <s v="B2B"/>
    <x v="1"/>
    <s v="Product-48"/>
    <n v="3.31"/>
    <n v="1566.58"/>
    <n v="5386.27"/>
    <n v="0"/>
    <n v="6040.73"/>
    <n v="3366.15"/>
    <n v="2674.5799999999995"/>
    <s v="Credit Card"/>
    <s v="Pooja"/>
    <s v="Low"/>
  </r>
  <r>
    <s v="ORD00265"/>
    <d v="2024-11-13T00:00:00"/>
    <x v="4"/>
    <s v="2024-11-16"/>
    <s v="CUST6236"/>
    <x v="0"/>
    <x v="1"/>
    <s v="Karnataka"/>
    <s v="Delhi"/>
    <s v="Online"/>
    <x v="1"/>
    <s v="Product-29"/>
    <n v="9.81"/>
    <n v="1821.52"/>
    <n v="15627.93"/>
    <n v="0.09"/>
    <n v="12326.68"/>
    <n v="7879.45"/>
    <n v="4447.2300000000005"/>
    <s v="Net Banking"/>
    <s v="Neha"/>
    <s v="Medium"/>
  </r>
  <r>
    <s v="ORD00180"/>
    <d v="2024-07-26T00:00:00"/>
    <x v="5"/>
    <s v="2024-08-02"/>
    <s v="CUST8972"/>
    <x v="2"/>
    <x v="0"/>
    <s v="Delhi"/>
    <s v="Bengaluru"/>
    <s v="Retail Store"/>
    <x v="0"/>
    <s v="Product-8"/>
    <n v="4.41"/>
    <n v="672.64"/>
    <n v="3057.48"/>
    <n v="0.1"/>
    <n v="2467.89"/>
    <n v="1389.42"/>
    <n v="1078.4699999999998"/>
    <s v="Debit Card"/>
    <s v="Pooja"/>
    <s v="Low"/>
  </r>
  <r>
    <s v="ORD00019"/>
    <d v="2024-05-12T00:00:00"/>
    <x v="7"/>
    <s v="2024-05-17"/>
    <s v="CUST6796"/>
    <x v="0"/>
    <x v="1"/>
    <s v="Uttar Pradesh"/>
    <s v="Mumbai"/>
    <s v="B2B"/>
    <x v="0"/>
    <s v="Product-34"/>
    <n v="8.09"/>
    <n v="2809.12"/>
    <n v="20855.939999999999"/>
    <n v="0"/>
    <n v="22617.56"/>
    <n v="19687.009999999998"/>
    <n v="2930.5500000000029"/>
    <s v="UPI"/>
    <s v="Pooja"/>
    <s v="Low"/>
  </r>
  <r>
    <s v="ORD00058"/>
    <d v="2024-06-07T00:00:00"/>
    <x v="0"/>
    <s v="2024-06-14"/>
    <s v="CUST9872"/>
    <x v="0"/>
    <x v="2"/>
    <s v="Karnataka"/>
    <s v="Bengaluru"/>
    <s v="B2B"/>
    <x v="2"/>
    <s v="Product-2"/>
    <n v="6.53"/>
    <n v="712.27"/>
    <n v="4751.38"/>
    <n v="0.13"/>
    <n v="4268.37"/>
    <n v="2907.71"/>
    <n v="1360.6599999999999"/>
    <s v="Net Banking"/>
    <s v="Neha"/>
    <s v="High"/>
  </r>
  <r>
    <s v="ORD00202"/>
    <d v="2024-03-18T00:00:00"/>
    <x v="8"/>
    <s v="2024-03-20"/>
    <s v="CUST7489"/>
    <x v="1"/>
    <x v="3"/>
    <s v="Maharashtra"/>
    <s v="Noida"/>
    <s v="Online"/>
    <x v="0"/>
    <s v="Product-20"/>
    <n v="4.17"/>
    <n v="419.51"/>
    <n v="1757.75"/>
    <n v="0.12"/>
    <n v="1233.1099999999999"/>
    <n v="964.98"/>
    <n v="268.12999999999988"/>
    <s v="Debit Card"/>
    <s v="Rohit"/>
    <s v="High"/>
  </r>
  <r>
    <s v="ORD00169"/>
    <d v="2024-08-27T00:00:00"/>
    <x v="9"/>
    <s v="2024-09-03"/>
    <s v="CUST7638"/>
    <x v="0"/>
    <x v="2"/>
    <s v="Karnataka"/>
    <s v="Chennai"/>
    <s v="B2B"/>
    <x v="0"/>
    <s v="Product-15"/>
    <n v="3.95"/>
    <n v="845.96"/>
    <n v="3041.59"/>
    <n v="0.11"/>
    <n v="3232.02"/>
    <n v="1993.96"/>
    <n v="1238.06"/>
    <s v="Net Banking"/>
    <s v="Neha"/>
    <s v="High"/>
  </r>
  <r>
    <s v="ORD00199"/>
    <d v="2024-10-23T00:00:00"/>
    <x v="2"/>
    <s v="2024-10-27"/>
    <s v="CUST1743"/>
    <x v="1"/>
    <x v="2"/>
    <s v="Maharashtra"/>
    <s v="Bengaluru"/>
    <s v="Retail Store"/>
    <x v="2"/>
    <s v="Product-5"/>
    <n v="5.82"/>
    <n v="1100.01"/>
    <n v="7226.39"/>
    <n v="0.05"/>
    <n v="6148.61"/>
    <n v="5062.3599999999997"/>
    <n v="1086.25"/>
    <s v="Debit Card"/>
    <s v="Rohit"/>
    <s v="High"/>
  </r>
  <r>
    <s v="ORD00300"/>
    <d v="2024-11-24T00:00:00"/>
    <x v="4"/>
    <s v="2024-11-28"/>
    <s v="CUST7183"/>
    <x v="0"/>
    <x v="2"/>
    <s v="Karnataka"/>
    <s v="Delhi"/>
    <s v="Retail Store"/>
    <x v="2"/>
    <s v="Product-32"/>
    <n v="5.1100000000000003"/>
    <n v="2951.92"/>
    <n v="17006.669999999998"/>
    <n v="0"/>
    <n v="16059.83"/>
    <n v="9603.09"/>
    <n v="6456.74"/>
    <s v="UPI"/>
    <s v="Amit"/>
    <s v="Medium"/>
  </r>
  <r>
    <s v="ORD00031"/>
    <d v="2024-01-28T00:00:00"/>
    <x v="10"/>
    <s v="2024-02-04"/>
    <s v="CUST1907"/>
    <x v="2"/>
    <x v="1"/>
    <s v="Uttar Pradesh"/>
    <s v="Bengaluru"/>
    <s v="B2B"/>
    <x v="0"/>
    <s v="Product-45"/>
    <n v="3.01"/>
    <n v="428.35"/>
    <n v="1360.68"/>
    <n v="0.1"/>
    <n v="1244.43"/>
    <n v="843.1"/>
    <n v="401.33000000000004"/>
    <s v="Debit Card"/>
    <s v="Amit"/>
    <s v="Medium"/>
  </r>
  <r>
    <s v="ORD00025"/>
    <d v="2024-10-10T00:00:00"/>
    <x v="2"/>
    <s v="2024-10-14"/>
    <s v="CUST5840"/>
    <x v="1"/>
    <x v="0"/>
    <s v="Delhi"/>
    <s v="Mumbai"/>
    <s v="Online"/>
    <x v="0"/>
    <s v="Product-17"/>
    <n v="8.2899999999999991"/>
    <n v="2424.61"/>
    <n v="23348.32"/>
    <n v="0.14000000000000001"/>
    <n v="17483.45"/>
    <n v="9764.69"/>
    <n v="7718.76"/>
    <s v="Debit Card"/>
    <s v="Amit"/>
    <s v="Low"/>
  </r>
  <r>
    <s v="ORD00112"/>
    <d v="2024-03-25T00:00:00"/>
    <x v="8"/>
    <s v="2024-03-30"/>
    <s v="CUST6254"/>
    <x v="0"/>
    <x v="1"/>
    <s v="Karnataka"/>
    <s v="Chennai"/>
    <s v="Retail Store"/>
    <x v="2"/>
    <s v="Product-27"/>
    <n v="9.09"/>
    <n v="3233.47"/>
    <n v="33838.46"/>
    <n v="0"/>
    <n v="29519.63"/>
    <n v="17766.560000000001"/>
    <n v="11753.07"/>
    <s v="UPI"/>
    <s v="Neha"/>
    <s v="High"/>
  </r>
  <r>
    <s v="ORD00292"/>
    <d v="2024-11-17T00:00:00"/>
    <x v="4"/>
    <s v="2024-11-20"/>
    <s v="CUST3639"/>
    <x v="2"/>
    <x v="0"/>
    <s v="Uttar Pradesh"/>
    <s v="Mumbai"/>
    <s v="Retail Store"/>
    <x v="1"/>
    <s v="Product-45"/>
    <n v="6.26"/>
    <n v="635.49"/>
    <n v="3351.2"/>
    <n v="0"/>
    <n v="3609.86"/>
    <n v="2872.09"/>
    <n v="737.77"/>
    <s v="UPI"/>
    <s v="Neha"/>
    <s v="Low"/>
  </r>
  <r>
    <s v="ORD00219"/>
    <d v="2024-09-11T00:00:00"/>
    <x v="3"/>
    <s v="2024-09-12"/>
    <s v="CUST5472"/>
    <x v="1"/>
    <x v="2"/>
    <s v="Delhi"/>
    <s v="Bengaluru"/>
    <s v="Retail Store"/>
    <x v="0"/>
    <s v="Product-3"/>
    <n v="6.2"/>
    <n v="3118.17"/>
    <n v="18424.79"/>
    <n v="0.05"/>
    <n v="19088.36"/>
    <n v="16621.59"/>
    <n v="2466.7700000000004"/>
    <s v="Credit Card"/>
    <s v="Karan"/>
    <s v="Low"/>
  </r>
  <r>
    <s v="ORD00199"/>
    <d v="2024-10-23T00:00:00"/>
    <x v="2"/>
    <s v="2024-10-27"/>
    <s v="CUST1743"/>
    <x v="1"/>
    <x v="2"/>
    <s v="Maharashtra"/>
    <s v="Bengaluru"/>
    <s v="Retail Store"/>
    <x v="2"/>
    <s v="Product-5"/>
    <n v="5.17"/>
    <n v="1213.73"/>
    <n v="6894.02"/>
    <n v="0.05"/>
    <n v="7233.33"/>
    <n v="4780.6400000000003"/>
    <n v="2452.6899999999996"/>
    <s v="Debit Card"/>
    <s v="Rohit"/>
    <s v="High"/>
  </r>
  <r>
    <s v="ORD00158"/>
    <d v="2024-09-11T00:00:00"/>
    <x v="3"/>
    <s v="2024-09-14"/>
    <s v="CUST9474"/>
    <x v="1"/>
    <x v="1"/>
    <s v="Tamil Nadu"/>
    <s v="Chennai"/>
    <s v="Retail Store"/>
    <x v="0"/>
    <s v="Product-39"/>
    <n v="8.57"/>
    <n v="2859.21"/>
    <n v="23597.040000000001"/>
    <n v="0.15"/>
    <n v="24516.37"/>
    <n v="15392.31"/>
    <n v="9124.06"/>
    <s v="Debit Card"/>
    <s v="Pooja"/>
    <s v="Low"/>
  </r>
  <r>
    <s v="ORD00072"/>
    <d v="2024-11-21T00:00:00"/>
    <x v="4"/>
    <s v="2024-11-25"/>
    <s v="CUST4638"/>
    <x v="1"/>
    <x v="1"/>
    <s v="Uttar Pradesh"/>
    <s v="Mumbai"/>
    <s v="Retail Store"/>
    <x v="0"/>
    <s v="Product-37"/>
    <n v="2.11"/>
    <n v="3029.96"/>
    <n v="6883.67"/>
    <n v="0.05"/>
    <n v="6009.38"/>
    <n v="5004.66"/>
    <n v="1004.7200000000003"/>
    <s v="Credit Card"/>
    <s v="Amit"/>
    <s v="Medium"/>
  </r>
  <r>
    <s v="ORD00054"/>
    <d v="2024-07-21T00:00:00"/>
    <x v="5"/>
    <s v="2024-07-23"/>
    <s v="CUST4283"/>
    <x v="0"/>
    <x v="2"/>
    <s v="Maharashtra"/>
    <s v="Chennai"/>
    <s v="Online"/>
    <x v="2"/>
    <s v="Product-49"/>
    <n v="1.06"/>
    <n v="3133.33"/>
    <n v="2803.85"/>
    <n v="0"/>
    <n v="2981.15"/>
    <n v="1683.2"/>
    <n v="1297.95"/>
    <s v="Debit Card"/>
    <s v="Amit"/>
    <s v="High"/>
  </r>
  <r>
    <s v="ORD00221"/>
    <d v="2024-08-04T00:00:00"/>
    <x v="9"/>
    <s v="2024-08-07"/>
    <s v="CUST7314"/>
    <x v="0"/>
    <x v="2"/>
    <s v="Delhi"/>
    <s v="Mumbai"/>
    <s v="B2B"/>
    <x v="1"/>
    <s v="Product-17"/>
    <n v="8.65"/>
    <n v="1804.01"/>
    <n v="14833.01"/>
    <n v="0.05"/>
    <n v="15339.99"/>
    <n v="10188.42"/>
    <n v="5151.57"/>
    <s v="Net Banking"/>
    <s v="Neha"/>
    <s v="Low"/>
  </r>
  <r>
    <s v="ORD00188"/>
    <d v="2024-10-04T00:00:00"/>
    <x v="2"/>
    <s v="2024-10-07"/>
    <s v="CUST2334"/>
    <x v="2"/>
    <x v="3"/>
    <s v="Uttar Pradesh"/>
    <s v="Bengaluru"/>
    <s v="B2B"/>
    <x v="1"/>
    <s v="Product-27"/>
    <n v="9.33"/>
    <n v="1835.8"/>
    <n v="14548.82"/>
    <n v="0.05"/>
    <n v="14890.75"/>
    <n v="13471.39"/>
    <n v="1419.3600000000006"/>
    <s v="Debit Card"/>
    <s v="Pooja"/>
    <s v="High"/>
  </r>
  <r>
    <s v="ORD00025"/>
    <d v="2024-10-10T00:00:00"/>
    <x v="2"/>
    <s v="2024-10-14"/>
    <s v="CUST5840"/>
    <x v="1"/>
    <x v="0"/>
    <s v="Delhi"/>
    <s v="Mumbai"/>
    <s v="Online"/>
    <x v="0"/>
    <s v="Product-17"/>
    <n v="7.1"/>
    <n v="2579.4"/>
    <n v="18973.68"/>
    <n v="0.15"/>
    <n v="14144.41"/>
    <n v="9608.3799999999992"/>
    <n v="4536.0300000000007"/>
    <s v="Debit Card"/>
    <s v="Amit"/>
    <s v="Low"/>
  </r>
  <r>
    <s v="ORD00199"/>
    <d v="2024-10-23T00:00:00"/>
    <x v="2"/>
    <s v="2024-10-27"/>
    <s v="CUST1743"/>
    <x v="1"/>
    <x v="2"/>
    <s v="Maharashtra"/>
    <s v="Bengaluru"/>
    <s v="Retail Store"/>
    <x v="2"/>
    <s v="Product-5"/>
    <n v="5.72"/>
    <n v="1245.18"/>
    <n v="4729.7299999999996"/>
    <n v="0.05"/>
    <n v="6507.16"/>
    <n v="4535.5200000000004"/>
    <n v="1971.6399999999994"/>
    <s v="Debit Card"/>
    <s v="Rohit"/>
    <s v="High"/>
  </r>
  <r>
    <s v="ORD00195"/>
    <d v="2024-02-21T00:00:00"/>
    <x v="1"/>
    <s v="2024-02-24"/>
    <s v="CUST4972"/>
    <x v="0"/>
    <x v="3"/>
    <s v="Maharashtra"/>
    <s v="Chennai"/>
    <s v="Online"/>
    <x v="1"/>
    <s v="Product-29"/>
    <n v="9.02"/>
    <n v="1490.88"/>
    <n v="13514.62"/>
    <n v="0"/>
    <n v="12551.97"/>
    <n v="7755.96"/>
    <n v="4796.0099999999993"/>
    <s v="UPI"/>
    <s v="Amit"/>
    <s v="Medium"/>
  </r>
  <r>
    <s v="ORD00005"/>
    <d v="2024-11-07T00:00:00"/>
    <x v="4"/>
    <s v="2024-11-08"/>
    <s v="CUST3490"/>
    <x v="0"/>
    <x v="1"/>
    <s v="Delhi"/>
    <s v="Delhi"/>
    <s v="B2B"/>
    <x v="1"/>
    <s v="Product-21"/>
    <n v="1.93"/>
    <n v="1990.31"/>
    <n v="4278.28"/>
    <n v="0.05"/>
    <n v="4117.6899999999996"/>
    <n v="2800.64"/>
    <n v="1317.0499999999997"/>
    <s v="Debit Card"/>
    <s v="Rohit"/>
    <s v="High"/>
  </r>
  <r>
    <s v="ORD00126"/>
    <d v="2024-02-13T00:00:00"/>
    <x v="1"/>
    <s v="2024-02-18"/>
    <s v="CUST4834"/>
    <x v="0"/>
    <x v="0"/>
    <s v="Tamil Nadu"/>
    <s v="Chennai"/>
    <s v="B2B"/>
    <x v="0"/>
    <s v="Product-17"/>
    <n v="9.0399999999999991"/>
    <n v="2024.04"/>
    <n v="15629.04"/>
    <n v="0.14000000000000001"/>
    <n v="13133.86"/>
    <n v="8801.89"/>
    <n v="4331.9700000000012"/>
    <s v="UPI"/>
    <s v="Pooja"/>
    <s v="Medium"/>
  </r>
  <r>
    <s v="ORD00142"/>
    <d v="2024-07-06T00:00:00"/>
    <x v="5"/>
    <s v="2024-07-07"/>
    <s v="CUST8303"/>
    <x v="1"/>
    <x v="0"/>
    <s v="Delhi"/>
    <s v="Bengaluru"/>
    <s v="B2B"/>
    <x v="0"/>
    <s v="Product-21"/>
    <n v="2.89"/>
    <n v="2986.61"/>
    <n v="9372.64"/>
    <n v="0"/>
    <n v="8181.88"/>
    <n v="4376.03"/>
    <n v="3805.8500000000004"/>
    <s v="Net Banking"/>
    <s v="Karan"/>
    <s v="Low"/>
  </r>
  <r>
    <s v="ORD00297"/>
    <d v="2024-06-20T00:00:00"/>
    <x v="0"/>
    <s v="2024-06-23"/>
    <s v="CUST2466"/>
    <x v="2"/>
    <x v="3"/>
    <s v="Karnataka"/>
    <s v="Mumbai"/>
    <s v="Online"/>
    <x v="0"/>
    <s v="Product-31"/>
    <n v="10.23"/>
    <n v="518.39"/>
    <n v="3326.25"/>
    <n v="0.05"/>
    <n v="3762.25"/>
    <n v="2395.4499999999998"/>
    <n v="1366.8000000000002"/>
    <s v="UPI"/>
    <s v="Amit"/>
    <s v="Medium"/>
  </r>
  <r>
    <s v="ORD00031"/>
    <d v="2024-01-28T00:00:00"/>
    <x v="10"/>
    <s v="2024-02-04"/>
    <s v="CUST1907"/>
    <x v="2"/>
    <x v="1"/>
    <s v="Uttar Pradesh"/>
    <s v="Bengaluru"/>
    <s v="B2B"/>
    <x v="0"/>
    <s v="Product-45"/>
    <n v="3.2"/>
    <n v="407.03"/>
    <n v="1338.82"/>
    <n v="0.09"/>
    <n v="1104"/>
    <n v="862.72"/>
    <n v="241.27999999999997"/>
    <s v="Debit Card"/>
    <s v="Amit"/>
    <s v="Medium"/>
  </r>
  <r>
    <s v="ORD00036"/>
    <d v="2024-07-11T00:00:00"/>
    <x v="5"/>
    <s v="2024-07-18"/>
    <s v="CUST5006"/>
    <x v="0"/>
    <x v="3"/>
    <s v="Delhi"/>
    <s v="Chennai"/>
    <s v="Online"/>
    <x v="1"/>
    <s v="Product-33"/>
    <n v="7.26"/>
    <n v="2111.5300000000002"/>
    <n v="16129.97"/>
    <n v="0"/>
    <n v="16949.54"/>
    <n v="12505.41"/>
    <n v="4444.130000000001"/>
    <s v="UPI"/>
    <s v="Karan"/>
    <s v="Low"/>
  </r>
  <r>
    <s v="ORD00187"/>
    <d v="2024-08-12T00:00:00"/>
    <x v="9"/>
    <s v="2024-08-13"/>
    <s v="CUST3694"/>
    <x v="0"/>
    <x v="3"/>
    <s v="Delhi"/>
    <s v="Chennai"/>
    <s v="B2B"/>
    <x v="1"/>
    <s v="Product-23"/>
    <n v="8.6199999999999992"/>
    <n v="3973.05"/>
    <n v="38616.78"/>
    <n v="0.05"/>
    <n v="37017.15"/>
    <n v="28923.26"/>
    <n v="8093.8900000000031"/>
    <s v="Credit Card"/>
    <s v="Pooja"/>
    <s v="Low"/>
  </r>
  <r>
    <s v="ORD00157"/>
    <d v="2024-03-15T00:00:00"/>
    <x v="8"/>
    <s v="2024-03-19"/>
    <s v="CUST6408"/>
    <x v="0"/>
    <x v="2"/>
    <s v="Karnataka"/>
    <s v="Mumbai"/>
    <s v="Retail Store"/>
    <x v="0"/>
    <s v="Product-2"/>
    <n v="10.43"/>
    <n v="1406.67"/>
    <n v="14302.3"/>
    <n v="0.05"/>
    <n v="16105.84"/>
    <n v="9696.1299999999992"/>
    <n v="6409.7100000000009"/>
    <s v="UPI"/>
    <s v="Rohit"/>
    <s v="High"/>
  </r>
  <r>
    <s v="ORD00122"/>
    <d v="2024-05-10T00:00:00"/>
    <x v="7"/>
    <s v="2024-05-11"/>
    <s v="CUST2305"/>
    <x v="0"/>
    <x v="3"/>
    <s v="Karnataka"/>
    <s v="Noida"/>
    <s v="Online"/>
    <x v="2"/>
    <s v="Product-39"/>
    <n v="13.81"/>
    <n v="489.88"/>
    <n v="6451.29"/>
    <n v="0"/>
    <n v="5497.47"/>
    <n v="3228.73"/>
    <n v="2268.7400000000002"/>
    <s v="UPI"/>
    <s v="Rohit"/>
    <s v="Medium"/>
  </r>
  <r>
    <s v="ORD00120"/>
    <d v="2024-10-07T00:00:00"/>
    <x v="2"/>
    <s v="2024-10-08"/>
    <s v="CUST1254"/>
    <x v="0"/>
    <x v="0"/>
    <s v="Delhi"/>
    <s v="Delhi"/>
    <s v="Online"/>
    <x v="0"/>
    <s v="Product-8"/>
    <n v="1.96"/>
    <n v="2174.1799999999998"/>
    <n v="5449.84"/>
    <n v="0.05"/>
    <n v="4930.5"/>
    <n v="3932.97"/>
    <n v="997.5300000000002"/>
    <s v="Credit Card"/>
    <s v="Pooja"/>
    <s v="Low"/>
  </r>
  <r>
    <s v="ORD00060"/>
    <d v="2024-05-14T00:00:00"/>
    <x v="7"/>
    <s v="2024-05-20"/>
    <s v="CUST2070"/>
    <x v="2"/>
    <x v="2"/>
    <s v="Delhi"/>
    <s v="Chennai"/>
    <s v="B2B"/>
    <x v="2"/>
    <s v="Product-50"/>
    <n v="10.01"/>
    <n v="2466.02"/>
    <n v="31161.63"/>
    <n v="0.12"/>
    <n v="30909.040000000001"/>
    <n v="20727.79"/>
    <n v="10181.25"/>
    <s v="Net Banking"/>
    <s v="Rohit"/>
    <s v="Medium"/>
  </r>
  <r>
    <s v="ORD00007"/>
    <d v="2024-07-16T00:00:00"/>
    <x v="5"/>
    <s v="2024-07-22"/>
    <s v="CUST2918"/>
    <x v="0"/>
    <x v="0"/>
    <s v="Maharashtra"/>
    <s v="Bengaluru"/>
    <s v="Online"/>
    <x v="1"/>
    <s v="Product-16"/>
    <n v="6.85"/>
    <n v="399.85"/>
    <n v="2565.1"/>
    <n v="0.14000000000000001"/>
    <n v="1897.07"/>
    <n v="1600.98"/>
    <n v="296.08999999999992"/>
    <s v="Net Banking"/>
    <s v="Pooja"/>
    <s v="Medium"/>
  </r>
  <r>
    <s v="ORD00278"/>
    <d v="2024-03-30T00:00:00"/>
    <x v="8"/>
    <s v="2024-04-05"/>
    <s v="CUST8455"/>
    <x v="2"/>
    <x v="3"/>
    <s v="Delhi"/>
    <s v="Mumbai"/>
    <s v="Retail Store"/>
    <x v="2"/>
    <s v="Product-32"/>
    <n v="5.53"/>
    <n v="1667.22"/>
    <n v="10518.63"/>
    <n v="0"/>
    <n v="10721.11"/>
    <n v="6937.67"/>
    <n v="3783.4400000000005"/>
    <s v="UPI"/>
    <s v="Rohit"/>
    <s v="Medium"/>
  </r>
  <r>
    <s v="ORD00238"/>
    <d v="2024-04-14T00:00:00"/>
    <x v="6"/>
    <s v="2024-04-15"/>
    <s v="CUST2178"/>
    <x v="1"/>
    <x v="1"/>
    <s v="Maharashtra"/>
    <s v="Delhi"/>
    <s v="B2B"/>
    <x v="1"/>
    <s v="Product-48"/>
    <n v="3.06"/>
    <n v="1636.66"/>
    <n v="5369.72"/>
    <n v="0"/>
    <n v="5063.66"/>
    <n v="2885.98"/>
    <n v="2177.6799999999998"/>
    <s v="Credit Card"/>
    <s v="Pooja"/>
    <s v="Low"/>
  </r>
  <r>
    <s v="ORD00284"/>
    <d v="2024-04-12T00:00:00"/>
    <x v="6"/>
    <s v="2024-04-19"/>
    <s v="CUST4597"/>
    <x v="1"/>
    <x v="0"/>
    <s v="Uttar Pradesh"/>
    <s v="Noida"/>
    <s v="Retail Store"/>
    <x v="2"/>
    <s v="Product-3"/>
    <n v="1.05"/>
    <n v="510.4"/>
    <n v="469.82"/>
    <n v="0"/>
    <n v="454.47"/>
    <n v="416.96"/>
    <n v="37.510000000000048"/>
    <s v="Credit Card"/>
    <s v="Pooja"/>
    <s v="Low"/>
  </r>
  <r>
    <s v="ORD00238"/>
    <d v="2024-04-14T00:00:00"/>
    <x v="6"/>
    <s v="2024-04-15"/>
    <s v="CUST2178"/>
    <x v="1"/>
    <x v="1"/>
    <s v="Maharashtra"/>
    <s v="Delhi"/>
    <s v="B2B"/>
    <x v="1"/>
    <s v="Product-48"/>
    <n v="3.13"/>
    <n v="1507.57"/>
    <n v="5388.14"/>
    <n v="0"/>
    <n v="6115.31"/>
    <n v="3371.18"/>
    <n v="2744.1300000000006"/>
    <s v="Credit Card"/>
    <s v="Pooja"/>
    <s v="Low"/>
  </r>
  <r>
    <s v="ORD00156"/>
    <d v="2024-08-22T00:00:00"/>
    <x v="9"/>
    <s v="2024-08-25"/>
    <s v="CUST7299"/>
    <x v="1"/>
    <x v="3"/>
    <s v="Delhi"/>
    <s v="Chennai"/>
    <s v="Retail Store"/>
    <x v="2"/>
    <s v="Product-20"/>
    <n v="11.09"/>
    <n v="1508.92"/>
    <n v="17623.57"/>
    <n v="0.1"/>
    <n v="16092.51"/>
    <n v="11422.15"/>
    <n v="4670.3600000000006"/>
    <s v="Credit Card"/>
    <s v="Karan"/>
    <s v="Medium"/>
  </r>
  <r>
    <s v="ORD00194"/>
    <d v="2024-07-06T00:00:00"/>
    <x v="5"/>
    <s v="2024-07-12"/>
    <s v="CUST3010"/>
    <x v="2"/>
    <x v="3"/>
    <s v="Uttar Pradesh"/>
    <s v="Noida"/>
    <s v="Retail Store"/>
    <x v="1"/>
    <s v="Product-32"/>
    <n v="4.2"/>
    <n v="2899.33"/>
    <n v="14818.49"/>
    <n v="0"/>
    <n v="16857.2"/>
    <n v="13704.53"/>
    <n v="3152.67"/>
    <s v="UPI"/>
    <s v="Karan"/>
    <s v="Medium"/>
  </r>
  <r>
    <s v="ORD00021"/>
    <d v="2024-05-07T00:00:00"/>
    <x v="7"/>
    <s v="2024-05-09"/>
    <s v="CUST1456"/>
    <x v="2"/>
    <x v="1"/>
    <s v="Karnataka"/>
    <s v="Noida"/>
    <s v="B2B"/>
    <x v="1"/>
    <s v="Product-33"/>
    <n v="4.78"/>
    <n v="560.16999999999996"/>
    <n v="2601.0700000000002"/>
    <n v="0"/>
    <n v="3029.82"/>
    <n v="1801.12"/>
    <n v="1228.7000000000003"/>
    <s v="Credit Card"/>
    <s v="Rohit"/>
    <s v="Medium"/>
  </r>
  <r>
    <s v="ORD00187"/>
    <d v="2024-08-12T00:00:00"/>
    <x v="9"/>
    <s v="2024-08-13"/>
    <s v="CUST3694"/>
    <x v="0"/>
    <x v="3"/>
    <s v="Delhi"/>
    <s v="Chennai"/>
    <s v="B2B"/>
    <x v="1"/>
    <s v="Product-23"/>
    <n v="11.45"/>
    <n v="3670.48"/>
    <n v="46888.12"/>
    <n v="0.05"/>
    <n v="36907.1"/>
    <n v="31280.05"/>
    <n v="5627.0499999999993"/>
    <s v="Credit Card"/>
    <s v="Pooja"/>
    <s v="Low"/>
  </r>
  <r>
    <s v="ORD00009"/>
    <d v="2024-03-18T00:00:00"/>
    <x v="8"/>
    <s v="2024-03-20"/>
    <s v="CUST3987"/>
    <x v="0"/>
    <x v="3"/>
    <s v="Delhi"/>
    <s v="Mumbai"/>
    <s v="Retail Store"/>
    <x v="1"/>
    <s v="Product-24"/>
    <n v="11"/>
    <n v="1123.3399999999999"/>
    <n v="12356.74"/>
    <n v="0.15"/>
    <n v="10503.23"/>
    <n v="8484.23"/>
    <n v="2019"/>
    <s v="Debit Card"/>
    <s v="Neha"/>
    <s v="High"/>
  </r>
  <r>
    <s v="ORD00013"/>
    <d v="2024-03-23T00:00:00"/>
    <x v="8"/>
    <s v="2024-03-28"/>
    <s v="CUST9899"/>
    <x v="2"/>
    <x v="3"/>
    <s v="Delhi"/>
    <s v="Bengaluru"/>
    <s v="B2B"/>
    <x v="2"/>
    <s v="Product-11"/>
    <n v="1"/>
    <n v="1036.17"/>
    <n v="1036.17"/>
    <n v="0.1"/>
    <n v="932.55"/>
    <n v="593.71"/>
    <n v="338.83999999999992"/>
    <s v="Debit Card"/>
    <s v="Neha"/>
    <s v="High"/>
  </r>
  <r>
    <s v="ORD00022"/>
    <d v="2024-09-17T00:00:00"/>
    <x v="3"/>
    <s v="2024-09-22"/>
    <s v="CUST5253"/>
    <x v="1"/>
    <x v="2"/>
    <s v="Tamil Nadu"/>
    <s v="Mumbai"/>
    <s v="Retail Store"/>
    <x v="0"/>
    <s v="Product-26"/>
    <n v="8"/>
    <n v="1974.03"/>
    <n v="15792.24"/>
    <n v="0.05"/>
    <n v="15002.63"/>
    <n v="11624.1"/>
    <n v="3378.5299999999988"/>
    <s v="Net Banking"/>
    <s v="Rohit"/>
    <s v="Low"/>
  </r>
  <r>
    <s v="ORD00023"/>
    <d v="2024-05-03T00:00:00"/>
    <x v="7"/>
    <s v="2024-05-07"/>
    <s v="CUST3530"/>
    <x v="1"/>
    <x v="3"/>
    <s v="Maharashtra"/>
    <s v="Bengaluru"/>
    <s v="Online"/>
    <x v="2"/>
    <s v="Product-15"/>
    <n v="2"/>
    <n v="1059.3399999999999"/>
    <n v="2118.6799999999998"/>
    <n v="0.1"/>
    <n v="1906.81"/>
    <n v="1517.79"/>
    <n v="389.02"/>
    <s v="UPI"/>
    <s v="Pooja"/>
    <s v="Medium"/>
  </r>
  <r>
    <s v="ORD00029"/>
    <d v="2024-09-13T00:00:00"/>
    <x v="3"/>
    <s v="2024-09-19"/>
    <s v="CUST1605"/>
    <x v="2"/>
    <x v="0"/>
    <s v="Uttar Pradesh"/>
    <s v="Noida"/>
    <s v="Online"/>
    <x v="1"/>
    <s v="Product-31"/>
    <n v="3"/>
    <n v="1238.6199999999999"/>
    <n v="3715.86"/>
    <n v="0"/>
    <n v="3715.86"/>
    <n v="3153.37"/>
    <n v="562.49000000000024"/>
    <s v="Credit Card"/>
    <s v="Pooja"/>
    <s v="Low"/>
  </r>
  <r>
    <s v="ORD00033"/>
    <d v="2024-07-14T00:00:00"/>
    <x v="5"/>
    <s v="2024-07-15"/>
    <s v="CUST1081"/>
    <x v="2"/>
    <x v="3"/>
    <s v="Delhi"/>
    <s v="Mumbai"/>
    <s v="Retail Store"/>
    <x v="1"/>
    <s v="Product-3"/>
    <n v="8"/>
    <n v="1264.68"/>
    <n v="10117.44"/>
    <n v="0.05"/>
    <n v="9611.57"/>
    <n v="6363.29"/>
    <n v="3248.2799999999997"/>
    <s v="Net Banking"/>
    <s v="Amit"/>
    <s v="Medium"/>
  </r>
  <r>
    <s v="ORD00035"/>
    <d v="2024-09-19T00:00:00"/>
    <x v="3"/>
    <s v="2024-09-25"/>
    <s v="CUST9263"/>
    <x v="1"/>
    <x v="0"/>
    <s v="Uttar Pradesh"/>
    <s v="Mumbai"/>
    <s v="Online"/>
    <x v="0"/>
    <s v="Product-3"/>
    <n v="7"/>
    <n v="2674.94"/>
    <n v="18724.580000000002"/>
    <n v="0.05"/>
    <n v="17788.349999999999"/>
    <n v="14719.36"/>
    <n v="3068.989999999998"/>
    <s v="Credit Card"/>
    <s v="Rohit"/>
    <s v="Low"/>
  </r>
  <r>
    <s v="ORD00042"/>
    <d v="2024-06-10T00:00:00"/>
    <x v="0"/>
    <s v="2024-06-11"/>
    <s v="CUST2966"/>
    <x v="2"/>
    <x v="0"/>
    <s v="Karnataka"/>
    <s v="Bengaluru"/>
    <s v="Retail Store"/>
    <x v="0"/>
    <s v="Product-26"/>
    <n v="6"/>
    <n v="405.4"/>
    <n v="2432.4"/>
    <n v="0.1"/>
    <n v="2189.16"/>
    <n v="1772.73"/>
    <n v="416.42999999999984"/>
    <s v="Net Banking"/>
    <s v="Karan"/>
    <s v="Low"/>
  </r>
  <r>
    <s v="ORD00045"/>
    <d v="2024-03-06T00:00:00"/>
    <x v="8"/>
    <s v="2024-03-08"/>
    <s v="CUST5262"/>
    <x v="0"/>
    <x v="2"/>
    <s v="Karnataka"/>
    <s v="Chennai"/>
    <s v="B2B"/>
    <x v="1"/>
    <s v="Product-26"/>
    <n v="8"/>
    <n v="1686.09"/>
    <n v="13488.72"/>
    <n v="0.1"/>
    <n v="12139.85"/>
    <n v="8187.64"/>
    <n v="3952.21"/>
    <s v="UPI"/>
    <s v="Neha"/>
    <s v="High"/>
  </r>
  <r>
    <s v="ORD00194"/>
    <d v="2024-07-06T00:00:00"/>
    <x v="5"/>
    <s v="2024-07-12"/>
    <s v="CUST3010"/>
    <x v="2"/>
    <x v="3"/>
    <s v="Uttar Pradesh"/>
    <s v="Noida"/>
    <s v="Retail Store"/>
    <x v="1"/>
    <s v="Product-32"/>
    <n v="4.34"/>
    <n v="2686.71"/>
    <n v="14256.07"/>
    <n v="0"/>
    <n v="17720.8"/>
    <n v="13902.64"/>
    <n v="3818.16"/>
    <s v="UPI"/>
    <s v="Karan"/>
    <s v="Medium"/>
  </r>
  <r>
    <s v="ORD00237"/>
    <d v="2024-09-29T00:00:00"/>
    <x v="3"/>
    <s v="2024-09-30"/>
    <s v="CUST4599"/>
    <x v="0"/>
    <x v="3"/>
    <s v="Maharashtra"/>
    <s v="Mumbai"/>
    <s v="B2B"/>
    <x v="1"/>
    <s v="Product-30"/>
    <n v="7.12"/>
    <n v="3097.02"/>
    <n v="19741.29"/>
    <n v="0.12"/>
    <n v="24229.79"/>
    <n v="10535.55"/>
    <n v="13694.240000000002"/>
    <s v="Net Banking"/>
    <s v="Pooja"/>
    <s v="Low"/>
  </r>
  <r>
    <s v="ORD00129"/>
    <d v="2024-06-10T00:00:00"/>
    <x v="0"/>
    <s v="2024-06-15"/>
    <s v="CUST4352"/>
    <x v="1"/>
    <x v="1"/>
    <s v="Uttar Pradesh"/>
    <s v="Noida"/>
    <s v="Online"/>
    <x v="2"/>
    <s v="Product-50"/>
    <n v="1"/>
    <n v="1469.26"/>
    <n v="1469.26"/>
    <n v="0"/>
    <n v="1469.26"/>
    <n v="916.11"/>
    <n v="553.15"/>
    <s v="Debit Card"/>
    <s v="Pooja"/>
    <s v="Low"/>
  </r>
  <r>
    <s v="ORD00219"/>
    <d v="2024-09-11T00:00:00"/>
    <x v="3"/>
    <s v="2024-09-12"/>
    <s v="CUST5472"/>
    <x v="1"/>
    <x v="2"/>
    <s v="Delhi"/>
    <s v="Bengaluru"/>
    <s v="Retail Store"/>
    <x v="0"/>
    <s v="Product-3"/>
    <n v="6.2"/>
    <n v="3118.17"/>
    <n v="18424.79"/>
    <n v="0.05"/>
    <n v="19088.36"/>
    <n v="16621.59"/>
    <n v="2466.7700000000004"/>
    <s v="Credit Card"/>
    <s v="Karan"/>
    <s v="Low"/>
  </r>
  <r>
    <s v="ORD00051"/>
    <d v="2024-05-08T00:00:00"/>
    <x v="7"/>
    <s v="2024-05-13"/>
    <s v="CUST5920"/>
    <x v="1"/>
    <x v="2"/>
    <s v="Tamil Nadu"/>
    <s v="Bengaluru"/>
    <s v="Online"/>
    <x v="1"/>
    <s v="Product-1"/>
    <n v="10.88"/>
    <n v="1683.29"/>
    <n v="19291.96"/>
    <n v="0"/>
    <n v="16416"/>
    <n v="11910.78"/>
    <n v="4505.2199999999993"/>
    <s v="UPI"/>
    <s v="Karan"/>
    <s v="Medium"/>
  </r>
  <r>
    <s v="ORD00086"/>
    <d v="2024-09-01T00:00:00"/>
    <x v="3"/>
    <s v="2024-09-07"/>
    <s v="CUST8622"/>
    <x v="2"/>
    <x v="1"/>
    <s v="Maharashtra"/>
    <s v="Mumbai"/>
    <s v="Online"/>
    <x v="2"/>
    <s v="Product-15"/>
    <n v="9.3000000000000007"/>
    <n v="513.45000000000005"/>
    <n v="3477.25"/>
    <n v="0.15"/>
    <n v="3441.37"/>
    <n v="2610.88"/>
    <n v="830.48999999999978"/>
    <s v="UPI"/>
    <s v="Amit"/>
    <s v="Medium"/>
  </r>
  <r>
    <s v="ORD00260"/>
    <d v="2024-08-01T00:00:00"/>
    <x v="9"/>
    <s v="2024-08-02"/>
    <s v="CUST5846"/>
    <x v="0"/>
    <x v="3"/>
    <s v="Tamil Nadu"/>
    <s v="Noida"/>
    <s v="B2B"/>
    <x v="0"/>
    <s v="Product-42"/>
    <n v="9.57"/>
    <n v="2419.4"/>
    <n v="21234.7"/>
    <n v="0.14000000000000001"/>
    <n v="17286.07"/>
    <n v="11331.33"/>
    <n v="5954.74"/>
    <s v="Net Banking"/>
    <s v="Pooja"/>
    <s v="Medium"/>
  </r>
  <r>
    <s v="ORD00133"/>
    <d v="2024-03-15T00:00:00"/>
    <x v="8"/>
    <s v="2024-03-18"/>
    <s v="CUST8229"/>
    <x v="1"/>
    <x v="0"/>
    <s v="Tamil Nadu"/>
    <s v="Bengaluru"/>
    <s v="Retail Store"/>
    <x v="2"/>
    <s v="Product-25"/>
    <n v="1.01"/>
    <n v="3266.42"/>
    <n v="3288.62"/>
    <n v="0.09"/>
    <n v="2980.94"/>
    <n v="2301.6799999999998"/>
    <n v="679.26000000000022"/>
    <s v="UPI"/>
    <s v="Rohit"/>
    <s v="Medium"/>
  </r>
  <r>
    <s v="ORD00193"/>
    <d v="2024-07-09T00:00:00"/>
    <x v="5"/>
    <s v="2024-07-10"/>
    <s v="CUST2974"/>
    <x v="1"/>
    <x v="2"/>
    <s v="Tamil Nadu"/>
    <s v="Delhi"/>
    <s v="B2B"/>
    <x v="0"/>
    <s v="Product-37"/>
    <n v="0.99"/>
    <n v="2398.23"/>
    <n v="2344.42"/>
    <n v="0.05"/>
    <n v="2417.9"/>
    <n v="1736.54"/>
    <n v="681.36000000000013"/>
    <s v="UPI"/>
    <s v="Rohit"/>
    <s v="Low"/>
  </r>
  <r>
    <s v="ORD00079"/>
    <d v="2024-05-15T00:00:00"/>
    <x v="7"/>
    <s v="2024-05-16"/>
    <s v="CUST8422"/>
    <x v="1"/>
    <x v="0"/>
    <s v="Karnataka"/>
    <s v="Noida"/>
    <s v="B2B"/>
    <x v="2"/>
    <s v="Product-48"/>
    <n v="9"/>
    <n v="550.57000000000005"/>
    <n v="4955.13"/>
    <n v="0.1"/>
    <n v="4459.62"/>
    <n v="3752.94"/>
    <n v="706.67999999999984"/>
    <s v="Debit Card"/>
    <s v="Rohit"/>
    <s v="Medium"/>
  </r>
  <r>
    <s v="ORD00064"/>
    <d v="2024-05-13T00:00:00"/>
    <x v="7"/>
    <s v="2024-05-15"/>
    <s v="CUST5609"/>
    <x v="1"/>
    <x v="2"/>
    <s v="Karnataka"/>
    <s v="Delhi"/>
    <s v="Retail Store"/>
    <x v="2"/>
    <s v="Product-16"/>
    <n v="8"/>
    <n v="1167.03"/>
    <n v="9336.24"/>
    <n v="0.05"/>
    <n v="8869.43"/>
    <n v="5843.85"/>
    <n v="3025.58"/>
    <s v="Credit Card"/>
    <s v="Amit"/>
    <s v="High"/>
  </r>
  <r>
    <s v="ORD00098"/>
    <d v="2024-05-01T00:00:00"/>
    <x v="7"/>
    <s v="2024-05-06"/>
    <s v="CUST5056"/>
    <x v="1"/>
    <x v="3"/>
    <s v="Uttar Pradesh"/>
    <s v="Noida"/>
    <s v="Retail Store"/>
    <x v="0"/>
    <s v="Product-16"/>
    <n v="3.17"/>
    <n v="1325.6"/>
    <n v="4457.9399999999996"/>
    <n v="0.05"/>
    <n v="5189.8100000000004"/>
    <n v="3603.59"/>
    <n v="1586.2200000000003"/>
    <s v="Debit Card"/>
    <s v="Neha"/>
    <s v="Medium"/>
  </r>
  <r>
    <s v="ORD00258"/>
    <d v="2024-07-18T00:00:00"/>
    <x v="5"/>
    <s v="2024-07-21"/>
    <s v="CUST6759"/>
    <x v="1"/>
    <x v="1"/>
    <s v="Karnataka"/>
    <s v="Chennai"/>
    <s v="Retail Store"/>
    <x v="1"/>
    <s v="Product-39"/>
    <n v="6.08"/>
    <n v="3426.36"/>
    <n v="20079.27"/>
    <n v="0.1"/>
    <n v="17226.439999999999"/>
    <n v="12163.05"/>
    <n v="5063.3899999999994"/>
    <s v="Credit Card"/>
    <s v="Neha"/>
    <s v="Medium"/>
  </r>
  <r>
    <s v="ORD00268"/>
    <d v="2024-03-25T00:00:00"/>
    <x v="8"/>
    <s v="2024-03-31"/>
    <s v="CUST7463"/>
    <x v="1"/>
    <x v="3"/>
    <s v="Tamil Nadu"/>
    <s v="Chennai"/>
    <s v="Retail Store"/>
    <x v="2"/>
    <s v="Product-23"/>
    <n v="3.4"/>
    <n v="3462.45"/>
    <n v="9004.01"/>
    <n v="0"/>
    <n v="11168.03"/>
    <n v="8464.26"/>
    <n v="2703.7700000000004"/>
    <s v="Credit Card"/>
    <s v="Neha"/>
    <s v="High"/>
  </r>
  <r>
    <s v="ORD00036"/>
    <d v="2024-07-11T00:00:00"/>
    <x v="5"/>
    <s v="2024-07-18"/>
    <s v="CUST5006"/>
    <x v="0"/>
    <x v="3"/>
    <s v="Delhi"/>
    <s v="Chennai"/>
    <s v="Online"/>
    <x v="1"/>
    <s v="Product-33"/>
    <n v="8.44"/>
    <n v="1971.38"/>
    <n v="16553.759999999998"/>
    <n v="0"/>
    <n v="17773.3"/>
    <n v="12397.56"/>
    <n v="5375.74"/>
    <s v="UPI"/>
    <s v="Karan"/>
    <s v="Low"/>
  </r>
  <r>
    <s v="ORD00141"/>
    <d v="2024-09-23T00:00:00"/>
    <x v="3"/>
    <s v="2024-09-27"/>
    <s v="CUST9077"/>
    <x v="2"/>
    <x v="0"/>
    <s v="Tamil Nadu"/>
    <s v="Chennai"/>
    <s v="Online"/>
    <x v="1"/>
    <s v="Product-18"/>
    <n v="13.01"/>
    <n v="2972.31"/>
    <n v="35456.86"/>
    <n v="0.1"/>
    <n v="36759.72"/>
    <n v="25110.94"/>
    <n v="11648.780000000002"/>
    <s v="Credit Card"/>
    <s v="Neha"/>
    <s v="High"/>
  </r>
  <r>
    <s v="ORD00232"/>
    <d v="2024-09-08T00:00:00"/>
    <x v="3"/>
    <s v="2024-09-10"/>
    <s v="CUST4280"/>
    <x v="0"/>
    <x v="0"/>
    <s v="Karnataka"/>
    <s v="Noida"/>
    <s v="Retail Store"/>
    <x v="2"/>
    <s v="Product-50"/>
    <n v="9"/>
    <n v="2733.68"/>
    <n v="24603.119999999999"/>
    <n v="0"/>
    <n v="24603.119999999999"/>
    <n v="18885.240000000002"/>
    <n v="5717.8799999999974"/>
    <s v="Net Banking"/>
    <s v="Amit"/>
    <s v="Low"/>
  </r>
  <r>
    <s v="ORD00125"/>
    <d v="2024-08-19T00:00:00"/>
    <x v="9"/>
    <s v="2024-08-22"/>
    <s v="CUST3576"/>
    <x v="1"/>
    <x v="0"/>
    <s v="Karnataka"/>
    <s v="Mumbai"/>
    <s v="B2B"/>
    <x v="0"/>
    <s v="Product-18"/>
    <n v="11.14"/>
    <n v="395.13"/>
    <n v="4716.57"/>
    <n v="0.11"/>
    <n v="4752.43"/>
    <n v="3237.85"/>
    <n v="1514.5800000000004"/>
    <s v="Net Banking"/>
    <s v="Rohit"/>
    <s v="High"/>
  </r>
  <r>
    <s v="ORD00071"/>
    <d v="2024-03-15T00:00:00"/>
    <x v="8"/>
    <s v="2024-03-18"/>
    <s v="CUST2782"/>
    <x v="0"/>
    <x v="1"/>
    <s v="Maharashtra"/>
    <s v="Bengaluru"/>
    <s v="Online"/>
    <x v="0"/>
    <s v="Product-31"/>
    <n v="5"/>
    <n v="901.63"/>
    <n v="4508.1499999999996"/>
    <n v="0.05"/>
    <n v="4282.74"/>
    <n v="3560.56"/>
    <n v="722.17999999999984"/>
    <s v="Debit Card"/>
    <s v="Amit"/>
    <s v="High"/>
  </r>
  <r>
    <s v="ORD00112"/>
    <d v="2024-03-25T00:00:00"/>
    <x v="8"/>
    <s v="2024-03-30"/>
    <s v="CUST6254"/>
    <x v="0"/>
    <x v="1"/>
    <s v="Karnataka"/>
    <s v="Chennai"/>
    <s v="Retail Store"/>
    <x v="2"/>
    <s v="Product-27"/>
    <n v="9.35"/>
    <n v="3264.46"/>
    <n v="31782.51"/>
    <n v="0"/>
    <n v="29407.33"/>
    <n v="18610.2"/>
    <n v="10797.130000000001"/>
    <s v="UPI"/>
    <s v="Neha"/>
    <s v="High"/>
  </r>
  <r>
    <s v="ORD00042"/>
    <d v="2024-06-10T00:00:00"/>
    <x v="0"/>
    <s v="2024-06-11"/>
    <s v="CUST2966"/>
    <x v="2"/>
    <x v="0"/>
    <s v="Karnataka"/>
    <s v="Bengaluru"/>
    <s v="Retail Store"/>
    <x v="0"/>
    <s v="Product-26"/>
    <n v="6.38"/>
    <n v="352.97"/>
    <n v="2189.7199999999998"/>
    <n v="0.1"/>
    <n v="2319.23"/>
    <n v="1676.89"/>
    <n v="642.33999999999992"/>
    <s v="Net Banking"/>
    <s v="Karan"/>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14457-517D-41AD-959D-D609839D0F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G15" firstHeaderRow="1" firstDataRow="1" firstDataCol="0"/>
  <pivotFields count="22">
    <pivotField showAll="0"/>
    <pivotField numFmtId="14" showAll="0"/>
    <pivotField showAll="0"/>
    <pivotField showAll="0"/>
    <pivotField showAll="0"/>
    <pivotField showAll="0">
      <items count="4">
        <item x="2"/>
        <item x="0"/>
        <item x="1"/>
        <item t="default"/>
      </items>
    </pivotField>
    <pivotField showAll="0">
      <items count="5">
        <item x="3"/>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Profit"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FDEB40-D53A-43EC-8F74-A63AC748BC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ustomer segment">
  <location ref="A3:B7" firstHeaderRow="1" firstDataRow="1" firstDataCol="1"/>
  <pivotFields count="22">
    <pivotField showAll="0"/>
    <pivotField showAll="0"/>
    <pivotField showAll="0"/>
    <pivotField showAll="0"/>
    <pivotField showAll="0"/>
    <pivotField axis="axisRow" showAll="0">
      <items count="4">
        <item x="2"/>
        <item x="0"/>
        <item x="1"/>
        <item t="default"/>
      </items>
    </pivotField>
    <pivotField showAll="0">
      <items count="5">
        <item x="3"/>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Net Sales" fld="16" baseField="5" baseItem="0" numFmtId="164"/>
  </dataFields>
  <chartFormats count="4">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5" count="1" selected="0">
            <x v="0"/>
          </reference>
        </references>
      </pivotArea>
    </chartFormat>
    <chartFormat chart="14" format="10">
      <pivotArea type="data" outline="0" fieldPosition="0">
        <references count="2">
          <reference field="4294967294" count="1" selected="0">
            <x v="0"/>
          </reference>
          <reference field="5" count="1" selected="0">
            <x v="1"/>
          </reference>
        </references>
      </pivotArea>
    </chartFormat>
    <chartFormat chart="1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E4D6F0-A892-4DBE-9141-E1910ACE6D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K3:L15" firstHeaderRow="1" firstDataRow="1" firstDataCol="1"/>
  <pivotFields count="22">
    <pivotField showAll="0"/>
    <pivotField showAll="0"/>
    <pivotField axis="axisRow" showAll="0">
      <items count="12">
        <item x="10"/>
        <item x="1"/>
        <item x="8"/>
        <item x="6"/>
        <item x="7"/>
        <item x="0"/>
        <item x="5"/>
        <item x="9"/>
        <item x="3"/>
        <item x="2"/>
        <item x="4"/>
        <item t="default"/>
      </items>
    </pivotField>
    <pivotField showAll="0"/>
    <pivotField showAll="0"/>
    <pivotField showAll="0">
      <items count="4">
        <item x="2"/>
        <item x="0"/>
        <item x="1"/>
        <item t="default"/>
      </items>
    </pivotField>
    <pivotField showAll="0">
      <items count="5">
        <item x="3"/>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Net Sales2" fld="16" showDataAs="percentDiff" baseField="2" baseItem="1048828" numFmtId="1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2" count="1" selected="0">
            <x v="2"/>
          </reference>
        </references>
      </pivotArea>
    </chartFormat>
    <chartFormat chart="6" format="17">
      <pivotArea type="data" outline="0" fieldPosition="0">
        <references count="2">
          <reference field="4294967294" count="1" selected="0">
            <x v="0"/>
          </reference>
          <reference field="2" count="1" selected="0">
            <x v="3"/>
          </reference>
        </references>
      </pivotArea>
    </chartFormat>
    <chartFormat chart="6" format="18">
      <pivotArea type="data" outline="0" fieldPosition="0">
        <references count="2">
          <reference field="4294967294" count="1" selected="0">
            <x v="0"/>
          </reference>
          <reference field="2" count="1" selected="0">
            <x v="5"/>
          </reference>
        </references>
      </pivotArea>
    </chartFormat>
    <chartFormat chart="6" format="19">
      <pivotArea type="data" outline="0" fieldPosition="0">
        <references count="2">
          <reference field="4294967294" count="1" selected="0">
            <x v="0"/>
          </reference>
          <reference field="2" count="1" selected="0">
            <x v="7"/>
          </reference>
        </references>
      </pivotArea>
    </chartFormat>
    <chartFormat chart="6" format="20">
      <pivotArea type="data" outline="0" fieldPosition="0">
        <references count="2">
          <reference field="4294967294" count="1" selected="0">
            <x v="0"/>
          </reference>
          <reference field="2" count="1" selected="0">
            <x v="8"/>
          </reference>
        </references>
      </pivotArea>
    </chartFormat>
    <chartFormat chart="6" format="2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D71B71-F8E1-45C2-91EF-D02A7723574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C3:D7" firstHeaderRow="1" firstDataRow="1" firstDataCol="1"/>
  <pivotFields count="22">
    <pivotField showAll="0"/>
    <pivotField numFmtId="14" showAll="0"/>
    <pivotField showAll="0"/>
    <pivotField showAll="0"/>
    <pivotField showAll="0"/>
    <pivotField axis="axisRow" showAll="0">
      <items count="4">
        <item x="2"/>
        <item x="0"/>
        <item x="1"/>
        <item t="default"/>
      </items>
    </pivotField>
    <pivotField showAll="0">
      <items count="5">
        <item x="3"/>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Net Sales" fld="16"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9C5C18-4078-40C4-90F7-8B7294F9DCC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18" firstHeaderRow="0" firstDataRow="1" firstDataCol="0"/>
  <pivotFields count="22">
    <pivotField dataField="1" showAll="0"/>
    <pivotField numFmtId="14" showAll="0"/>
    <pivotField showAll="0"/>
    <pivotField showAll="0"/>
    <pivotField showAll="0"/>
    <pivotField showAll="0">
      <items count="4">
        <item x="2"/>
        <item x="0"/>
        <item x="1"/>
        <item t="default"/>
      </items>
    </pivotField>
    <pivotField showAll="0">
      <items count="5">
        <item x="3"/>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Sum of Net Sales" fld="16" baseField="0" baseItem="1" numFmtId="164"/>
    <dataField name="Count of Order ID" fld="0" subtotal="count"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F59835-AF02-475A-B30F-95536209DC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H3:I8" firstHeaderRow="1" firstDataRow="1" firstDataCol="1"/>
  <pivotFields count="22">
    <pivotField showAll="0"/>
    <pivotField showAll="0"/>
    <pivotField showAll="0"/>
    <pivotField showAll="0"/>
    <pivotField showAll="0"/>
    <pivotField showAll="0">
      <items count="4">
        <item x="2"/>
        <item x="0"/>
        <item x="1"/>
        <item t="default"/>
      </items>
    </pivotField>
    <pivotField axis="axisRow" showAll="0">
      <items count="5">
        <item x="3"/>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Net Sales" fld="16" baseField="6"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0B863E-D0A2-4FF6-8FCB-83B5145D5A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H11" firstHeaderRow="0" firstDataRow="1" firstDataCol="0"/>
  <pivotFields count="22">
    <pivotField showAll="0"/>
    <pivotField numFmtId="14" showAll="0"/>
    <pivotField showAll="0"/>
    <pivotField showAll="0"/>
    <pivotField showAll="0"/>
    <pivotField showAll="0">
      <items count="4">
        <item x="2"/>
        <item x="0"/>
        <item x="1"/>
        <item t="default"/>
      </items>
    </pivotField>
    <pivotField showAll="0">
      <items count="5">
        <item x="3"/>
        <item x="0"/>
        <item x="2"/>
        <item x="1"/>
        <item t="default"/>
      </items>
    </pivotField>
    <pivotField showAll="0"/>
    <pivotField showAll="0"/>
    <pivotField showAll="0"/>
    <pivotField showAll="0">
      <items count="4">
        <item x="0"/>
        <item x="2"/>
        <item x="1"/>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Sum of Net Sales" fld="16" baseField="0" baseItem="1" numFmtId="164"/>
    <dataField name="Sum of Quantity Sold" fld="12"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373F0A-6848-4C1E-BF85-7ACD7BF4F8B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I15" firstHeaderRow="0" firstDataRow="1" firstDataCol="0"/>
  <pivotFields count="22">
    <pivotField showAll="0"/>
    <pivotField numFmtId="14" showAll="0"/>
    <pivotField showAll="0"/>
    <pivotField showAll="0"/>
    <pivotField showAll="0"/>
    <pivotField showAll="0">
      <items count="4">
        <item x="2"/>
        <item x="0"/>
        <item x="1"/>
        <item t="default"/>
      </items>
    </pivotField>
    <pivotField showAll="0">
      <items count="5">
        <item x="3"/>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s>
  <rowItems count="1">
    <i/>
  </rowItems>
  <colFields count="1">
    <field x="-2"/>
  </colFields>
  <colItems count="2">
    <i>
      <x/>
    </i>
    <i i="1">
      <x v="1"/>
    </i>
  </colItems>
  <dataFields count="2">
    <dataField name="Sum of Net Sales" fld="16" baseField="0" baseItem="1" numFmtId="164"/>
    <dataField name="Sum of Profit" fld="18"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938688-7228-47B5-9F3A-D74E63A6FC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E3:F15" firstHeaderRow="1" firstDataRow="1" firstDataCol="1"/>
  <pivotFields count="22">
    <pivotField showAll="0"/>
    <pivotField showAll="0"/>
    <pivotField axis="axisRow" showAll="0">
      <items count="12">
        <item x="10"/>
        <item x="1"/>
        <item x="8"/>
        <item x="6"/>
        <item x="7"/>
        <item x="0"/>
        <item x="5"/>
        <item x="9"/>
        <item x="3"/>
        <item x="2"/>
        <item x="4"/>
        <item t="default"/>
      </items>
    </pivotField>
    <pivotField showAll="0"/>
    <pivotField showAll="0"/>
    <pivotField showAll="0">
      <items count="4">
        <item x="2"/>
        <item x="0"/>
        <item x="1"/>
        <item t="default"/>
      </items>
    </pivotField>
    <pivotField showAll="0">
      <items count="5">
        <item x="3"/>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Net Sales" fld="16" baseField="2" baseItem="0" numFmtId="164"/>
  </dataFields>
  <chartFormats count="3">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2" format="4">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349386-BCE5-4927-A14B-DDCF89FC931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Product Category">
  <location ref="A9:B13" firstHeaderRow="1" firstDataRow="1" firstDataCol="1"/>
  <pivotFields count="22">
    <pivotField showAll="0"/>
    <pivotField showAll="0"/>
    <pivotField showAll="0"/>
    <pivotField showAll="0"/>
    <pivotField showAll="0"/>
    <pivotField showAll="0">
      <items count="4">
        <item x="2"/>
        <item x="0"/>
        <item x="1"/>
        <item t="default"/>
      </items>
    </pivotField>
    <pivotField showAll="0">
      <items count="5">
        <item x="3"/>
        <item x="0"/>
        <item x="2"/>
        <item x="1"/>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Net Sales" fld="16" baseField="10" baseItem="0" numFmtId="164"/>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67DA9B6A-AC5E-43FF-8705-34D64AF426D5}" sourceName="Product Category">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 tabId="5" name="PivotTable11"/>
  </pivotTables>
  <data>
    <tabular pivotCacheId="179662908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BD7460-22A5-4109-8933-CA03E88995CE}" sourceName="Region">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 tabId="5" name="PivotTable11"/>
  </pivotTables>
  <data>
    <tabular pivotCacheId="179662908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5DCAE14-0CC8-47C4-8502-8F0FED874CD8}" sourceName="Customer Segment">
  <pivotTables>
    <pivotTable tabId="5" name="PivotTable2"/>
    <pivotTable tabId="5" name="PivotTable3"/>
    <pivotTable tabId="5" name="PivotTable4"/>
    <pivotTable tabId="5" name="PivotTable5"/>
    <pivotTable tabId="5" name="PivotTable6"/>
    <pivotTable tabId="5" name="PivotTable7"/>
    <pivotTable tabId="5" name="PivotTable1"/>
    <pivotTable tabId="5" name="PivotTable8"/>
    <pivotTable tabId="5" name="PivotTable9"/>
    <pivotTable tabId="5" name="PivotTable11"/>
  </pivotTables>
  <data>
    <tabular pivotCacheId="179662908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AB8639BB-1064-4171-9A6E-072A35262836}" cache="Slicer_Product_Category1" caption="Product Category" rowHeight="234950"/>
  <slicer name="Region" xr10:uid="{B7E42719-18A0-4372-91E9-3C9656302579}" cache="Slicer_Region" caption="Region" rowHeight="234950"/>
  <slicer name="Customer Segment" xr10:uid="{C20A24CD-57CF-40DF-B985-07F90D3F4EE8}" cache="Slicer_Customer_Segment" caption="Customer 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22BFFF-B622-4B83-B145-F746D0E9B6DF}" name="Table1" displayName="Table1" ref="A1:V1165" totalsRowShown="0" headerRowDxfId="26" dataDxfId="24" headerRowBorderDxfId="25" tableBorderDxfId="23" totalsRowBorderDxfId="22">
  <autoFilter ref="A1:V1165" xr:uid="{9822BFFF-B622-4B83-B145-F746D0E9B6DF}"/>
  <tableColumns count="22">
    <tableColumn id="1" xr3:uid="{BA166623-44D1-4652-9249-5051623E2D1F}" name="Order ID" dataDxfId="21"/>
    <tableColumn id="2" xr3:uid="{9DE55A58-F856-4BFF-A663-3F7018A94294}" name="Order Date" dataDxfId="20"/>
    <tableColumn id="3" xr3:uid="{D0358F13-1D4A-44A7-A052-FFD8AC4D1D8E}" name="MONTH" dataDxfId="19">
      <calculatedColumnFormula>TEXT(B2,"MMMM")</calculatedColumnFormula>
    </tableColumn>
    <tableColumn id="4" xr3:uid="{8670BDE2-99ED-4EB9-B15D-B184325DEABF}" name="Ship Date" dataDxfId="18"/>
    <tableColumn id="5" xr3:uid="{422236D7-24CB-4EDA-AE17-E9E215917804}" name="Customer ID" dataDxfId="17"/>
    <tableColumn id="6" xr3:uid="{1776E4C1-9437-4578-8936-AEC528F29E06}" name="Customer Segment" dataDxfId="16"/>
    <tableColumn id="7" xr3:uid="{7F94C5B3-213B-4CAE-9D3F-C937D610C60B}" name="Region" dataDxfId="15"/>
    <tableColumn id="8" xr3:uid="{2E6BF520-8AEC-4FD1-9D8B-BF5BA3715759}" name="State" dataDxfId="14"/>
    <tableColumn id="9" xr3:uid="{B4BAE208-D2B7-447B-9901-A2BE5B80D0CA}" name="City" dataDxfId="13"/>
    <tableColumn id="10" xr3:uid="{BFB499E1-20E5-482F-BA28-AD3431009605}" name="Sales Channel" dataDxfId="12"/>
    <tableColumn id="11" xr3:uid="{0A5BB952-309A-45A6-8444-69A18D6BC6E3}" name="Product Category" dataDxfId="11"/>
    <tableColumn id="12" xr3:uid="{2DB3F66F-F4E7-4A80-A365-A8C9BD0EE0EF}" name="Product Name" dataDxfId="10"/>
    <tableColumn id="13" xr3:uid="{94F5FDDC-E7F6-4E98-8E97-DA7263422492}" name="Quantity Sold" dataDxfId="9"/>
    <tableColumn id="14" xr3:uid="{66EE3591-93D8-4F4A-A058-2F0CF3593DA6}" name="Unit Price" dataDxfId="8"/>
    <tableColumn id="15" xr3:uid="{4AF8B3B6-30A7-4916-9C5F-432F574FA07D}" name="Gross Sales" dataDxfId="7"/>
    <tableColumn id="16" xr3:uid="{05454D5E-3387-4848-BE88-8F7FB2AB9576}" name="Discount" dataDxfId="6"/>
    <tableColumn id="17" xr3:uid="{20E5F983-6424-4B48-A46C-60260652D1A7}" name="Net Sales" dataDxfId="5"/>
    <tableColumn id="18" xr3:uid="{FC176DA5-A02E-4F55-8AFB-056834609BB8}" name="Cost" dataDxfId="4"/>
    <tableColumn id="19" xr3:uid="{727AB39E-3C6C-44FC-AD9A-16FC2307C958}" name="Profit" dataDxfId="3">
      <calculatedColumnFormula>Q2-R2</calculatedColumnFormula>
    </tableColumn>
    <tableColumn id="20" xr3:uid="{BB6DE37B-DC5C-41C2-BA06-F2CC769877EF}" name="Payment Mode" dataDxfId="2"/>
    <tableColumn id="21" xr3:uid="{C8C1A153-8867-46F2-9705-CBBED8441AA9}" name="Salesperson" dataDxfId="1"/>
    <tableColumn id="22" xr3:uid="{935840A5-C583-43C1-AE1A-6779789E8846}" name="Order Priority"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65"/>
  <sheetViews>
    <sheetView topLeftCell="A2" zoomScale="74" workbookViewId="0">
      <selection activeCell="K2" sqref="K2"/>
    </sheetView>
  </sheetViews>
  <sheetFormatPr defaultRowHeight="14.4" x14ac:dyDescent="0.3"/>
  <cols>
    <col min="1" max="1" width="12.44140625" style="2" customWidth="1"/>
    <col min="2" max="3" width="16.44140625" style="2" customWidth="1"/>
    <col min="4" max="4" width="18.77734375" style="2" customWidth="1"/>
    <col min="5" max="5" width="16.44140625" style="2" customWidth="1"/>
    <col min="6" max="6" width="24.5546875" style="2" customWidth="1"/>
    <col min="7" max="7" width="10.5546875" style="2" customWidth="1"/>
    <col min="8" max="9" width="12.77734375" style="2" customWidth="1"/>
    <col min="10" max="10" width="19" style="2" customWidth="1"/>
    <col min="11" max="11" width="21.6640625" style="2" customWidth="1"/>
    <col min="12" max="12" width="18.5546875" style="2" customWidth="1"/>
    <col min="13" max="13" width="18.21875" style="2" customWidth="1"/>
    <col min="14" max="14" width="13.77734375" style="2" customWidth="1"/>
    <col min="15" max="15" width="28.6640625" style="2" customWidth="1"/>
    <col min="16" max="16" width="27" style="2" customWidth="1"/>
    <col min="17" max="17" width="13.21875" style="2" customWidth="1"/>
    <col min="18" max="18" width="14" style="2" customWidth="1"/>
    <col min="19" max="19" width="17.77734375" style="2" bestFit="1" customWidth="1"/>
    <col min="20" max="20" width="21" style="2" customWidth="1"/>
    <col min="21" max="21" width="22.33203125" style="2" bestFit="1" customWidth="1"/>
    <col min="22" max="22" width="31.109375" style="2" customWidth="1"/>
    <col min="23" max="16384" width="8.88671875" style="2"/>
  </cols>
  <sheetData>
    <row r="1" spans="1:22" ht="18" x14ac:dyDescent="0.3">
      <c r="A1" s="10" t="s">
        <v>0</v>
      </c>
      <c r="B1" s="11" t="s">
        <v>1</v>
      </c>
      <c r="C1" s="11" t="s">
        <v>885</v>
      </c>
      <c r="D1" s="11" t="s">
        <v>2</v>
      </c>
      <c r="E1" s="11" t="s">
        <v>3</v>
      </c>
      <c r="F1" s="11" t="s">
        <v>4</v>
      </c>
      <c r="G1" s="11" t="s">
        <v>5</v>
      </c>
      <c r="H1" s="11" t="s">
        <v>6</v>
      </c>
      <c r="I1" s="11" t="s">
        <v>7</v>
      </c>
      <c r="J1" s="11" t="s">
        <v>8</v>
      </c>
      <c r="K1" s="11" t="s">
        <v>9</v>
      </c>
      <c r="L1" s="11" t="s">
        <v>10</v>
      </c>
      <c r="M1" s="11" t="s">
        <v>11</v>
      </c>
      <c r="N1" s="11" t="s">
        <v>12</v>
      </c>
      <c r="O1" s="11" t="s">
        <v>13</v>
      </c>
      <c r="P1" s="11" t="s">
        <v>14</v>
      </c>
      <c r="Q1" s="11" t="s">
        <v>15</v>
      </c>
      <c r="R1" s="11" t="s">
        <v>16</v>
      </c>
      <c r="S1" s="11" t="s">
        <v>17</v>
      </c>
      <c r="T1" s="11" t="s">
        <v>18</v>
      </c>
      <c r="U1" s="11" t="s">
        <v>19</v>
      </c>
      <c r="V1" s="12" t="s">
        <v>20</v>
      </c>
    </row>
    <row r="2" spans="1:22" x14ac:dyDescent="0.3">
      <c r="A2" s="4" t="s">
        <v>21</v>
      </c>
      <c r="B2" s="3">
        <v>45457</v>
      </c>
      <c r="C2" s="1" t="str">
        <f t="shared" ref="C2:C65" si="0">TEXT(B2,"MMMM")</f>
        <v>June</v>
      </c>
      <c r="D2" s="1" t="s">
        <v>374</v>
      </c>
      <c r="E2" s="1" t="s">
        <v>506</v>
      </c>
      <c r="F2" s="1" t="s">
        <v>801</v>
      </c>
      <c r="G2" s="1" t="s">
        <v>804</v>
      </c>
      <c r="H2" s="1" t="s">
        <v>808</v>
      </c>
      <c r="I2" s="1" t="s">
        <v>813</v>
      </c>
      <c r="J2" s="1" t="s">
        <v>817</v>
      </c>
      <c r="K2" s="1" t="s">
        <v>820</v>
      </c>
      <c r="L2" s="1" t="s">
        <v>823</v>
      </c>
      <c r="M2" s="1">
        <v>7</v>
      </c>
      <c r="N2" s="1">
        <v>2417.9</v>
      </c>
      <c r="O2" s="1">
        <v>16925.3</v>
      </c>
      <c r="P2" s="1">
        <v>0</v>
      </c>
      <c r="Q2" s="1">
        <v>16925.3</v>
      </c>
      <c r="R2" s="1">
        <v>13630.26</v>
      </c>
      <c r="S2" s="1">
        <f t="shared" ref="S2:S65" si="1">Q2-R2</f>
        <v>3295.0399999999991</v>
      </c>
      <c r="T2" s="1" t="s">
        <v>873</v>
      </c>
      <c r="U2" s="1" t="s">
        <v>877</v>
      </c>
      <c r="V2" s="5" t="s">
        <v>882</v>
      </c>
    </row>
    <row r="3" spans="1:22" x14ac:dyDescent="0.3">
      <c r="A3" s="4" t="s">
        <v>22</v>
      </c>
      <c r="B3" s="3">
        <v>45338</v>
      </c>
      <c r="C3" s="1" t="str">
        <f t="shared" si="0"/>
        <v>February</v>
      </c>
      <c r="D3" s="1" t="s">
        <v>405</v>
      </c>
      <c r="E3" s="1" t="s">
        <v>507</v>
      </c>
      <c r="F3" s="1" t="s">
        <v>802</v>
      </c>
      <c r="G3" s="1" t="s">
        <v>805</v>
      </c>
      <c r="H3" s="1" t="s">
        <v>809</v>
      </c>
      <c r="I3" s="1" t="s">
        <v>813</v>
      </c>
      <c r="J3" s="1" t="s">
        <v>817</v>
      </c>
      <c r="K3" s="1" t="s">
        <v>821</v>
      </c>
      <c r="L3" s="1" t="s">
        <v>824</v>
      </c>
      <c r="M3" s="1">
        <v>7</v>
      </c>
      <c r="N3" s="1">
        <v>583.24</v>
      </c>
      <c r="O3" s="1">
        <v>4082.68</v>
      </c>
      <c r="P3" s="1">
        <v>0</v>
      </c>
      <c r="Q3" s="1">
        <v>4082.68</v>
      </c>
      <c r="R3" s="1">
        <v>3416.64</v>
      </c>
      <c r="S3" s="1">
        <f t="shared" si="1"/>
        <v>666.04</v>
      </c>
      <c r="T3" s="1" t="s">
        <v>874</v>
      </c>
      <c r="U3" s="1" t="s">
        <v>878</v>
      </c>
      <c r="V3" s="5" t="s">
        <v>882</v>
      </c>
    </row>
    <row r="4" spans="1:22" x14ac:dyDescent="0.3">
      <c r="A4" s="4" t="s">
        <v>23</v>
      </c>
      <c r="B4" s="3">
        <v>45568</v>
      </c>
      <c r="C4" s="1" t="str">
        <f t="shared" si="0"/>
        <v>October</v>
      </c>
      <c r="D4" s="1" t="s">
        <v>328</v>
      </c>
      <c r="E4" s="1" t="s">
        <v>508</v>
      </c>
      <c r="F4" s="1" t="s">
        <v>801</v>
      </c>
      <c r="G4" s="1" t="s">
        <v>804</v>
      </c>
      <c r="H4" s="1" t="s">
        <v>808</v>
      </c>
      <c r="I4" s="1" t="s">
        <v>809</v>
      </c>
      <c r="J4" s="1" t="s">
        <v>818</v>
      </c>
      <c r="K4" s="1" t="s">
        <v>820</v>
      </c>
      <c r="L4" s="1" t="s">
        <v>825</v>
      </c>
      <c r="M4" s="1">
        <v>10</v>
      </c>
      <c r="N4" s="1">
        <v>1356.29</v>
      </c>
      <c r="O4" s="1">
        <v>13562.9</v>
      </c>
      <c r="P4" s="1">
        <v>0.05</v>
      </c>
      <c r="Q4" s="1">
        <v>12884.75</v>
      </c>
      <c r="R4" s="1">
        <v>8062.81</v>
      </c>
      <c r="S4" s="1">
        <f t="shared" si="1"/>
        <v>4821.9399999999996</v>
      </c>
      <c r="T4" s="1" t="s">
        <v>875</v>
      </c>
      <c r="U4" s="1" t="s">
        <v>878</v>
      </c>
      <c r="V4" s="5" t="s">
        <v>883</v>
      </c>
    </row>
    <row r="5" spans="1:22" x14ac:dyDescent="0.3">
      <c r="A5" s="4" t="s">
        <v>24</v>
      </c>
      <c r="B5" s="3">
        <v>45564</v>
      </c>
      <c r="C5" s="1" t="str">
        <f t="shared" si="0"/>
        <v>September</v>
      </c>
      <c r="D5" s="1" t="s">
        <v>320</v>
      </c>
      <c r="E5" s="1" t="s">
        <v>509</v>
      </c>
      <c r="F5" s="1" t="s">
        <v>803</v>
      </c>
      <c r="G5" s="1" t="s">
        <v>806</v>
      </c>
      <c r="H5" s="1" t="s">
        <v>809</v>
      </c>
      <c r="I5" s="1" t="s">
        <v>814</v>
      </c>
      <c r="J5" s="1" t="s">
        <v>819</v>
      </c>
      <c r="K5" s="1" t="s">
        <v>821</v>
      </c>
      <c r="L5" s="1" t="s">
        <v>826</v>
      </c>
      <c r="M5" s="1">
        <v>6</v>
      </c>
      <c r="N5" s="1">
        <v>1843.37</v>
      </c>
      <c r="O5" s="1">
        <v>11060.22</v>
      </c>
      <c r="P5" s="1">
        <v>0.15</v>
      </c>
      <c r="Q5" s="1">
        <v>9401.19</v>
      </c>
      <c r="R5" s="1">
        <v>6490.54</v>
      </c>
      <c r="S5" s="1">
        <f t="shared" si="1"/>
        <v>2910.6500000000005</v>
      </c>
      <c r="T5" s="1" t="s">
        <v>874</v>
      </c>
      <c r="U5" s="1" t="s">
        <v>878</v>
      </c>
      <c r="V5" s="5" t="s">
        <v>884</v>
      </c>
    </row>
    <row r="6" spans="1:22" x14ac:dyDescent="0.3">
      <c r="A6" s="4" t="s">
        <v>25</v>
      </c>
      <c r="B6" s="3">
        <v>45603</v>
      </c>
      <c r="C6" s="1" t="str">
        <f t="shared" si="0"/>
        <v>November</v>
      </c>
      <c r="D6" s="1" t="s">
        <v>439</v>
      </c>
      <c r="E6" s="1" t="s">
        <v>510</v>
      </c>
      <c r="F6" s="1" t="s">
        <v>801</v>
      </c>
      <c r="G6" s="1" t="s">
        <v>805</v>
      </c>
      <c r="H6" s="1" t="s">
        <v>809</v>
      </c>
      <c r="I6" s="1" t="s">
        <v>809</v>
      </c>
      <c r="J6" s="1" t="s">
        <v>818</v>
      </c>
      <c r="K6" s="1" t="s">
        <v>821</v>
      </c>
      <c r="L6" s="1" t="s">
        <v>827</v>
      </c>
      <c r="M6" s="1">
        <v>2</v>
      </c>
      <c r="N6" s="1">
        <v>1986.99</v>
      </c>
      <c r="O6" s="1">
        <v>3973.98</v>
      </c>
      <c r="P6" s="1">
        <v>0.05</v>
      </c>
      <c r="Q6" s="1">
        <v>3775.28</v>
      </c>
      <c r="R6" s="1">
        <v>2979.77</v>
      </c>
      <c r="S6" s="1">
        <f t="shared" si="1"/>
        <v>795.51000000000022</v>
      </c>
      <c r="T6" s="1" t="s">
        <v>874</v>
      </c>
      <c r="U6" s="1" t="s">
        <v>879</v>
      </c>
      <c r="V6" s="5" t="s">
        <v>883</v>
      </c>
    </row>
    <row r="7" spans="1:22" x14ac:dyDescent="0.3">
      <c r="A7" s="4" t="s">
        <v>26</v>
      </c>
      <c r="B7" s="3">
        <v>45546</v>
      </c>
      <c r="C7" s="1" t="str">
        <f t="shared" si="0"/>
        <v>September</v>
      </c>
      <c r="D7" s="1" t="s">
        <v>433</v>
      </c>
      <c r="E7" s="1" t="s">
        <v>511</v>
      </c>
      <c r="F7" s="1" t="s">
        <v>802</v>
      </c>
      <c r="G7" s="1" t="s">
        <v>804</v>
      </c>
      <c r="H7" s="1" t="s">
        <v>809</v>
      </c>
      <c r="I7" s="1" t="s">
        <v>815</v>
      </c>
      <c r="J7" s="1" t="s">
        <v>818</v>
      </c>
      <c r="K7" s="1" t="s">
        <v>821</v>
      </c>
      <c r="L7" s="1" t="s">
        <v>828</v>
      </c>
      <c r="M7" s="1">
        <v>8</v>
      </c>
      <c r="N7" s="1">
        <v>613.16999999999996</v>
      </c>
      <c r="O7" s="1">
        <v>4905.3599999999997</v>
      </c>
      <c r="P7" s="1">
        <v>0</v>
      </c>
      <c r="Q7" s="1">
        <v>4905.3599999999997</v>
      </c>
      <c r="R7" s="1">
        <v>4101.72</v>
      </c>
      <c r="S7" s="1">
        <f t="shared" si="1"/>
        <v>803.63999999999942</v>
      </c>
      <c r="T7" s="1" t="s">
        <v>873</v>
      </c>
      <c r="U7" s="1" t="s">
        <v>879</v>
      </c>
      <c r="V7" s="5" t="s">
        <v>883</v>
      </c>
    </row>
    <row r="8" spans="1:22" x14ac:dyDescent="0.3">
      <c r="A8" s="4" t="s">
        <v>27</v>
      </c>
      <c r="B8" s="3">
        <v>45489</v>
      </c>
      <c r="C8" s="1" t="str">
        <f t="shared" si="0"/>
        <v>July</v>
      </c>
      <c r="D8" s="1" t="s">
        <v>440</v>
      </c>
      <c r="E8" s="1" t="s">
        <v>512</v>
      </c>
      <c r="F8" s="1" t="s">
        <v>801</v>
      </c>
      <c r="G8" s="1" t="s">
        <v>804</v>
      </c>
      <c r="H8" s="1" t="s">
        <v>810</v>
      </c>
      <c r="I8" s="1" t="s">
        <v>815</v>
      </c>
      <c r="J8" s="1" t="s">
        <v>817</v>
      </c>
      <c r="K8" s="1" t="s">
        <v>821</v>
      </c>
      <c r="L8" s="1" t="s">
        <v>829</v>
      </c>
      <c r="M8" s="1">
        <v>6</v>
      </c>
      <c r="N8" s="1">
        <v>469.95</v>
      </c>
      <c r="O8" s="1">
        <v>2819.7</v>
      </c>
      <c r="P8" s="1">
        <v>0.15</v>
      </c>
      <c r="Q8" s="1">
        <v>2396.7399999999998</v>
      </c>
      <c r="R8" s="1">
        <v>1651.03</v>
      </c>
      <c r="S8" s="1">
        <f t="shared" si="1"/>
        <v>745.70999999999981</v>
      </c>
      <c r="T8" s="1" t="s">
        <v>873</v>
      </c>
      <c r="U8" s="1" t="s">
        <v>878</v>
      </c>
      <c r="V8" s="5" t="s">
        <v>884</v>
      </c>
    </row>
    <row r="9" spans="1:22" x14ac:dyDescent="0.3">
      <c r="A9" s="4" t="s">
        <v>28</v>
      </c>
      <c r="B9" s="3">
        <v>45333</v>
      </c>
      <c r="C9" s="1" t="str">
        <f t="shared" si="0"/>
        <v>February</v>
      </c>
      <c r="D9" s="1" t="s">
        <v>385</v>
      </c>
      <c r="E9" s="1" t="s">
        <v>513</v>
      </c>
      <c r="F9" s="1" t="s">
        <v>802</v>
      </c>
      <c r="G9" s="1" t="s">
        <v>807</v>
      </c>
      <c r="H9" s="1" t="s">
        <v>811</v>
      </c>
      <c r="I9" s="1" t="s">
        <v>815</v>
      </c>
      <c r="J9" s="1" t="s">
        <v>818</v>
      </c>
      <c r="K9" s="1" t="s">
        <v>822</v>
      </c>
      <c r="L9" s="1" t="s">
        <v>830</v>
      </c>
      <c r="M9" s="1">
        <v>8</v>
      </c>
      <c r="N9" s="1">
        <v>1645.1</v>
      </c>
      <c r="O9" s="1">
        <v>13160.8</v>
      </c>
      <c r="P9" s="1">
        <v>0.1</v>
      </c>
      <c r="Q9" s="1">
        <v>11844.72</v>
      </c>
      <c r="R9" s="1">
        <v>9722.69</v>
      </c>
      <c r="S9" s="1">
        <f t="shared" si="1"/>
        <v>2122.0299999999988</v>
      </c>
      <c r="T9" s="1" t="s">
        <v>875</v>
      </c>
      <c r="U9" s="1" t="s">
        <v>877</v>
      </c>
      <c r="V9" s="5" t="s">
        <v>882</v>
      </c>
    </row>
    <row r="10" spans="1:22" x14ac:dyDescent="0.3">
      <c r="A10" s="4" t="s">
        <v>30</v>
      </c>
      <c r="B10" s="3">
        <v>45555</v>
      </c>
      <c r="C10" s="1" t="str">
        <f t="shared" si="0"/>
        <v>September</v>
      </c>
      <c r="D10" s="1" t="s">
        <v>441</v>
      </c>
      <c r="E10" s="1" t="s">
        <v>515</v>
      </c>
      <c r="F10" s="1" t="s">
        <v>801</v>
      </c>
      <c r="G10" s="1" t="s">
        <v>805</v>
      </c>
      <c r="H10" s="1" t="s">
        <v>811</v>
      </c>
      <c r="I10" s="1" t="s">
        <v>809</v>
      </c>
      <c r="J10" s="1" t="s">
        <v>819</v>
      </c>
      <c r="K10" s="1" t="s">
        <v>821</v>
      </c>
      <c r="L10" s="1" t="s">
        <v>832</v>
      </c>
      <c r="M10" s="1">
        <v>11</v>
      </c>
      <c r="N10" s="1">
        <v>2496.2199999999998</v>
      </c>
      <c r="O10" s="1">
        <v>27458.42</v>
      </c>
      <c r="P10" s="1">
        <v>0</v>
      </c>
      <c r="Q10" s="1">
        <v>27458.42</v>
      </c>
      <c r="R10" s="1">
        <v>19609.73</v>
      </c>
      <c r="S10" s="1">
        <f t="shared" si="1"/>
        <v>7848.6899999999987</v>
      </c>
      <c r="T10" s="1" t="s">
        <v>876</v>
      </c>
      <c r="U10" s="1" t="s">
        <v>880</v>
      </c>
      <c r="V10" s="5" t="s">
        <v>882</v>
      </c>
    </row>
    <row r="11" spans="1:22" x14ac:dyDescent="0.3">
      <c r="A11" s="4" t="s">
        <v>31</v>
      </c>
      <c r="B11" s="3">
        <v>45398</v>
      </c>
      <c r="C11" s="1" t="str">
        <f t="shared" si="0"/>
        <v>April</v>
      </c>
      <c r="D11" s="1" t="s">
        <v>442</v>
      </c>
      <c r="E11" s="1" t="s">
        <v>516</v>
      </c>
      <c r="F11" s="1" t="s">
        <v>802</v>
      </c>
      <c r="G11" s="1" t="s">
        <v>804</v>
      </c>
      <c r="H11" s="1" t="s">
        <v>812</v>
      </c>
      <c r="I11" s="1" t="s">
        <v>814</v>
      </c>
      <c r="J11" s="1" t="s">
        <v>817</v>
      </c>
      <c r="K11" s="1" t="s">
        <v>820</v>
      </c>
      <c r="L11" s="1" t="s">
        <v>833</v>
      </c>
      <c r="M11" s="1">
        <v>3</v>
      </c>
      <c r="N11" s="1">
        <v>740.78</v>
      </c>
      <c r="O11" s="1">
        <v>2222.34</v>
      </c>
      <c r="P11" s="1">
        <v>0</v>
      </c>
      <c r="Q11" s="1">
        <v>2222.34</v>
      </c>
      <c r="R11" s="1">
        <v>1390.28</v>
      </c>
      <c r="S11" s="1">
        <f t="shared" si="1"/>
        <v>832.06000000000017</v>
      </c>
      <c r="T11" s="1" t="s">
        <v>873</v>
      </c>
      <c r="U11" s="1" t="s">
        <v>880</v>
      </c>
      <c r="V11" s="5" t="s">
        <v>883</v>
      </c>
    </row>
    <row r="12" spans="1:22" x14ac:dyDescent="0.3">
      <c r="A12" s="4" t="s">
        <v>32</v>
      </c>
      <c r="B12" s="3">
        <v>45421</v>
      </c>
      <c r="C12" s="1" t="str">
        <f t="shared" si="0"/>
        <v>May</v>
      </c>
      <c r="D12" s="1" t="s">
        <v>331</v>
      </c>
      <c r="E12" s="1" t="s">
        <v>517</v>
      </c>
      <c r="F12" s="1" t="s">
        <v>801</v>
      </c>
      <c r="G12" s="1" t="s">
        <v>805</v>
      </c>
      <c r="H12" s="1" t="s">
        <v>811</v>
      </c>
      <c r="I12" s="1" t="s">
        <v>815</v>
      </c>
      <c r="J12" s="1" t="s">
        <v>817</v>
      </c>
      <c r="K12" s="1" t="s">
        <v>820</v>
      </c>
      <c r="L12" s="1" t="s">
        <v>834</v>
      </c>
      <c r="M12" s="1">
        <v>10</v>
      </c>
      <c r="N12" s="1">
        <v>1528.91</v>
      </c>
      <c r="O12" s="1">
        <v>15289.1</v>
      </c>
      <c r="P12" s="1">
        <v>0</v>
      </c>
      <c r="Q12" s="1">
        <v>15289.1</v>
      </c>
      <c r="R12" s="1">
        <v>9614.3700000000008</v>
      </c>
      <c r="S12" s="1">
        <f t="shared" si="1"/>
        <v>5674.73</v>
      </c>
      <c r="T12" s="1" t="s">
        <v>874</v>
      </c>
      <c r="U12" s="1" t="s">
        <v>879</v>
      </c>
      <c r="V12" s="5" t="s">
        <v>884</v>
      </c>
    </row>
    <row r="13" spans="1:22" x14ac:dyDescent="0.3">
      <c r="A13" s="4" t="s">
        <v>33</v>
      </c>
      <c r="B13" s="3">
        <v>45374</v>
      </c>
      <c r="C13" s="1" t="str">
        <f t="shared" si="0"/>
        <v>March</v>
      </c>
      <c r="D13" s="1" t="s">
        <v>422</v>
      </c>
      <c r="E13" s="1" t="s">
        <v>518</v>
      </c>
      <c r="F13" s="1" t="s">
        <v>803</v>
      </c>
      <c r="G13" s="1" t="s">
        <v>807</v>
      </c>
      <c r="H13" s="1" t="s">
        <v>809</v>
      </c>
      <c r="I13" s="1" t="s">
        <v>815</v>
      </c>
      <c r="J13" s="1" t="s">
        <v>818</v>
      </c>
      <c r="K13" s="1" t="s">
        <v>822</v>
      </c>
      <c r="L13" s="1" t="s">
        <v>835</v>
      </c>
      <c r="M13" s="1">
        <v>1</v>
      </c>
      <c r="N13" s="1">
        <v>1036.17</v>
      </c>
      <c r="O13" s="1">
        <v>1036.17</v>
      </c>
      <c r="P13" s="1">
        <v>0.1</v>
      </c>
      <c r="Q13" s="1">
        <v>932.55</v>
      </c>
      <c r="R13" s="1">
        <v>593.71</v>
      </c>
      <c r="S13" s="1">
        <f t="shared" si="1"/>
        <v>338.83999999999992</v>
      </c>
      <c r="T13" s="1" t="s">
        <v>874</v>
      </c>
      <c r="U13" s="1" t="s">
        <v>880</v>
      </c>
      <c r="V13" s="5" t="s">
        <v>883</v>
      </c>
    </row>
    <row r="14" spans="1:22" x14ac:dyDescent="0.3">
      <c r="A14" s="4" t="s">
        <v>34</v>
      </c>
      <c r="B14" s="3">
        <v>45569</v>
      </c>
      <c r="C14" s="1" t="str">
        <f t="shared" si="0"/>
        <v>October</v>
      </c>
      <c r="D14" s="1" t="s">
        <v>346</v>
      </c>
      <c r="E14" s="1" t="s">
        <v>519</v>
      </c>
      <c r="F14" s="1" t="s">
        <v>803</v>
      </c>
      <c r="G14" s="1" t="s">
        <v>805</v>
      </c>
      <c r="H14" s="1" t="s">
        <v>810</v>
      </c>
      <c r="I14" s="1" t="s">
        <v>813</v>
      </c>
      <c r="J14" s="1" t="s">
        <v>818</v>
      </c>
      <c r="K14" s="1" t="s">
        <v>822</v>
      </c>
      <c r="L14" s="1" t="s">
        <v>836</v>
      </c>
      <c r="M14" s="1">
        <v>9</v>
      </c>
      <c r="N14" s="1">
        <v>1421.96</v>
      </c>
      <c r="O14" s="1">
        <v>12797.64</v>
      </c>
      <c r="P14" s="1">
        <v>0.05</v>
      </c>
      <c r="Q14" s="1">
        <v>12157.76</v>
      </c>
      <c r="R14" s="1">
        <v>9158.5300000000007</v>
      </c>
      <c r="S14" s="1">
        <f t="shared" si="1"/>
        <v>2999.2299999999996</v>
      </c>
      <c r="T14" s="1" t="s">
        <v>876</v>
      </c>
      <c r="U14" s="1" t="s">
        <v>877</v>
      </c>
      <c r="V14" s="5" t="s">
        <v>884</v>
      </c>
    </row>
    <row r="15" spans="1:22" x14ac:dyDescent="0.3">
      <c r="A15" s="4" t="s">
        <v>35</v>
      </c>
      <c r="B15" s="3">
        <v>45533</v>
      </c>
      <c r="C15" s="1" t="str">
        <f t="shared" si="0"/>
        <v>August</v>
      </c>
      <c r="D15" s="1" t="s">
        <v>370</v>
      </c>
      <c r="E15" s="1" t="s">
        <v>520</v>
      </c>
      <c r="F15" s="1" t="s">
        <v>801</v>
      </c>
      <c r="G15" s="1" t="s">
        <v>804</v>
      </c>
      <c r="H15" s="1" t="s">
        <v>810</v>
      </c>
      <c r="I15" s="1" t="s">
        <v>809</v>
      </c>
      <c r="J15" s="1" t="s">
        <v>817</v>
      </c>
      <c r="K15" s="1" t="s">
        <v>822</v>
      </c>
      <c r="L15" s="1" t="s">
        <v>837</v>
      </c>
      <c r="M15" s="1">
        <v>4</v>
      </c>
      <c r="N15" s="1">
        <v>2546.8200000000002</v>
      </c>
      <c r="O15" s="1">
        <v>10187.280000000001</v>
      </c>
      <c r="P15" s="1">
        <v>0.1</v>
      </c>
      <c r="Q15" s="1">
        <v>9168.5499999999993</v>
      </c>
      <c r="R15" s="1">
        <v>6526.24</v>
      </c>
      <c r="S15" s="1">
        <f t="shared" si="1"/>
        <v>2642.3099999999995</v>
      </c>
      <c r="T15" s="1" t="s">
        <v>874</v>
      </c>
      <c r="U15" s="1" t="s">
        <v>880</v>
      </c>
      <c r="V15" s="5" t="s">
        <v>884</v>
      </c>
    </row>
    <row r="16" spans="1:22" x14ac:dyDescent="0.3">
      <c r="A16" s="4" t="s">
        <v>36</v>
      </c>
      <c r="B16" s="3">
        <v>45611</v>
      </c>
      <c r="C16" s="1" t="str">
        <f t="shared" si="0"/>
        <v>November</v>
      </c>
      <c r="D16" s="1" t="s">
        <v>417</v>
      </c>
      <c r="E16" s="1" t="s">
        <v>521</v>
      </c>
      <c r="F16" s="1" t="s">
        <v>802</v>
      </c>
      <c r="G16" s="1" t="s">
        <v>804</v>
      </c>
      <c r="H16" s="1" t="s">
        <v>811</v>
      </c>
      <c r="I16" s="1" t="s">
        <v>813</v>
      </c>
      <c r="J16" s="1" t="s">
        <v>819</v>
      </c>
      <c r="K16" s="1" t="s">
        <v>820</v>
      </c>
      <c r="L16" s="1" t="s">
        <v>823</v>
      </c>
      <c r="M16" s="1">
        <v>1</v>
      </c>
      <c r="N16" s="1">
        <v>1886.37</v>
      </c>
      <c r="O16" s="1">
        <v>1886.37</v>
      </c>
      <c r="P16" s="1">
        <v>0.1</v>
      </c>
      <c r="Q16" s="1">
        <v>1697.73</v>
      </c>
      <c r="R16" s="1">
        <v>1358.03</v>
      </c>
      <c r="S16" s="1">
        <f t="shared" si="1"/>
        <v>339.70000000000005</v>
      </c>
      <c r="T16" s="1" t="s">
        <v>874</v>
      </c>
      <c r="U16" s="1" t="s">
        <v>877</v>
      </c>
      <c r="V16" s="5" t="s">
        <v>883</v>
      </c>
    </row>
    <row r="17" spans="1:22" x14ac:dyDescent="0.3">
      <c r="A17" s="4" t="s">
        <v>37</v>
      </c>
      <c r="B17" s="3">
        <v>45494</v>
      </c>
      <c r="C17" s="1" t="str">
        <f t="shared" si="0"/>
        <v>July</v>
      </c>
      <c r="D17" s="1" t="s">
        <v>427</v>
      </c>
      <c r="E17" s="1" t="s">
        <v>522</v>
      </c>
      <c r="F17" s="1" t="s">
        <v>803</v>
      </c>
      <c r="G17" s="1" t="s">
        <v>804</v>
      </c>
      <c r="H17" s="1" t="s">
        <v>810</v>
      </c>
      <c r="I17" s="1" t="s">
        <v>814</v>
      </c>
      <c r="J17" s="1" t="s">
        <v>819</v>
      </c>
      <c r="K17" s="1" t="s">
        <v>821</v>
      </c>
      <c r="L17" s="1" t="s">
        <v>838</v>
      </c>
      <c r="M17" s="1">
        <v>7</v>
      </c>
      <c r="N17" s="1">
        <v>2704.39</v>
      </c>
      <c r="O17" s="1">
        <v>18930.73</v>
      </c>
      <c r="P17" s="1">
        <v>0</v>
      </c>
      <c r="Q17" s="1">
        <v>18930.73</v>
      </c>
      <c r="R17" s="1">
        <v>14788.68</v>
      </c>
      <c r="S17" s="1">
        <f t="shared" si="1"/>
        <v>4142.0499999999993</v>
      </c>
      <c r="T17" s="1" t="s">
        <v>873</v>
      </c>
      <c r="U17" s="1" t="s">
        <v>879</v>
      </c>
      <c r="V17" s="5" t="s">
        <v>882</v>
      </c>
    </row>
    <row r="18" spans="1:22" x14ac:dyDescent="0.3">
      <c r="A18" s="4" t="s">
        <v>38</v>
      </c>
      <c r="B18" s="3">
        <v>45572</v>
      </c>
      <c r="C18" s="1" t="str">
        <f t="shared" si="0"/>
        <v>October</v>
      </c>
      <c r="D18" s="1" t="s">
        <v>443</v>
      </c>
      <c r="E18" s="1" t="s">
        <v>523</v>
      </c>
      <c r="F18" s="1" t="s">
        <v>801</v>
      </c>
      <c r="G18" s="1" t="s">
        <v>806</v>
      </c>
      <c r="H18" s="1" t="s">
        <v>810</v>
      </c>
      <c r="I18" s="1" t="s">
        <v>809</v>
      </c>
      <c r="J18" s="1" t="s">
        <v>819</v>
      </c>
      <c r="K18" s="1" t="s">
        <v>820</v>
      </c>
      <c r="L18" s="1" t="s">
        <v>839</v>
      </c>
      <c r="M18" s="1">
        <v>3</v>
      </c>
      <c r="N18" s="1">
        <v>466.33</v>
      </c>
      <c r="O18" s="1">
        <v>1398.99</v>
      </c>
      <c r="P18" s="1">
        <v>0</v>
      </c>
      <c r="Q18" s="1">
        <v>1398.99</v>
      </c>
      <c r="R18" s="1">
        <v>1023.56</v>
      </c>
      <c r="S18" s="1">
        <f t="shared" si="1"/>
        <v>375.43000000000006</v>
      </c>
      <c r="T18" s="1" t="s">
        <v>875</v>
      </c>
      <c r="U18" s="1" t="s">
        <v>881</v>
      </c>
      <c r="V18" s="5" t="s">
        <v>884</v>
      </c>
    </row>
    <row r="19" spans="1:22" x14ac:dyDescent="0.3">
      <c r="A19" s="4" t="s">
        <v>39</v>
      </c>
      <c r="B19" s="3">
        <v>45424</v>
      </c>
      <c r="C19" s="1" t="str">
        <f t="shared" si="0"/>
        <v>May</v>
      </c>
      <c r="D19" s="1" t="s">
        <v>337</v>
      </c>
      <c r="E19" s="1" t="s">
        <v>524</v>
      </c>
      <c r="F19" s="1" t="s">
        <v>801</v>
      </c>
      <c r="G19" s="1" t="s">
        <v>805</v>
      </c>
      <c r="H19" s="1" t="s">
        <v>808</v>
      </c>
      <c r="I19" s="1" t="s">
        <v>813</v>
      </c>
      <c r="J19" s="1" t="s">
        <v>818</v>
      </c>
      <c r="K19" s="1" t="s">
        <v>820</v>
      </c>
      <c r="L19" s="1" t="s">
        <v>840</v>
      </c>
      <c r="M19" s="1">
        <v>7</v>
      </c>
      <c r="N19" s="1">
        <v>2986</v>
      </c>
      <c r="O19" s="1">
        <v>20902</v>
      </c>
      <c r="P19" s="1">
        <v>0</v>
      </c>
      <c r="Q19" s="1">
        <v>20902</v>
      </c>
      <c r="R19" s="1">
        <v>17296.490000000002</v>
      </c>
      <c r="S19" s="1">
        <f t="shared" si="1"/>
        <v>3605.5099999999984</v>
      </c>
      <c r="T19" s="1" t="s">
        <v>876</v>
      </c>
      <c r="U19" s="1" t="s">
        <v>878</v>
      </c>
      <c r="V19" s="5" t="s">
        <v>882</v>
      </c>
    </row>
    <row r="20" spans="1:22" x14ac:dyDescent="0.3">
      <c r="A20" s="4" t="s">
        <v>40</v>
      </c>
      <c r="B20" s="3">
        <v>45603</v>
      </c>
      <c r="C20" s="1" t="str">
        <f t="shared" si="0"/>
        <v>November</v>
      </c>
      <c r="D20" s="1" t="s">
        <v>439</v>
      </c>
      <c r="E20" s="1" t="s">
        <v>525</v>
      </c>
      <c r="F20" s="1" t="s">
        <v>802</v>
      </c>
      <c r="G20" s="1" t="s">
        <v>804</v>
      </c>
      <c r="H20" s="1" t="s">
        <v>812</v>
      </c>
      <c r="I20" s="1" t="s">
        <v>814</v>
      </c>
      <c r="J20" s="1" t="s">
        <v>818</v>
      </c>
      <c r="K20" s="1" t="s">
        <v>821</v>
      </c>
      <c r="L20" s="1" t="s">
        <v>841</v>
      </c>
      <c r="M20" s="1">
        <v>3</v>
      </c>
      <c r="N20" s="1">
        <v>934.27</v>
      </c>
      <c r="O20" s="1">
        <v>2802.81</v>
      </c>
      <c r="P20" s="1">
        <v>0.15</v>
      </c>
      <c r="Q20" s="1">
        <v>2382.39</v>
      </c>
      <c r="R20" s="1">
        <v>1798.17</v>
      </c>
      <c r="S20" s="1">
        <f t="shared" si="1"/>
        <v>584.2199999999998</v>
      </c>
      <c r="T20" s="1" t="s">
        <v>876</v>
      </c>
      <c r="U20" s="1" t="s">
        <v>881</v>
      </c>
      <c r="V20" s="5" t="s">
        <v>882</v>
      </c>
    </row>
    <row r="21" spans="1:22" x14ac:dyDescent="0.3">
      <c r="A21" s="4" t="s">
        <v>41</v>
      </c>
      <c r="B21" s="3">
        <v>45419</v>
      </c>
      <c r="C21" s="1" t="str">
        <f t="shared" si="0"/>
        <v>May</v>
      </c>
      <c r="D21" s="1" t="s">
        <v>326</v>
      </c>
      <c r="E21" s="1" t="s">
        <v>526</v>
      </c>
      <c r="F21" s="1" t="s">
        <v>803</v>
      </c>
      <c r="G21" s="1" t="s">
        <v>805</v>
      </c>
      <c r="H21" s="1" t="s">
        <v>812</v>
      </c>
      <c r="I21" s="1" t="s">
        <v>814</v>
      </c>
      <c r="J21" s="1" t="s">
        <v>818</v>
      </c>
      <c r="K21" s="1" t="s">
        <v>821</v>
      </c>
      <c r="L21" s="1" t="s">
        <v>842</v>
      </c>
      <c r="M21" s="1">
        <v>5</v>
      </c>
      <c r="N21" s="1">
        <v>530.82000000000005</v>
      </c>
      <c r="O21" s="1">
        <v>2654.1</v>
      </c>
      <c r="P21" s="1">
        <v>0</v>
      </c>
      <c r="Q21" s="1">
        <v>2654.1</v>
      </c>
      <c r="R21" s="1">
        <v>1929.34</v>
      </c>
      <c r="S21" s="1">
        <f t="shared" si="1"/>
        <v>724.76</v>
      </c>
      <c r="T21" s="1" t="s">
        <v>875</v>
      </c>
      <c r="U21" s="1" t="s">
        <v>879</v>
      </c>
      <c r="V21" s="5" t="s">
        <v>884</v>
      </c>
    </row>
    <row r="22" spans="1:22" x14ac:dyDescent="0.3">
      <c r="A22" s="4" t="s">
        <v>43</v>
      </c>
      <c r="B22" s="3">
        <v>45415</v>
      </c>
      <c r="C22" s="1" t="str">
        <f t="shared" si="0"/>
        <v>May</v>
      </c>
      <c r="D22" s="1" t="s">
        <v>332</v>
      </c>
      <c r="E22" s="1" t="s">
        <v>528</v>
      </c>
      <c r="F22" s="1" t="s">
        <v>802</v>
      </c>
      <c r="G22" s="1" t="s">
        <v>807</v>
      </c>
      <c r="H22" s="1" t="s">
        <v>810</v>
      </c>
      <c r="I22" s="1" t="s">
        <v>815</v>
      </c>
      <c r="J22" s="1" t="s">
        <v>817</v>
      </c>
      <c r="K22" s="1" t="s">
        <v>822</v>
      </c>
      <c r="L22" s="1" t="s">
        <v>830</v>
      </c>
      <c r="M22" s="1">
        <v>2</v>
      </c>
      <c r="N22" s="1">
        <v>1059.3399999999999</v>
      </c>
      <c r="O22" s="1">
        <v>2118.6799999999998</v>
      </c>
      <c r="P22" s="1">
        <v>0.1</v>
      </c>
      <c r="Q22" s="1">
        <v>1906.81</v>
      </c>
      <c r="R22" s="1">
        <v>1517.79</v>
      </c>
      <c r="S22" s="1">
        <f t="shared" si="1"/>
        <v>389.02</v>
      </c>
      <c r="T22" s="1" t="s">
        <v>876</v>
      </c>
      <c r="U22" s="1" t="s">
        <v>878</v>
      </c>
      <c r="V22" s="5" t="s">
        <v>884</v>
      </c>
    </row>
    <row r="23" spans="1:22" x14ac:dyDescent="0.3">
      <c r="A23" s="4" t="s">
        <v>44</v>
      </c>
      <c r="B23" s="3">
        <v>45375</v>
      </c>
      <c r="C23" s="1" t="str">
        <f t="shared" si="0"/>
        <v>March</v>
      </c>
      <c r="D23" s="1" t="s">
        <v>431</v>
      </c>
      <c r="E23" s="1" t="s">
        <v>529</v>
      </c>
      <c r="F23" s="1" t="s">
        <v>801</v>
      </c>
      <c r="G23" s="1" t="s">
        <v>805</v>
      </c>
      <c r="H23" s="1" t="s">
        <v>810</v>
      </c>
      <c r="I23" s="1" t="s">
        <v>815</v>
      </c>
      <c r="J23" s="1" t="s">
        <v>819</v>
      </c>
      <c r="K23" s="1" t="s">
        <v>820</v>
      </c>
      <c r="L23" s="1" t="s">
        <v>843</v>
      </c>
      <c r="M23" s="1">
        <v>4</v>
      </c>
      <c r="N23" s="1">
        <v>900.54</v>
      </c>
      <c r="O23" s="1">
        <v>3602.16</v>
      </c>
      <c r="P23" s="1">
        <v>0.15</v>
      </c>
      <c r="Q23" s="1">
        <v>3061.84</v>
      </c>
      <c r="R23" s="1">
        <v>2598.0300000000002</v>
      </c>
      <c r="S23" s="1">
        <f t="shared" si="1"/>
        <v>463.80999999999995</v>
      </c>
      <c r="T23" s="1" t="s">
        <v>874</v>
      </c>
      <c r="U23" s="1" t="s">
        <v>877</v>
      </c>
      <c r="V23" s="5" t="s">
        <v>884</v>
      </c>
    </row>
    <row r="24" spans="1:22" x14ac:dyDescent="0.3">
      <c r="A24" s="4" t="s">
        <v>45</v>
      </c>
      <c r="B24" s="3">
        <v>45575</v>
      </c>
      <c r="C24" s="1" t="str">
        <f t="shared" si="0"/>
        <v>October</v>
      </c>
      <c r="D24" s="1" t="s">
        <v>444</v>
      </c>
      <c r="E24" s="1" t="s">
        <v>530</v>
      </c>
      <c r="F24" s="1" t="s">
        <v>802</v>
      </c>
      <c r="G24" s="1" t="s">
        <v>804</v>
      </c>
      <c r="H24" s="1" t="s">
        <v>809</v>
      </c>
      <c r="I24" s="1" t="s">
        <v>813</v>
      </c>
      <c r="J24" s="1" t="s">
        <v>817</v>
      </c>
      <c r="K24" s="1" t="s">
        <v>820</v>
      </c>
      <c r="L24" s="1" t="s">
        <v>844</v>
      </c>
      <c r="M24" s="1">
        <v>8</v>
      </c>
      <c r="N24" s="1">
        <v>2579.77</v>
      </c>
      <c r="O24" s="1">
        <v>20638.16</v>
      </c>
      <c r="P24" s="1">
        <v>0.15</v>
      </c>
      <c r="Q24" s="1">
        <v>17542.439999999999</v>
      </c>
      <c r="R24" s="1">
        <v>11979.28</v>
      </c>
      <c r="S24" s="1">
        <f t="shared" si="1"/>
        <v>5563.159999999998</v>
      </c>
      <c r="T24" s="1" t="s">
        <v>874</v>
      </c>
      <c r="U24" s="1" t="s">
        <v>877</v>
      </c>
      <c r="V24" s="5" t="s">
        <v>882</v>
      </c>
    </row>
    <row r="25" spans="1:22" x14ac:dyDescent="0.3">
      <c r="A25" s="4" t="s">
        <v>46</v>
      </c>
      <c r="B25" s="3">
        <v>45430</v>
      </c>
      <c r="C25" s="1" t="str">
        <f t="shared" si="0"/>
        <v>May</v>
      </c>
      <c r="D25" s="1" t="s">
        <v>445</v>
      </c>
      <c r="E25" s="1" t="s">
        <v>531</v>
      </c>
      <c r="F25" s="1" t="s">
        <v>802</v>
      </c>
      <c r="G25" s="1" t="s">
        <v>805</v>
      </c>
      <c r="H25" s="1" t="s">
        <v>812</v>
      </c>
      <c r="I25" s="1" t="s">
        <v>809</v>
      </c>
      <c r="J25" s="1" t="s">
        <v>819</v>
      </c>
      <c r="K25" s="1" t="s">
        <v>820</v>
      </c>
      <c r="L25" s="1" t="s">
        <v>845</v>
      </c>
      <c r="M25" s="1">
        <v>3</v>
      </c>
      <c r="N25" s="1">
        <v>2941.31</v>
      </c>
      <c r="O25" s="1">
        <v>8823.93</v>
      </c>
      <c r="P25" s="1">
        <v>0.1</v>
      </c>
      <c r="Q25" s="1">
        <v>7941.54</v>
      </c>
      <c r="R25" s="1">
        <v>5570.89</v>
      </c>
      <c r="S25" s="1">
        <f t="shared" si="1"/>
        <v>2370.6499999999996</v>
      </c>
      <c r="T25" s="1" t="s">
        <v>875</v>
      </c>
      <c r="U25" s="1" t="s">
        <v>878</v>
      </c>
      <c r="V25" s="5" t="s">
        <v>882</v>
      </c>
    </row>
    <row r="26" spans="1:22" x14ac:dyDescent="0.3">
      <c r="A26" s="4" t="s">
        <v>47</v>
      </c>
      <c r="B26" s="3">
        <v>45429</v>
      </c>
      <c r="C26" s="1" t="str">
        <f t="shared" si="0"/>
        <v>May</v>
      </c>
      <c r="D26" s="1" t="s">
        <v>336</v>
      </c>
      <c r="E26" s="1" t="s">
        <v>532</v>
      </c>
      <c r="F26" s="1" t="s">
        <v>803</v>
      </c>
      <c r="G26" s="1" t="s">
        <v>807</v>
      </c>
      <c r="H26" s="1" t="s">
        <v>809</v>
      </c>
      <c r="I26" s="1" t="s">
        <v>816</v>
      </c>
      <c r="J26" s="1" t="s">
        <v>817</v>
      </c>
      <c r="K26" s="1" t="s">
        <v>822</v>
      </c>
      <c r="L26" s="1" t="s">
        <v>846</v>
      </c>
      <c r="M26" s="1">
        <v>11</v>
      </c>
      <c r="N26" s="1">
        <v>674.55</v>
      </c>
      <c r="O26" s="1">
        <v>7420.05</v>
      </c>
      <c r="P26" s="1">
        <v>0.1</v>
      </c>
      <c r="Q26" s="1">
        <v>6678.05</v>
      </c>
      <c r="R26" s="1">
        <v>4146.6400000000003</v>
      </c>
      <c r="S26" s="1">
        <f t="shared" si="1"/>
        <v>2531.41</v>
      </c>
      <c r="T26" s="1" t="s">
        <v>873</v>
      </c>
      <c r="U26" s="1" t="s">
        <v>879</v>
      </c>
      <c r="V26" s="5" t="s">
        <v>883</v>
      </c>
    </row>
    <row r="27" spans="1:22" x14ac:dyDescent="0.3">
      <c r="A27" s="4" t="s">
        <v>48</v>
      </c>
      <c r="B27" s="3">
        <v>45358</v>
      </c>
      <c r="C27" s="1" t="str">
        <f t="shared" si="0"/>
        <v>March</v>
      </c>
      <c r="D27" s="1" t="s">
        <v>419</v>
      </c>
      <c r="E27" s="1" t="s">
        <v>533</v>
      </c>
      <c r="F27" s="1" t="s">
        <v>803</v>
      </c>
      <c r="G27" s="1" t="s">
        <v>806</v>
      </c>
      <c r="H27" s="1" t="s">
        <v>810</v>
      </c>
      <c r="I27" s="1" t="s">
        <v>815</v>
      </c>
      <c r="J27" s="1" t="s">
        <v>818</v>
      </c>
      <c r="K27" s="1" t="s">
        <v>822</v>
      </c>
      <c r="L27" s="1" t="s">
        <v>840</v>
      </c>
      <c r="M27" s="1">
        <v>9</v>
      </c>
      <c r="N27" s="1">
        <v>2599.56</v>
      </c>
      <c r="O27" s="1">
        <v>23396.04</v>
      </c>
      <c r="P27" s="1">
        <v>0</v>
      </c>
      <c r="Q27" s="1">
        <v>23396.04</v>
      </c>
      <c r="R27" s="1">
        <v>19706.560000000001</v>
      </c>
      <c r="S27" s="1">
        <f t="shared" si="1"/>
        <v>3689.4799999999996</v>
      </c>
      <c r="T27" s="1" t="s">
        <v>875</v>
      </c>
      <c r="U27" s="1" t="s">
        <v>879</v>
      </c>
      <c r="V27" s="5" t="s">
        <v>884</v>
      </c>
    </row>
    <row r="28" spans="1:22" x14ac:dyDescent="0.3">
      <c r="A28" s="4" t="s">
        <v>50</v>
      </c>
      <c r="B28" s="3">
        <v>45513</v>
      </c>
      <c r="C28" s="1" t="str">
        <f t="shared" si="0"/>
        <v>August</v>
      </c>
      <c r="D28" s="1" t="s">
        <v>446</v>
      </c>
      <c r="E28" s="1" t="s">
        <v>535</v>
      </c>
      <c r="F28" s="1" t="s">
        <v>802</v>
      </c>
      <c r="G28" s="1" t="s">
        <v>806</v>
      </c>
      <c r="H28" s="1" t="s">
        <v>810</v>
      </c>
      <c r="I28" s="1" t="s">
        <v>815</v>
      </c>
      <c r="J28" s="1" t="s">
        <v>817</v>
      </c>
      <c r="K28" s="1" t="s">
        <v>821</v>
      </c>
      <c r="L28" s="1" t="s">
        <v>843</v>
      </c>
      <c r="M28" s="1">
        <v>8</v>
      </c>
      <c r="N28" s="1">
        <v>2092.31</v>
      </c>
      <c r="O28" s="1">
        <v>16738.48</v>
      </c>
      <c r="P28" s="1">
        <v>0.15</v>
      </c>
      <c r="Q28" s="1">
        <v>14227.71</v>
      </c>
      <c r="R28" s="1">
        <v>11987.96</v>
      </c>
      <c r="S28" s="1">
        <f t="shared" si="1"/>
        <v>2239.75</v>
      </c>
      <c r="T28" s="1" t="s">
        <v>875</v>
      </c>
      <c r="U28" s="1" t="s">
        <v>878</v>
      </c>
      <c r="V28" s="5" t="s">
        <v>884</v>
      </c>
    </row>
    <row r="29" spans="1:22" x14ac:dyDescent="0.3">
      <c r="A29" s="4" t="s">
        <v>51</v>
      </c>
      <c r="B29" s="3">
        <v>45319</v>
      </c>
      <c r="C29" s="1" t="str">
        <f t="shared" si="0"/>
        <v>January</v>
      </c>
      <c r="D29" s="1" t="s">
        <v>396</v>
      </c>
      <c r="E29" s="1" t="s">
        <v>536</v>
      </c>
      <c r="F29" s="1" t="s">
        <v>803</v>
      </c>
      <c r="G29" s="1" t="s">
        <v>805</v>
      </c>
      <c r="H29" s="1" t="s">
        <v>808</v>
      </c>
      <c r="I29" s="1" t="s">
        <v>815</v>
      </c>
      <c r="J29" s="1" t="s">
        <v>818</v>
      </c>
      <c r="K29" s="1" t="s">
        <v>820</v>
      </c>
      <c r="L29" s="1" t="s">
        <v>845</v>
      </c>
      <c r="M29" s="1">
        <v>3</v>
      </c>
      <c r="N29" s="1">
        <v>444.19</v>
      </c>
      <c r="O29" s="1">
        <v>1332.57</v>
      </c>
      <c r="P29" s="1">
        <v>0.1</v>
      </c>
      <c r="Q29" s="1">
        <v>1199.31</v>
      </c>
      <c r="R29" s="1">
        <v>848.73</v>
      </c>
      <c r="S29" s="1">
        <f t="shared" si="1"/>
        <v>350.57999999999993</v>
      </c>
      <c r="T29" s="1" t="s">
        <v>874</v>
      </c>
      <c r="U29" s="1" t="s">
        <v>877</v>
      </c>
      <c r="V29" s="5" t="s">
        <v>884</v>
      </c>
    </row>
    <row r="30" spans="1:22" x14ac:dyDescent="0.3">
      <c r="A30" s="4" t="s">
        <v>52</v>
      </c>
      <c r="B30" s="3">
        <v>45386</v>
      </c>
      <c r="C30" s="1" t="str">
        <f t="shared" si="0"/>
        <v>April</v>
      </c>
      <c r="D30" s="1" t="s">
        <v>447</v>
      </c>
      <c r="E30" s="1" t="s">
        <v>537</v>
      </c>
      <c r="F30" s="1" t="s">
        <v>802</v>
      </c>
      <c r="G30" s="1" t="s">
        <v>807</v>
      </c>
      <c r="H30" s="1" t="s">
        <v>810</v>
      </c>
      <c r="I30" s="1" t="s">
        <v>809</v>
      </c>
      <c r="J30" s="1" t="s">
        <v>819</v>
      </c>
      <c r="K30" s="1" t="s">
        <v>820</v>
      </c>
      <c r="L30" s="1" t="s">
        <v>836</v>
      </c>
      <c r="M30" s="1">
        <v>5</v>
      </c>
      <c r="N30" s="1">
        <v>1782.06</v>
      </c>
      <c r="O30" s="1">
        <v>8910.2999999999993</v>
      </c>
      <c r="P30" s="1">
        <v>0.1</v>
      </c>
      <c r="Q30" s="1">
        <v>8019.27</v>
      </c>
      <c r="R30" s="1">
        <v>5541.6</v>
      </c>
      <c r="S30" s="1">
        <f t="shared" si="1"/>
        <v>2477.67</v>
      </c>
      <c r="T30" s="1" t="s">
        <v>875</v>
      </c>
      <c r="U30" s="1" t="s">
        <v>877</v>
      </c>
      <c r="V30" s="5" t="s">
        <v>884</v>
      </c>
    </row>
    <row r="31" spans="1:22" x14ac:dyDescent="0.3">
      <c r="A31" s="4" t="s">
        <v>53</v>
      </c>
      <c r="B31" s="3">
        <v>45487</v>
      </c>
      <c r="C31" s="1" t="str">
        <f t="shared" si="0"/>
        <v>July</v>
      </c>
      <c r="D31" s="1" t="s">
        <v>428</v>
      </c>
      <c r="E31" s="1" t="s">
        <v>538</v>
      </c>
      <c r="F31" s="1" t="s">
        <v>803</v>
      </c>
      <c r="G31" s="1" t="s">
        <v>807</v>
      </c>
      <c r="H31" s="1" t="s">
        <v>809</v>
      </c>
      <c r="I31" s="1" t="s">
        <v>813</v>
      </c>
      <c r="J31" s="1" t="s">
        <v>819</v>
      </c>
      <c r="K31" s="1" t="s">
        <v>821</v>
      </c>
      <c r="L31" s="1" t="s">
        <v>847</v>
      </c>
      <c r="M31" s="1">
        <v>8</v>
      </c>
      <c r="N31" s="1">
        <v>1264.68</v>
      </c>
      <c r="O31" s="1">
        <v>10117.44</v>
      </c>
      <c r="P31" s="1">
        <v>0.05</v>
      </c>
      <c r="Q31" s="1">
        <v>9611.57</v>
      </c>
      <c r="R31" s="1">
        <v>6363.29</v>
      </c>
      <c r="S31" s="1">
        <f t="shared" si="1"/>
        <v>3248.2799999999997</v>
      </c>
      <c r="T31" s="1" t="s">
        <v>873</v>
      </c>
      <c r="U31" s="1" t="s">
        <v>877</v>
      </c>
      <c r="V31" s="5" t="s">
        <v>884</v>
      </c>
    </row>
    <row r="32" spans="1:22" x14ac:dyDescent="0.3">
      <c r="A32" s="4" t="s">
        <v>54</v>
      </c>
      <c r="B32" s="3">
        <v>45447</v>
      </c>
      <c r="C32" s="1" t="str">
        <f t="shared" si="0"/>
        <v>June</v>
      </c>
      <c r="D32" s="1" t="s">
        <v>343</v>
      </c>
      <c r="E32" s="1" t="s">
        <v>539</v>
      </c>
      <c r="F32" s="1" t="s">
        <v>801</v>
      </c>
      <c r="G32" s="1" t="s">
        <v>805</v>
      </c>
      <c r="H32" s="1" t="s">
        <v>810</v>
      </c>
      <c r="I32" s="1" t="s">
        <v>815</v>
      </c>
      <c r="J32" s="1" t="s">
        <v>818</v>
      </c>
      <c r="K32" s="1" t="s">
        <v>821</v>
      </c>
      <c r="L32" s="1" t="s">
        <v>848</v>
      </c>
      <c r="M32" s="1">
        <v>4</v>
      </c>
      <c r="N32" s="1">
        <v>661.9</v>
      </c>
      <c r="O32" s="1">
        <v>2647.6</v>
      </c>
      <c r="P32" s="1">
        <v>0.05</v>
      </c>
      <c r="Q32" s="1">
        <v>2515.2199999999998</v>
      </c>
      <c r="R32" s="1">
        <v>1922.6</v>
      </c>
      <c r="S32" s="1">
        <f t="shared" si="1"/>
        <v>592.61999999999989</v>
      </c>
      <c r="T32" s="1" t="s">
        <v>875</v>
      </c>
      <c r="U32" s="1" t="s">
        <v>877</v>
      </c>
      <c r="V32" s="5" t="s">
        <v>883</v>
      </c>
    </row>
    <row r="33" spans="1:22" x14ac:dyDescent="0.3">
      <c r="A33" s="4" t="s">
        <v>55</v>
      </c>
      <c r="B33" s="3">
        <v>45554</v>
      </c>
      <c r="C33" s="1" t="str">
        <f t="shared" si="0"/>
        <v>September</v>
      </c>
      <c r="D33" s="1" t="s">
        <v>441</v>
      </c>
      <c r="E33" s="1" t="s">
        <v>540</v>
      </c>
      <c r="F33" s="1" t="s">
        <v>802</v>
      </c>
      <c r="G33" s="1" t="s">
        <v>804</v>
      </c>
      <c r="H33" s="1" t="s">
        <v>808</v>
      </c>
      <c r="I33" s="1" t="s">
        <v>813</v>
      </c>
      <c r="J33" s="1" t="s">
        <v>817</v>
      </c>
      <c r="K33" s="1" t="s">
        <v>820</v>
      </c>
      <c r="L33" s="1" t="s">
        <v>847</v>
      </c>
      <c r="M33" s="1">
        <v>7</v>
      </c>
      <c r="N33" s="1">
        <v>2674.94</v>
      </c>
      <c r="O33" s="1">
        <v>18724.580000000002</v>
      </c>
      <c r="P33" s="1">
        <v>0.05</v>
      </c>
      <c r="Q33" s="1">
        <v>17788.349999999999</v>
      </c>
      <c r="R33" s="1">
        <v>14719.36</v>
      </c>
      <c r="S33" s="1">
        <f t="shared" si="1"/>
        <v>3068.989999999998</v>
      </c>
      <c r="T33" s="1" t="s">
        <v>875</v>
      </c>
      <c r="U33" s="1" t="s">
        <v>879</v>
      </c>
      <c r="V33" s="5" t="s">
        <v>882</v>
      </c>
    </row>
    <row r="34" spans="1:22" x14ac:dyDescent="0.3">
      <c r="A34" s="4" t="s">
        <v>56</v>
      </c>
      <c r="B34" s="3">
        <v>45484</v>
      </c>
      <c r="C34" s="1" t="str">
        <f t="shared" si="0"/>
        <v>July</v>
      </c>
      <c r="D34" s="1" t="s">
        <v>376</v>
      </c>
      <c r="E34" s="1" t="s">
        <v>541</v>
      </c>
      <c r="F34" s="1" t="s">
        <v>801</v>
      </c>
      <c r="G34" s="1" t="s">
        <v>807</v>
      </c>
      <c r="H34" s="1" t="s">
        <v>809</v>
      </c>
      <c r="I34" s="1" t="s">
        <v>816</v>
      </c>
      <c r="J34" s="1" t="s">
        <v>817</v>
      </c>
      <c r="K34" s="1" t="s">
        <v>821</v>
      </c>
      <c r="L34" s="1" t="s">
        <v>842</v>
      </c>
      <c r="M34" s="1">
        <v>8</v>
      </c>
      <c r="N34" s="1">
        <v>2131.4299999999998</v>
      </c>
      <c r="O34" s="1">
        <v>17051.439999999999</v>
      </c>
      <c r="P34" s="1">
        <v>0</v>
      </c>
      <c r="Q34" s="1">
        <v>17051.439999999999</v>
      </c>
      <c r="R34" s="1">
        <v>12900.38</v>
      </c>
      <c r="S34" s="1">
        <f t="shared" si="1"/>
        <v>4151.0599999999995</v>
      </c>
      <c r="T34" s="1" t="s">
        <v>876</v>
      </c>
      <c r="U34" s="1" t="s">
        <v>881</v>
      </c>
      <c r="V34" s="5" t="s">
        <v>882</v>
      </c>
    </row>
    <row r="35" spans="1:22" x14ac:dyDescent="0.3">
      <c r="A35" s="4" t="s">
        <v>57</v>
      </c>
      <c r="B35" s="3">
        <v>45534</v>
      </c>
      <c r="C35" s="1" t="str">
        <f t="shared" si="0"/>
        <v>August</v>
      </c>
      <c r="D35" s="1" t="s">
        <v>366</v>
      </c>
      <c r="E35" s="1" t="s">
        <v>542</v>
      </c>
      <c r="F35" s="1" t="s">
        <v>803</v>
      </c>
      <c r="G35" s="1" t="s">
        <v>805</v>
      </c>
      <c r="H35" s="1" t="s">
        <v>811</v>
      </c>
      <c r="I35" s="1" t="s">
        <v>816</v>
      </c>
      <c r="J35" s="1" t="s">
        <v>817</v>
      </c>
      <c r="K35" s="1" t="s">
        <v>822</v>
      </c>
      <c r="L35" s="1" t="s">
        <v>828</v>
      </c>
      <c r="M35" s="1">
        <v>2</v>
      </c>
      <c r="N35" s="1">
        <v>3023.01</v>
      </c>
      <c r="O35" s="1">
        <v>6046.02</v>
      </c>
      <c r="P35" s="1">
        <v>0.05</v>
      </c>
      <c r="Q35" s="1">
        <v>5743.72</v>
      </c>
      <c r="R35" s="1">
        <v>4493.51</v>
      </c>
      <c r="S35" s="1">
        <f t="shared" si="1"/>
        <v>1250.21</v>
      </c>
      <c r="T35" s="1" t="s">
        <v>874</v>
      </c>
      <c r="U35" s="1" t="s">
        <v>877</v>
      </c>
      <c r="V35" s="5" t="s">
        <v>883</v>
      </c>
    </row>
    <row r="36" spans="1:22" x14ac:dyDescent="0.3">
      <c r="A36" s="4" t="s">
        <v>58</v>
      </c>
      <c r="B36" s="3">
        <v>45615</v>
      </c>
      <c r="C36" s="1" t="str">
        <f t="shared" si="0"/>
        <v>November</v>
      </c>
      <c r="D36" s="1" t="s">
        <v>448</v>
      </c>
      <c r="E36" s="1" t="s">
        <v>543</v>
      </c>
      <c r="F36" s="1" t="s">
        <v>802</v>
      </c>
      <c r="G36" s="1" t="s">
        <v>806</v>
      </c>
      <c r="H36" s="1" t="s">
        <v>809</v>
      </c>
      <c r="I36" s="1" t="s">
        <v>816</v>
      </c>
      <c r="J36" s="1" t="s">
        <v>817</v>
      </c>
      <c r="K36" s="1" t="s">
        <v>822</v>
      </c>
      <c r="L36" s="1" t="s">
        <v>849</v>
      </c>
      <c r="M36" s="1">
        <v>4</v>
      </c>
      <c r="N36" s="1">
        <v>640.16</v>
      </c>
      <c r="O36" s="1">
        <v>2560.64</v>
      </c>
      <c r="P36" s="1">
        <v>0.05</v>
      </c>
      <c r="Q36" s="1">
        <v>2432.61</v>
      </c>
      <c r="R36" s="1">
        <v>1661.33</v>
      </c>
      <c r="S36" s="1">
        <f t="shared" si="1"/>
        <v>771.2800000000002</v>
      </c>
      <c r="T36" s="1" t="s">
        <v>876</v>
      </c>
      <c r="U36" s="1" t="s">
        <v>880</v>
      </c>
      <c r="V36" s="5" t="s">
        <v>883</v>
      </c>
    </row>
    <row r="37" spans="1:22" x14ac:dyDescent="0.3">
      <c r="A37" s="4" t="s">
        <v>59</v>
      </c>
      <c r="B37" s="3">
        <v>45542</v>
      </c>
      <c r="C37" s="1" t="str">
        <f t="shared" si="0"/>
        <v>September</v>
      </c>
      <c r="D37" s="1" t="s">
        <v>351</v>
      </c>
      <c r="E37" s="1" t="s">
        <v>544</v>
      </c>
      <c r="F37" s="1" t="s">
        <v>802</v>
      </c>
      <c r="G37" s="1" t="s">
        <v>806</v>
      </c>
      <c r="H37" s="1" t="s">
        <v>812</v>
      </c>
      <c r="I37" s="1" t="s">
        <v>809</v>
      </c>
      <c r="J37" s="1" t="s">
        <v>819</v>
      </c>
      <c r="K37" s="1" t="s">
        <v>820</v>
      </c>
      <c r="L37" s="1" t="s">
        <v>839</v>
      </c>
      <c r="M37" s="1">
        <v>12</v>
      </c>
      <c r="N37" s="1">
        <v>2001.26</v>
      </c>
      <c r="O37" s="1">
        <v>24015.119999999999</v>
      </c>
      <c r="P37" s="1">
        <v>0.15</v>
      </c>
      <c r="Q37" s="1">
        <v>20412.849999999999</v>
      </c>
      <c r="R37" s="1">
        <v>14625.28</v>
      </c>
      <c r="S37" s="1">
        <f t="shared" si="1"/>
        <v>5787.5699999999979</v>
      </c>
      <c r="T37" s="1" t="s">
        <v>873</v>
      </c>
      <c r="U37" s="1" t="s">
        <v>877</v>
      </c>
      <c r="V37" s="5" t="s">
        <v>883</v>
      </c>
    </row>
    <row r="38" spans="1:22" x14ac:dyDescent="0.3">
      <c r="A38" s="4" t="s">
        <v>60</v>
      </c>
      <c r="B38" s="3">
        <v>45522</v>
      </c>
      <c r="C38" s="1" t="str">
        <f t="shared" si="0"/>
        <v>August</v>
      </c>
      <c r="D38" s="1" t="s">
        <v>434</v>
      </c>
      <c r="E38" s="1" t="s">
        <v>545</v>
      </c>
      <c r="F38" s="1" t="s">
        <v>803</v>
      </c>
      <c r="G38" s="1" t="s">
        <v>807</v>
      </c>
      <c r="H38" s="1" t="s">
        <v>812</v>
      </c>
      <c r="I38" s="1" t="s">
        <v>813</v>
      </c>
      <c r="J38" s="1" t="s">
        <v>818</v>
      </c>
      <c r="K38" s="1" t="s">
        <v>821</v>
      </c>
      <c r="L38" s="1" t="s">
        <v>842</v>
      </c>
      <c r="M38" s="1">
        <v>7</v>
      </c>
      <c r="N38" s="1">
        <v>1050.5</v>
      </c>
      <c r="O38" s="1">
        <v>7353.5</v>
      </c>
      <c r="P38" s="1">
        <v>0.05</v>
      </c>
      <c r="Q38" s="1">
        <v>6985.82</v>
      </c>
      <c r="R38" s="1">
        <v>4321.8</v>
      </c>
      <c r="S38" s="1">
        <f t="shared" si="1"/>
        <v>2664.0199999999995</v>
      </c>
      <c r="T38" s="1" t="s">
        <v>874</v>
      </c>
      <c r="U38" s="1" t="s">
        <v>877</v>
      </c>
      <c r="V38" s="5" t="s">
        <v>883</v>
      </c>
    </row>
    <row r="39" spans="1:22" x14ac:dyDescent="0.3">
      <c r="A39" s="4" t="s">
        <v>61</v>
      </c>
      <c r="B39" s="3">
        <v>45478</v>
      </c>
      <c r="C39" s="1" t="str">
        <f t="shared" si="0"/>
        <v>July</v>
      </c>
      <c r="D39" s="1" t="s">
        <v>368</v>
      </c>
      <c r="E39" s="1" t="s">
        <v>546</v>
      </c>
      <c r="F39" s="1" t="s">
        <v>803</v>
      </c>
      <c r="G39" s="1" t="s">
        <v>805</v>
      </c>
      <c r="H39" s="1" t="s">
        <v>811</v>
      </c>
      <c r="I39" s="1" t="s">
        <v>816</v>
      </c>
      <c r="J39" s="1" t="s">
        <v>819</v>
      </c>
      <c r="K39" s="1" t="s">
        <v>821</v>
      </c>
      <c r="L39" s="1" t="s">
        <v>838</v>
      </c>
      <c r="M39" s="1">
        <v>8</v>
      </c>
      <c r="N39" s="1">
        <v>3182.89</v>
      </c>
      <c r="O39" s="1">
        <v>25463.119999999999</v>
      </c>
      <c r="P39" s="1">
        <v>0.15</v>
      </c>
      <c r="Q39" s="1">
        <v>21643.65</v>
      </c>
      <c r="R39" s="1">
        <v>15118.53</v>
      </c>
      <c r="S39" s="1">
        <f t="shared" si="1"/>
        <v>6525.1200000000008</v>
      </c>
      <c r="T39" s="1" t="s">
        <v>873</v>
      </c>
      <c r="U39" s="1" t="s">
        <v>879</v>
      </c>
      <c r="V39" s="5" t="s">
        <v>884</v>
      </c>
    </row>
    <row r="40" spans="1:22" x14ac:dyDescent="0.3">
      <c r="A40" s="4" t="s">
        <v>62</v>
      </c>
      <c r="B40" s="3">
        <v>45453</v>
      </c>
      <c r="C40" s="1" t="str">
        <f t="shared" si="0"/>
        <v>June</v>
      </c>
      <c r="D40" s="1" t="s">
        <v>449</v>
      </c>
      <c r="E40" s="1" t="s">
        <v>547</v>
      </c>
      <c r="F40" s="1" t="s">
        <v>803</v>
      </c>
      <c r="G40" s="1" t="s">
        <v>804</v>
      </c>
      <c r="H40" s="1" t="s">
        <v>812</v>
      </c>
      <c r="I40" s="1" t="s">
        <v>815</v>
      </c>
      <c r="J40" s="1" t="s">
        <v>819</v>
      </c>
      <c r="K40" s="1" t="s">
        <v>820</v>
      </c>
      <c r="L40" s="1" t="s">
        <v>832</v>
      </c>
      <c r="M40" s="1">
        <v>6</v>
      </c>
      <c r="N40" s="1">
        <v>405.4</v>
      </c>
      <c r="O40" s="1">
        <v>2432.4</v>
      </c>
      <c r="P40" s="1">
        <v>0.1</v>
      </c>
      <c r="Q40" s="1">
        <v>2189.16</v>
      </c>
      <c r="R40" s="1">
        <v>1772.73</v>
      </c>
      <c r="S40" s="1">
        <f t="shared" si="1"/>
        <v>416.42999999999984</v>
      </c>
      <c r="T40" s="1" t="s">
        <v>873</v>
      </c>
      <c r="U40" s="1" t="s">
        <v>881</v>
      </c>
      <c r="V40" s="5" t="s">
        <v>882</v>
      </c>
    </row>
    <row r="41" spans="1:22" x14ac:dyDescent="0.3">
      <c r="A41" s="4" t="s">
        <v>63</v>
      </c>
      <c r="B41" s="3">
        <v>45476</v>
      </c>
      <c r="C41" s="1" t="str">
        <f t="shared" si="0"/>
        <v>July</v>
      </c>
      <c r="D41" s="1" t="s">
        <v>368</v>
      </c>
      <c r="E41" s="1" t="s">
        <v>548</v>
      </c>
      <c r="F41" s="1" t="s">
        <v>802</v>
      </c>
      <c r="G41" s="1" t="s">
        <v>806</v>
      </c>
      <c r="H41" s="1" t="s">
        <v>810</v>
      </c>
      <c r="I41" s="1" t="s">
        <v>815</v>
      </c>
      <c r="J41" s="1" t="s">
        <v>819</v>
      </c>
      <c r="K41" s="1" t="s">
        <v>821</v>
      </c>
      <c r="L41" s="1" t="s">
        <v>827</v>
      </c>
      <c r="M41" s="1">
        <v>5</v>
      </c>
      <c r="N41" s="1">
        <v>3048.19</v>
      </c>
      <c r="O41" s="1">
        <v>15240.95</v>
      </c>
      <c r="P41" s="1">
        <v>0.1</v>
      </c>
      <c r="Q41" s="1">
        <v>13716.86</v>
      </c>
      <c r="R41" s="1">
        <v>8578.9</v>
      </c>
      <c r="S41" s="1">
        <f t="shared" si="1"/>
        <v>5137.9600000000009</v>
      </c>
      <c r="T41" s="1" t="s">
        <v>875</v>
      </c>
      <c r="U41" s="1" t="s">
        <v>879</v>
      </c>
      <c r="V41" s="5" t="s">
        <v>884</v>
      </c>
    </row>
    <row r="42" spans="1:22" x14ac:dyDescent="0.3">
      <c r="A42" s="4" t="s">
        <v>64</v>
      </c>
      <c r="B42" s="3">
        <v>45306</v>
      </c>
      <c r="C42" s="1" t="str">
        <f t="shared" si="0"/>
        <v>January</v>
      </c>
      <c r="D42" s="1" t="s">
        <v>450</v>
      </c>
      <c r="E42" s="1" t="s">
        <v>549</v>
      </c>
      <c r="F42" s="1" t="s">
        <v>802</v>
      </c>
      <c r="G42" s="1" t="s">
        <v>805</v>
      </c>
      <c r="H42" s="1" t="s">
        <v>811</v>
      </c>
      <c r="I42" s="1" t="s">
        <v>814</v>
      </c>
      <c r="J42" s="1" t="s">
        <v>817</v>
      </c>
      <c r="K42" s="1" t="s">
        <v>821</v>
      </c>
      <c r="L42" s="1" t="s">
        <v>839</v>
      </c>
      <c r="M42" s="1">
        <v>11</v>
      </c>
      <c r="N42" s="1">
        <v>1640.13</v>
      </c>
      <c r="O42" s="1">
        <v>18041.43</v>
      </c>
      <c r="P42" s="1">
        <v>0.05</v>
      </c>
      <c r="Q42" s="1">
        <v>17139.36</v>
      </c>
      <c r="R42" s="1">
        <v>13366.87</v>
      </c>
      <c r="S42" s="1">
        <f t="shared" si="1"/>
        <v>3772.49</v>
      </c>
      <c r="T42" s="1" t="s">
        <v>873</v>
      </c>
      <c r="U42" s="1" t="s">
        <v>877</v>
      </c>
      <c r="V42" s="5" t="s">
        <v>883</v>
      </c>
    </row>
    <row r="43" spans="1:22" x14ac:dyDescent="0.3">
      <c r="A43" s="4" t="s">
        <v>65</v>
      </c>
      <c r="B43" s="3">
        <v>45357</v>
      </c>
      <c r="C43" s="1" t="str">
        <f t="shared" si="0"/>
        <v>March</v>
      </c>
      <c r="D43" s="1" t="s">
        <v>419</v>
      </c>
      <c r="E43" s="1" t="s">
        <v>550</v>
      </c>
      <c r="F43" s="1" t="s">
        <v>801</v>
      </c>
      <c r="G43" s="1" t="s">
        <v>806</v>
      </c>
      <c r="H43" s="1" t="s">
        <v>812</v>
      </c>
      <c r="I43" s="1" t="s">
        <v>816</v>
      </c>
      <c r="J43" s="1" t="s">
        <v>818</v>
      </c>
      <c r="K43" s="1" t="s">
        <v>821</v>
      </c>
      <c r="L43" s="1" t="s">
        <v>832</v>
      </c>
      <c r="M43" s="1">
        <v>8</v>
      </c>
      <c r="N43" s="1">
        <v>1686.09</v>
      </c>
      <c r="O43" s="1">
        <v>13488.72</v>
      </c>
      <c r="P43" s="1">
        <v>0.1</v>
      </c>
      <c r="Q43" s="1">
        <v>12139.85</v>
      </c>
      <c r="R43" s="1">
        <v>8187.64</v>
      </c>
      <c r="S43" s="1">
        <f t="shared" si="1"/>
        <v>3952.21</v>
      </c>
      <c r="T43" s="1" t="s">
        <v>876</v>
      </c>
      <c r="U43" s="1" t="s">
        <v>880</v>
      </c>
      <c r="V43" s="5" t="s">
        <v>883</v>
      </c>
    </row>
    <row r="44" spans="1:22" x14ac:dyDescent="0.3">
      <c r="A44" s="4" t="s">
        <v>66</v>
      </c>
      <c r="B44" s="3">
        <v>45374</v>
      </c>
      <c r="C44" s="1" t="str">
        <f t="shared" si="0"/>
        <v>March</v>
      </c>
      <c r="D44" s="1" t="s">
        <v>334</v>
      </c>
      <c r="E44" s="1" t="s">
        <v>551</v>
      </c>
      <c r="F44" s="1" t="s">
        <v>801</v>
      </c>
      <c r="G44" s="1" t="s">
        <v>805</v>
      </c>
      <c r="H44" s="1" t="s">
        <v>811</v>
      </c>
      <c r="I44" s="1" t="s">
        <v>813</v>
      </c>
      <c r="J44" s="1" t="s">
        <v>818</v>
      </c>
      <c r="K44" s="1" t="s">
        <v>820</v>
      </c>
      <c r="L44" s="1" t="s">
        <v>829</v>
      </c>
      <c r="M44" s="1">
        <v>4</v>
      </c>
      <c r="N44" s="1">
        <v>1951.87</v>
      </c>
      <c r="O44" s="1">
        <v>7807.48</v>
      </c>
      <c r="P44" s="1">
        <v>0.15</v>
      </c>
      <c r="Q44" s="1">
        <v>6636.36</v>
      </c>
      <c r="R44" s="1">
        <v>4894.96</v>
      </c>
      <c r="S44" s="1">
        <f t="shared" si="1"/>
        <v>1741.3999999999996</v>
      </c>
      <c r="T44" s="1" t="s">
        <v>876</v>
      </c>
      <c r="U44" s="1" t="s">
        <v>880</v>
      </c>
      <c r="V44" s="5" t="s">
        <v>884</v>
      </c>
    </row>
    <row r="45" spans="1:22" x14ac:dyDescent="0.3">
      <c r="A45" s="4" t="s">
        <v>67</v>
      </c>
      <c r="B45" s="3">
        <v>45576</v>
      </c>
      <c r="C45" s="1" t="str">
        <f t="shared" si="0"/>
        <v>October</v>
      </c>
      <c r="D45" s="1" t="s">
        <v>443</v>
      </c>
      <c r="E45" s="1" t="s">
        <v>552</v>
      </c>
      <c r="F45" s="1" t="s">
        <v>803</v>
      </c>
      <c r="G45" s="1" t="s">
        <v>805</v>
      </c>
      <c r="H45" s="1" t="s">
        <v>811</v>
      </c>
      <c r="I45" s="1" t="s">
        <v>816</v>
      </c>
      <c r="J45" s="1" t="s">
        <v>818</v>
      </c>
      <c r="K45" s="1" t="s">
        <v>821</v>
      </c>
      <c r="L45" s="1" t="s">
        <v>833</v>
      </c>
      <c r="M45" s="1">
        <v>6</v>
      </c>
      <c r="N45" s="1">
        <v>1141.29</v>
      </c>
      <c r="O45" s="1">
        <v>6847.74</v>
      </c>
      <c r="P45" s="1">
        <v>0.1</v>
      </c>
      <c r="Q45" s="1">
        <v>6162.97</v>
      </c>
      <c r="R45" s="1">
        <v>4944.79</v>
      </c>
      <c r="S45" s="1">
        <f t="shared" si="1"/>
        <v>1218.1800000000003</v>
      </c>
      <c r="T45" s="1" t="s">
        <v>873</v>
      </c>
      <c r="U45" s="1" t="s">
        <v>879</v>
      </c>
      <c r="V45" s="5" t="s">
        <v>884</v>
      </c>
    </row>
    <row r="46" spans="1:22" x14ac:dyDescent="0.3">
      <c r="A46" s="4" t="s">
        <v>68</v>
      </c>
      <c r="B46" s="3">
        <v>45323</v>
      </c>
      <c r="C46" s="1" t="str">
        <f t="shared" si="0"/>
        <v>February</v>
      </c>
      <c r="D46" s="1" t="s">
        <v>451</v>
      </c>
      <c r="E46" s="1" t="s">
        <v>553</v>
      </c>
      <c r="F46" s="1" t="s">
        <v>802</v>
      </c>
      <c r="G46" s="1" t="s">
        <v>806</v>
      </c>
      <c r="H46" s="1" t="s">
        <v>809</v>
      </c>
      <c r="I46" s="1" t="s">
        <v>815</v>
      </c>
      <c r="J46" s="1" t="s">
        <v>817</v>
      </c>
      <c r="K46" s="1" t="s">
        <v>822</v>
      </c>
      <c r="L46" s="1" t="s">
        <v>832</v>
      </c>
      <c r="M46" s="1">
        <v>5</v>
      </c>
      <c r="N46" s="1">
        <v>2180.27</v>
      </c>
      <c r="O46" s="1">
        <v>10901.35</v>
      </c>
      <c r="P46" s="1">
        <v>0.1</v>
      </c>
      <c r="Q46" s="1">
        <v>9811.2199999999993</v>
      </c>
      <c r="R46" s="1">
        <v>6195.48</v>
      </c>
      <c r="S46" s="1">
        <f t="shared" si="1"/>
        <v>3615.74</v>
      </c>
      <c r="T46" s="1" t="s">
        <v>873</v>
      </c>
      <c r="U46" s="1" t="s">
        <v>878</v>
      </c>
      <c r="V46" s="5" t="s">
        <v>884</v>
      </c>
    </row>
    <row r="47" spans="1:22" x14ac:dyDescent="0.3">
      <c r="A47" s="4" t="s">
        <v>69</v>
      </c>
      <c r="B47" s="3">
        <v>45303</v>
      </c>
      <c r="C47" s="1" t="str">
        <f t="shared" si="0"/>
        <v>January</v>
      </c>
      <c r="D47" s="1" t="s">
        <v>452</v>
      </c>
      <c r="E47" s="1" t="s">
        <v>554</v>
      </c>
      <c r="F47" s="1" t="s">
        <v>803</v>
      </c>
      <c r="G47" s="1" t="s">
        <v>804</v>
      </c>
      <c r="H47" s="1" t="s">
        <v>811</v>
      </c>
      <c r="I47" s="1" t="s">
        <v>814</v>
      </c>
      <c r="J47" s="1" t="s">
        <v>819</v>
      </c>
      <c r="K47" s="1" t="s">
        <v>822</v>
      </c>
      <c r="L47" s="1" t="s">
        <v>829</v>
      </c>
      <c r="M47" s="1">
        <v>1</v>
      </c>
      <c r="N47" s="1">
        <v>1718.12</v>
      </c>
      <c r="O47" s="1">
        <v>1718.12</v>
      </c>
      <c r="P47" s="1">
        <v>0.15</v>
      </c>
      <c r="Q47" s="1">
        <v>1460.4</v>
      </c>
      <c r="R47" s="1">
        <v>1229.76</v>
      </c>
      <c r="S47" s="1">
        <f t="shared" si="1"/>
        <v>230.6400000000001</v>
      </c>
      <c r="T47" s="1" t="s">
        <v>876</v>
      </c>
      <c r="U47" s="1" t="s">
        <v>880</v>
      </c>
      <c r="V47" s="5" t="s">
        <v>882</v>
      </c>
    </row>
    <row r="48" spans="1:22" x14ac:dyDescent="0.3">
      <c r="A48" s="4" t="s">
        <v>70</v>
      </c>
      <c r="B48" s="3">
        <v>45369</v>
      </c>
      <c r="C48" s="1" t="str">
        <f t="shared" si="0"/>
        <v>March</v>
      </c>
      <c r="D48" s="1" t="s">
        <v>327</v>
      </c>
      <c r="E48" s="1" t="s">
        <v>555</v>
      </c>
      <c r="F48" s="1" t="s">
        <v>803</v>
      </c>
      <c r="G48" s="1" t="s">
        <v>806</v>
      </c>
      <c r="H48" s="1" t="s">
        <v>810</v>
      </c>
      <c r="I48" s="1" t="s">
        <v>814</v>
      </c>
      <c r="J48" s="1" t="s">
        <v>817</v>
      </c>
      <c r="K48" s="1" t="s">
        <v>821</v>
      </c>
      <c r="L48" s="1" t="s">
        <v>850</v>
      </c>
      <c r="M48" s="1">
        <v>11</v>
      </c>
      <c r="N48" s="1">
        <v>737.56</v>
      </c>
      <c r="O48" s="1">
        <v>8113.16</v>
      </c>
      <c r="P48" s="1">
        <v>0.15</v>
      </c>
      <c r="Q48" s="1">
        <v>6896.19</v>
      </c>
      <c r="R48" s="1">
        <v>4284.26</v>
      </c>
      <c r="S48" s="1">
        <f t="shared" si="1"/>
        <v>2611.9299999999994</v>
      </c>
      <c r="T48" s="1" t="s">
        <v>874</v>
      </c>
      <c r="U48" s="1" t="s">
        <v>880</v>
      </c>
      <c r="V48" s="5" t="s">
        <v>883</v>
      </c>
    </row>
    <row r="49" spans="1:22" x14ac:dyDescent="0.3">
      <c r="A49" s="4" t="s">
        <v>71</v>
      </c>
      <c r="B49" s="3">
        <v>45420</v>
      </c>
      <c r="C49" s="1" t="str">
        <f t="shared" si="0"/>
        <v>May</v>
      </c>
      <c r="D49" s="1" t="s">
        <v>358</v>
      </c>
      <c r="E49" s="1" t="s">
        <v>556</v>
      </c>
      <c r="F49" s="1" t="s">
        <v>802</v>
      </c>
      <c r="G49" s="1" t="s">
        <v>806</v>
      </c>
      <c r="H49" s="1" t="s">
        <v>811</v>
      </c>
      <c r="I49" s="1" t="s">
        <v>815</v>
      </c>
      <c r="J49" s="1" t="s">
        <v>817</v>
      </c>
      <c r="K49" s="1" t="s">
        <v>821</v>
      </c>
      <c r="L49" s="1" t="s">
        <v>851</v>
      </c>
      <c r="M49" s="1">
        <v>11</v>
      </c>
      <c r="N49" s="1">
        <v>1756.03</v>
      </c>
      <c r="O49" s="1">
        <v>19316.330000000002</v>
      </c>
      <c r="P49" s="1">
        <v>0</v>
      </c>
      <c r="Q49" s="1">
        <v>19316.330000000002</v>
      </c>
      <c r="R49" s="1">
        <v>12070.03</v>
      </c>
      <c r="S49" s="1">
        <f t="shared" si="1"/>
        <v>7246.3000000000011</v>
      </c>
      <c r="T49" s="1" t="s">
        <v>876</v>
      </c>
      <c r="U49" s="1" t="s">
        <v>881</v>
      </c>
      <c r="V49" s="5" t="s">
        <v>884</v>
      </c>
    </row>
    <row r="50" spans="1:22" x14ac:dyDescent="0.3">
      <c r="A50" s="4" t="s">
        <v>72</v>
      </c>
      <c r="B50" s="3">
        <v>45527</v>
      </c>
      <c r="C50" s="1" t="str">
        <f t="shared" si="0"/>
        <v>August</v>
      </c>
      <c r="D50" s="1" t="s">
        <v>423</v>
      </c>
      <c r="E50" s="1" t="s">
        <v>557</v>
      </c>
      <c r="F50" s="1" t="s">
        <v>802</v>
      </c>
      <c r="G50" s="1" t="s">
        <v>806</v>
      </c>
      <c r="H50" s="1" t="s">
        <v>809</v>
      </c>
      <c r="I50" s="1" t="s">
        <v>816</v>
      </c>
      <c r="J50" s="1" t="s">
        <v>818</v>
      </c>
      <c r="K50" s="1" t="s">
        <v>821</v>
      </c>
      <c r="L50" s="1" t="s">
        <v>852</v>
      </c>
      <c r="M50" s="1">
        <v>6</v>
      </c>
      <c r="N50" s="1">
        <v>2398.1799999999998</v>
      </c>
      <c r="O50" s="1">
        <v>14389.08</v>
      </c>
      <c r="P50" s="1">
        <v>0.05</v>
      </c>
      <c r="Q50" s="1">
        <v>13669.63</v>
      </c>
      <c r="R50" s="1">
        <v>9826.09</v>
      </c>
      <c r="S50" s="1">
        <f t="shared" si="1"/>
        <v>3843.5399999999991</v>
      </c>
      <c r="T50" s="1" t="s">
        <v>876</v>
      </c>
      <c r="U50" s="1" t="s">
        <v>877</v>
      </c>
      <c r="V50" s="5" t="s">
        <v>882</v>
      </c>
    </row>
    <row r="51" spans="1:22" x14ac:dyDescent="0.3">
      <c r="A51" s="4" t="s">
        <v>73</v>
      </c>
      <c r="B51" s="3">
        <v>45547</v>
      </c>
      <c r="C51" s="1" t="str">
        <f t="shared" si="0"/>
        <v>September</v>
      </c>
      <c r="D51" s="1" t="s">
        <v>398</v>
      </c>
      <c r="E51" s="1" t="s">
        <v>558</v>
      </c>
      <c r="F51" s="1" t="s">
        <v>801</v>
      </c>
      <c r="G51" s="1" t="s">
        <v>806</v>
      </c>
      <c r="H51" s="1" t="s">
        <v>811</v>
      </c>
      <c r="I51" s="1" t="s">
        <v>809</v>
      </c>
      <c r="J51" s="1" t="s">
        <v>818</v>
      </c>
      <c r="K51" s="1" t="s">
        <v>822</v>
      </c>
      <c r="L51" s="1" t="s">
        <v>850</v>
      </c>
      <c r="M51" s="1">
        <v>11</v>
      </c>
      <c r="N51" s="1">
        <v>1702.05</v>
      </c>
      <c r="O51" s="1">
        <v>18722.55</v>
      </c>
      <c r="P51" s="1">
        <v>0.1</v>
      </c>
      <c r="Q51" s="1">
        <v>16850.29</v>
      </c>
      <c r="R51" s="1">
        <v>11069.97</v>
      </c>
      <c r="S51" s="1">
        <f t="shared" si="1"/>
        <v>5780.3200000000015</v>
      </c>
      <c r="T51" s="1" t="s">
        <v>873</v>
      </c>
      <c r="U51" s="1" t="s">
        <v>879</v>
      </c>
      <c r="V51" s="5" t="s">
        <v>883</v>
      </c>
    </row>
    <row r="52" spans="1:22" x14ac:dyDescent="0.3">
      <c r="A52" s="4" t="s">
        <v>74</v>
      </c>
      <c r="B52" s="3">
        <v>45494</v>
      </c>
      <c r="C52" s="1" t="str">
        <f t="shared" si="0"/>
        <v>July</v>
      </c>
      <c r="D52" s="1" t="s">
        <v>375</v>
      </c>
      <c r="E52" s="1" t="s">
        <v>559</v>
      </c>
      <c r="F52" s="1" t="s">
        <v>801</v>
      </c>
      <c r="G52" s="1" t="s">
        <v>806</v>
      </c>
      <c r="H52" s="1" t="s">
        <v>810</v>
      </c>
      <c r="I52" s="1" t="s">
        <v>816</v>
      </c>
      <c r="J52" s="1" t="s">
        <v>817</v>
      </c>
      <c r="K52" s="1" t="s">
        <v>822</v>
      </c>
      <c r="L52" s="1" t="s">
        <v>853</v>
      </c>
      <c r="M52" s="1">
        <v>1</v>
      </c>
      <c r="N52" s="1">
        <v>2870.9</v>
      </c>
      <c r="O52" s="1">
        <v>2870.9</v>
      </c>
      <c r="P52" s="1">
        <v>0</v>
      </c>
      <c r="Q52" s="1">
        <v>2870.9</v>
      </c>
      <c r="R52" s="1">
        <v>1869.83</v>
      </c>
      <c r="S52" s="1">
        <f t="shared" si="1"/>
        <v>1001.0700000000002</v>
      </c>
      <c r="T52" s="1" t="s">
        <v>874</v>
      </c>
      <c r="U52" s="1" t="s">
        <v>877</v>
      </c>
      <c r="V52" s="5" t="s">
        <v>883</v>
      </c>
    </row>
    <row r="53" spans="1:22" x14ac:dyDescent="0.3">
      <c r="A53" s="4" t="s">
        <v>75</v>
      </c>
      <c r="B53" s="3">
        <v>45545</v>
      </c>
      <c r="C53" s="1" t="str">
        <f t="shared" si="0"/>
        <v>September</v>
      </c>
      <c r="D53" s="1" t="s">
        <v>429</v>
      </c>
      <c r="E53" s="1" t="s">
        <v>560</v>
      </c>
      <c r="F53" s="1" t="s">
        <v>802</v>
      </c>
      <c r="G53" s="1" t="s">
        <v>806</v>
      </c>
      <c r="H53" s="1" t="s">
        <v>811</v>
      </c>
      <c r="I53" s="1" t="s">
        <v>809</v>
      </c>
      <c r="J53" s="1" t="s">
        <v>817</v>
      </c>
      <c r="K53" s="1" t="s">
        <v>820</v>
      </c>
      <c r="L53" s="1" t="s">
        <v>854</v>
      </c>
      <c r="M53" s="1">
        <v>3</v>
      </c>
      <c r="N53" s="1">
        <v>3179.08</v>
      </c>
      <c r="O53" s="1">
        <v>9537.24</v>
      </c>
      <c r="P53" s="1">
        <v>0.15</v>
      </c>
      <c r="Q53" s="1">
        <v>8106.65</v>
      </c>
      <c r="R53" s="1">
        <v>5709.17</v>
      </c>
      <c r="S53" s="1">
        <f t="shared" si="1"/>
        <v>2397.4799999999996</v>
      </c>
      <c r="T53" s="1" t="s">
        <v>875</v>
      </c>
      <c r="U53" s="1" t="s">
        <v>878</v>
      </c>
      <c r="V53" s="5" t="s">
        <v>882</v>
      </c>
    </row>
    <row r="54" spans="1:22" x14ac:dyDescent="0.3">
      <c r="A54" s="4" t="s">
        <v>76</v>
      </c>
      <c r="B54" s="3">
        <v>45322</v>
      </c>
      <c r="C54" s="1" t="str">
        <f t="shared" si="0"/>
        <v>January</v>
      </c>
      <c r="D54" s="1" t="s">
        <v>453</v>
      </c>
      <c r="E54" s="1" t="s">
        <v>561</v>
      </c>
      <c r="F54" s="1" t="s">
        <v>803</v>
      </c>
      <c r="G54" s="1" t="s">
        <v>807</v>
      </c>
      <c r="H54" s="1" t="s">
        <v>810</v>
      </c>
      <c r="I54" s="1" t="s">
        <v>813</v>
      </c>
      <c r="J54" s="1" t="s">
        <v>818</v>
      </c>
      <c r="K54" s="1" t="s">
        <v>821</v>
      </c>
      <c r="L54" s="1" t="s">
        <v>855</v>
      </c>
      <c r="M54" s="1">
        <v>7</v>
      </c>
      <c r="N54" s="1">
        <v>1793.89</v>
      </c>
      <c r="O54" s="1">
        <v>12557.23</v>
      </c>
      <c r="P54" s="1">
        <v>0.1</v>
      </c>
      <c r="Q54" s="1">
        <v>11301.51</v>
      </c>
      <c r="R54" s="1">
        <v>8851.1299999999992</v>
      </c>
      <c r="S54" s="1">
        <f t="shared" si="1"/>
        <v>2450.380000000001</v>
      </c>
      <c r="T54" s="1" t="s">
        <v>873</v>
      </c>
      <c r="U54" s="1" t="s">
        <v>877</v>
      </c>
      <c r="V54" s="5" t="s">
        <v>884</v>
      </c>
    </row>
    <row r="55" spans="1:22" x14ac:dyDescent="0.3">
      <c r="A55" s="4" t="s">
        <v>77</v>
      </c>
      <c r="B55" s="3">
        <v>45485</v>
      </c>
      <c r="C55" s="1" t="str">
        <f t="shared" si="0"/>
        <v>July</v>
      </c>
      <c r="D55" s="1" t="s">
        <v>356</v>
      </c>
      <c r="E55" s="1" t="s">
        <v>562</v>
      </c>
      <c r="F55" s="1" t="s">
        <v>803</v>
      </c>
      <c r="G55" s="1" t="s">
        <v>807</v>
      </c>
      <c r="H55" s="1" t="s">
        <v>809</v>
      </c>
      <c r="I55" s="1" t="s">
        <v>815</v>
      </c>
      <c r="J55" s="1" t="s">
        <v>819</v>
      </c>
      <c r="K55" s="1" t="s">
        <v>820</v>
      </c>
      <c r="L55" s="1" t="s">
        <v>846</v>
      </c>
      <c r="M55" s="1">
        <v>6</v>
      </c>
      <c r="N55" s="1">
        <v>3453.45</v>
      </c>
      <c r="O55" s="1">
        <v>20720.7</v>
      </c>
      <c r="P55" s="1">
        <v>0.15</v>
      </c>
      <c r="Q55" s="1">
        <v>17612.599999999999</v>
      </c>
      <c r="R55" s="1">
        <v>11312.84</v>
      </c>
      <c r="S55" s="1">
        <f t="shared" si="1"/>
        <v>6299.7599999999984</v>
      </c>
      <c r="T55" s="1" t="s">
        <v>875</v>
      </c>
      <c r="U55" s="1" t="s">
        <v>878</v>
      </c>
      <c r="V55" s="5" t="s">
        <v>884</v>
      </c>
    </row>
    <row r="56" spans="1:22" x14ac:dyDescent="0.3">
      <c r="A56" s="4" t="s">
        <v>78</v>
      </c>
      <c r="B56" s="3">
        <v>45450</v>
      </c>
      <c r="C56" s="1" t="str">
        <f t="shared" si="0"/>
        <v>June</v>
      </c>
      <c r="D56" s="1" t="s">
        <v>319</v>
      </c>
      <c r="E56" s="1" t="s">
        <v>563</v>
      </c>
      <c r="F56" s="1" t="s">
        <v>801</v>
      </c>
      <c r="G56" s="1" t="s">
        <v>806</v>
      </c>
      <c r="H56" s="1" t="s">
        <v>812</v>
      </c>
      <c r="I56" s="1" t="s">
        <v>815</v>
      </c>
      <c r="J56" s="1" t="s">
        <v>818</v>
      </c>
      <c r="K56" s="1" t="s">
        <v>822</v>
      </c>
      <c r="L56" s="1" t="s">
        <v>856</v>
      </c>
      <c r="M56" s="1">
        <v>7</v>
      </c>
      <c r="N56" s="1">
        <v>672.06</v>
      </c>
      <c r="O56" s="1">
        <v>4704.42</v>
      </c>
      <c r="P56" s="1">
        <v>0.15</v>
      </c>
      <c r="Q56" s="1">
        <v>3998.76</v>
      </c>
      <c r="R56" s="1">
        <v>2594.91</v>
      </c>
      <c r="S56" s="1">
        <f t="shared" si="1"/>
        <v>1403.8500000000004</v>
      </c>
      <c r="T56" s="1" t="s">
        <v>873</v>
      </c>
      <c r="U56" s="1" t="s">
        <v>880</v>
      </c>
      <c r="V56" s="5" t="s">
        <v>883</v>
      </c>
    </row>
    <row r="57" spans="1:22" x14ac:dyDescent="0.3">
      <c r="A57" s="4" t="s">
        <v>79</v>
      </c>
      <c r="B57" s="3">
        <v>45499</v>
      </c>
      <c r="C57" s="1" t="str">
        <f t="shared" si="0"/>
        <v>July</v>
      </c>
      <c r="D57" s="1" t="s">
        <v>415</v>
      </c>
      <c r="E57" s="1" t="s">
        <v>564</v>
      </c>
      <c r="F57" s="1" t="s">
        <v>801</v>
      </c>
      <c r="G57" s="1" t="s">
        <v>806</v>
      </c>
      <c r="H57" s="1" t="s">
        <v>809</v>
      </c>
      <c r="I57" s="1" t="s">
        <v>814</v>
      </c>
      <c r="J57" s="1" t="s">
        <v>819</v>
      </c>
      <c r="K57" s="1" t="s">
        <v>822</v>
      </c>
      <c r="L57" s="1" t="s">
        <v>849</v>
      </c>
      <c r="M57" s="1">
        <v>7</v>
      </c>
      <c r="N57" s="1">
        <v>508.05</v>
      </c>
      <c r="O57" s="1">
        <v>3556.35</v>
      </c>
      <c r="P57" s="1">
        <v>0</v>
      </c>
      <c r="Q57" s="1">
        <v>3556.35</v>
      </c>
      <c r="R57" s="1">
        <v>2848.05</v>
      </c>
      <c r="S57" s="1">
        <f t="shared" si="1"/>
        <v>708.29999999999973</v>
      </c>
      <c r="T57" s="1" t="s">
        <v>874</v>
      </c>
      <c r="U57" s="1" t="s">
        <v>881</v>
      </c>
      <c r="V57" s="5" t="s">
        <v>882</v>
      </c>
    </row>
    <row r="58" spans="1:22" x14ac:dyDescent="0.3">
      <c r="A58" s="4" t="s">
        <v>80</v>
      </c>
      <c r="B58" s="3">
        <v>45426</v>
      </c>
      <c r="C58" s="1" t="str">
        <f t="shared" si="0"/>
        <v>May</v>
      </c>
      <c r="D58" s="1" t="s">
        <v>454</v>
      </c>
      <c r="E58" s="1" t="s">
        <v>565</v>
      </c>
      <c r="F58" s="1" t="s">
        <v>803</v>
      </c>
      <c r="G58" s="1" t="s">
        <v>806</v>
      </c>
      <c r="H58" s="1" t="s">
        <v>809</v>
      </c>
      <c r="I58" s="1" t="s">
        <v>816</v>
      </c>
      <c r="J58" s="1" t="s">
        <v>818</v>
      </c>
      <c r="K58" s="1" t="s">
        <v>822</v>
      </c>
      <c r="L58" s="1" t="s">
        <v>857</v>
      </c>
      <c r="M58" s="1">
        <v>12</v>
      </c>
      <c r="N58" s="1">
        <v>2537.69</v>
      </c>
      <c r="O58" s="1">
        <v>30452.28</v>
      </c>
      <c r="P58" s="1">
        <v>0.1</v>
      </c>
      <c r="Q58" s="1">
        <v>27407.05</v>
      </c>
      <c r="R58" s="1">
        <v>18481.98</v>
      </c>
      <c r="S58" s="1">
        <f t="shared" si="1"/>
        <v>8925.07</v>
      </c>
      <c r="T58" s="1" t="s">
        <v>873</v>
      </c>
      <c r="U58" s="1" t="s">
        <v>879</v>
      </c>
      <c r="V58" s="5" t="s">
        <v>884</v>
      </c>
    </row>
    <row r="59" spans="1:22" x14ac:dyDescent="0.3">
      <c r="A59" s="4" t="s">
        <v>81</v>
      </c>
      <c r="B59" s="3">
        <v>45544</v>
      </c>
      <c r="C59" s="1" t="str">
        <f t="shared" si="0"/>
        <v>September</v>
      </c>
      <c r="D59" s="1" t="s">
        <v>323</v>
      </c>
      <c r="E59" s="1" t="s">
        <v>566</v>
      </c>
      <c r="F59" s="1" t="s">
        <v>802</v>
      </c>
      <c r="G59" s="1" t="s">
        <v>806</v>
      </c>
      <c r="H59" s="1" t="s">
        <v>812</v>
      </c>
      <c r="I59" s="1" t="s">
        <v>815</v>
      </c>
      <c r="J59" s="1" t="s">
        <v>819</v>
      </c>
      <c r="K59" s="1" t="s">
        <v>822</v>
      </c>
      <c r="L59" s="1" t="s">
        <v>854</v>
      </c>
      <c r="M59" s="1">
        <v>8</v>
      </c>
      <c r="N59" s="1">
        <v>967.11</v>
      </c>
      <c r="O59" s="1">
        <v>7736.88</v>
      </c>
      <c r="P59" s="1">
        <v>0.1</v>
      </c>
      <c r="Q59" s="1">
        <v>6963.19</v>
      </c>
      <c r="R59" s="1">
        <v>5610.16</v>
      </c>
      <c r="S59" s="1">
        <f t="shared" si="1"/>
        <v>1353.0299999999997</v>
      </c>
      <c r="T59" s="1" t="s">
        <v>876</v>
      </c>
      <c r="U59" s="1" t="s">
        <v>881</v>
      </c>
      <c r="V59" s="5" t="s">
        <v>882</v>
      </c>
    </row>
    <row r="60" spans="1:22" x14ac:dyDescent="0.3">
      <c r="A60" s="4" t="s">
        <v>82</v>
      </c>
      <c r="B60" s="3">
        <v>45492</v>
      </c>
      <c r="C60" s="1" t="str">
        <f t="shared" si="0"/>
        <v>July</v>
      </c>
      <c r="D60" s="1" t="s">
        <v>353</v>
      </c>
      <c r="E60" s="1" t="s">
        <v>567</v>
      </c>
      <c r="F60" s="1" t="s">
        <v>802</v>
      </c>
      <c r="G60" s="1" t="s">
        <v>807</v>
      </c>
      <c r="H60" s="1" t="s">
        <v>810</v>
      </c>
      <c r="I60" s="1" t="s">
        <v>816</v>
      </c>
      <c r="J60" s="1" t="s">
        <v>817</v>
      </c>
      <c r="K60" s="1" t="s">
        <v>820</v>
      </c>
      <c r="L60" s="1" t="s">
        <v>844</v>
      </c>
      <c r="M60" s="1">
        <v>3</v>
      </c>
      <c r="N60" s="1">
        <v>1166.6500000000001</v>
      </c>
      <c r="O60" s="1">
        <v>3499.95</v>
      </c>
      <c r="P60" s="1">
        <v>0</v>
      </c>
      <c r="Q60" s="1">
        <v>3499.95</v>
      </c>
      <c r="R60" s="1">
        <v>2668.31</v>
      </c>
      <c r="S60" s="1">
        <f t="shared" si="1"/>
        <v>831.63999999999987</v>
      </c>
      <c r="T60" s="1" t="s">
        <v>876</v>
      </c>
      <c r="U60" s="1" t="s">
        <v>880</v>
      </c>
      <c r="V60" s="5" t="s">
        <v>882</v>
      </c>
    </row>
    <row r="61" spans="1:22" x14ac:dyDescent="0.3">
      <c r="A61" s="4" t="s">
        <v>83</v>
      </c>
      <c r="B61" s="3">
        <v>45507</v>
      </c>
      <c r="C61" s="1" t="str">
        <f t="shared" si="0"/>
        <v>August</v>
      </c>
      <c r="D61" s="1" t="s">
        <v>409</v>
      </c>
      <c r="E61" s="1" t="s">
        <v>568</v>
      </c>
      <c r="F61" s="1" t="s">
        <v>801</v>
      </c>
      <c r="G61" s="1" t="s">
        <v>806</v>
      </c>
      <c r="H61" s="1" t="s">
        <v>808</v>
      </c>
      <c r="I61" s="1" t="s">
        <v>809</v>
      </c>
      <c r="J61" s="1" t="s">
        <v>819</v>
      </c>
      <c r="K61" s="1" t="s">
        <v>822</v>
      </c>
      <c r="L61" s="1" t="s">
        <v>849</v>
      </c>
      <c r="M61" s="1">
        <v>12</v>
      </c>
      <c r="N61" s="1">
        <v>3413.56</v>
      </c>
      <c r="O61" s="1">
        <v>40962.720000000001</v>
      </c>
      <c r="P61" s="1">
        <v>0.05</v>
      </c>
      <c r="Q61" s="1">
        <v>38914.58</v>
      </c>
      <c r="R61" s="1">
        <v>25627.16</v>
      </c>
      <c r="S61" s="1">
        <f t="shared" si="1"/>
        <v>13287.420000000002</v>
      </c>
      <c r="T61" s="1" t="s">
        <v>874</v>
      </c>
      <c r="U61" s="1" t="s">
        <v>879</v>
      </c>
      <c r="V61" s="5" t="s">
        <v>884</v>
      </c>
    </row>
    <row r="62" spans="1:22" x14ac:dyDescent="0.3">
      <c r="A62" s="4" t="s">
        <v>84</v>
      </c>
      <c r="B62" s="3">
        <v>45425</v>
      </c>
      <c r="C62" s="1" t="str">
        <f t="shared" si="0"/>
        <v>May</v>
      </c>
      <c r="D62" s="1" t="s">
        <v>367</v>
      </c>
      <c r="E62" s="1" t="s">
        <v>569</v>
      </c>
      <c r="F62" s="1" t="s">
        <v>802</v>
      </c>
      <c r="G62" s="1" t="s">
        <v>806</v>
      </c>
      <c r="H62" s="1" t="s">
        <v>812</v>
      </c>
      <c r="I62" s="1" t="s">
        <v>809</v>
      </c>
      <c r="J62" s="1" t="s">
        <v>819</v>
      </c>
      <c r="K62" s="1" t="s">
        <v>822</v>
      </c>
      <c r="L62" s="1" t="s">
        <v>829</v>
      </c>
      <c r="M62" s="1">
        <v>8</v>
      </c>
      <c r="N62" s="1">
        <v>1167.03</v>
      </c>
      <c r="O62" s="1">
        <v>9336.24</v>
      </c>
      <c r="P62" s="1">
        <v>0.05</v>
      </c>
      <c r="Q62" s="1">
        <v>8869.43</v>
      </c>
      <c r="R62" s="1">
        <v>5843.85</v>
      </c>
      <c r="S62" s="1">
        <f t="shared" si="1"/>
        <v>3025.58</v>
      </c>
      <c r="T62" s="1" t="s">
        <v>875</v>
      </c>
      <c r="U62" s="1" t="s">
        <v>877</v>
      </c>
      <c r="V62" s="5" t="s">
        <v>883</v>
      </c>
    </row>
    <row r="63" spans="1:22" x14ac:dyDescent="0.3">
      <c r="A63" s="4" t="s">
        <v>85</v>
      </c>
      <c r="B63" s="3">
        <v>45529</v>
      </c>
      <c r="C63" s="1" t="str">
        <f t="shared" si="0"/>
        <v>August</v>
      </c>
      <c r="D63" s="1" t="s">
        <v>423</v>
      </c>
      <c r="E63" s="1" t="s">
        <v>570</v>
      </c>
      <c r="F63" s="1" t="s">
        <v>803</v>
      </c>
      <c r="G63" s="1" t="s">
        <v>807</v>
      </c>
      <c r="H63" s="1" t="s">
        <v>810</v>
      </c>
      <c r="I63" s="1" t="s">
        <v>809</v>
      </c>
      <c r="J63" s="1" t="s">
        <v>817</v>
      </c>
      <c r="K63" s="1" t="s">
        <v>820</v>
      </c>
      <c r="L63" s="1" t="s">
        <v>854</v>
      </c>
      <c r="M63" s="1">
        <v>2</v>
      </c>
      <c r="N63" s="1">
        <v>413.93</v>
      </c>
      <c r="O63" s="1">
        <v>827.86</v>
      </c>
      <c r="P63" s="1">
        <v>0.05</v>
      </c>
      <c r="Q63" s="1">
        <v>786.47</v>
      </c>
      <c r="R63" s="1">
        <v>637.15</v>
      </c>
      <c r="S63" s="1">
        <f t="shared" si="1"/>
        <v>149.32000000000005</v>
      </c>
      <c r="T63" s="1" t="s">
        <v>875</v>
      </c>
      <c r="U63" s="1" t="s">
        <v>877</v>
      </c>
      <c r="V63" s="5" t="s">
        <v>884</v>
      </c>
    </row>
    <row r="64" spans="1:22" x14ac:dyDescent="0.3">
      <c r="A64" s="4" t="s">
        <v>86</v>
      </c>
      <c r="B64" s="3">
        <v>45554</v>
      </c>
      <c r="C64" s="1" t="str">
        <f t="shared" si="0"/>
        <v>September</v>
      </c>
      <c r="D64" s="1" t="s">
        <v>389</v>
      </c>
      <c r="E64" s="1" t="s">
        <v>571</v>
      </c>
      <c r="F64" s="1" t="s">
        <v>803</v>
      </c>
      <c r="G64" s="1" t="s">
        <v>807</v>
      </c>
      <c r="H64" s="1" t="s">
        <v>810</v>
      </c>
      <c r="I64" s="1" t="s">
        <v>809</v>
      </c>
      <c r="J64" s="1" t="s">
        <v>819</v>
      </c>
      <c r="K64" s="1" t="s">
        <v>822</v>
      </c>
      <c r="L64" s="1" t="s">
        <v>838</v>
      </c>
      <c r="M64" s="1">
        <v>3</v>
      </c>
      <c r="N64" s="1">
        <v>1792.25</v>
      </c>
      <c r="O64" s="1">
        <v>5376.75</v>
      </c>
      <c r="P64" s="1">
        <v>0.1</v>
      </c>
      <c r="Q64" s="1">
        <v>4839.07</v>
      </c>
      <c r="R64" s="1">
        <v>3841.01</v>
      </c>
      <c r="S64" s="1">
        <f t="shared" si="1"/>
        <v>998.05999999999949</v>
      </c>
      <c r="T64" s="1" t="s">
        <v>876</v>
      </c>
      <c r="U64" s="1" t="s">
        <v>880</v>
      </c>
      <c r="V64" s="5" t="s">
        <v>884</v>
      </c>
    </row>
    <row r="65" spans="1:22" x14ac:dyDescent="0.3">
      <c r="A65" s="4" t="s">
        <v>87</v>
      </c>
      <c r="B65" s="3">
        <v>45311</v>
      </c>
      <c r="C65" s="1" t="str">
        <f t="shared" si="0"/>
        <v>January</v>
      </c>
      <c r="D65" s="1" t="s">
        <v>455</v>
      </c>
      <c r="E65" s="1" t="s">
        <v>572</v>
      </c>
      <c r="F65" s="1" t="s">
        <v>801</v>
      </c>
      <c r="G65" s="1" t="s">
        <v>807</v>
      </c>
      <c r="H65" s="1" t="s">
        <v>810</v>
      </c>
      <c r="I65" s="1" t="s">
        <v>814</v>
      </c>
      <c r="J65" s="1" t="s">
        <v>819</v>
      </c>
      <c r="K65" s="1" t="s">
        <v>820</v>
      </c>
      <c r="L65" s="1" t="s">
        <v>833</v>
      </c>
      <c r="M65" s="1">
        <v>12</v>
      </c>
      <c r="N65" s="1">
        <v>2420.09</v>
      </c>
      <c r="O65" s="1">
        <v>29041.08</v>
      </c>
      <c r="P65" s="1">
        <v>0.05</v>
      </c>
      <c r="Q65" s="1">
        <v>27589.03</v>
      </c>
      <c r="R65" s="1">
        <v>22172.92</v>
      </c>
      <c r="S65" s="1">
        <f t="shared" si="1"/>
        <v>5416.1100000000006</v>
      </c>
      <c r="T65" s="1" t="s">
        <v>876</v>
      </c>
      <c r="U65" s="1" t="s">
        <v>878</v>
      </c>
      <c r="V65" s="5" t="s">
        <v>883</v>
      </c>
    </row>
    <row r="66" spans="1:22" x14ac:dyDescent="0.3">
      <c r="A66" s="4" t="s">
        <v>88</v>
      </c>
      <c r="B66" s="3">
        <v>45539</v>
      </c>
      <c r="C66" s="1" t="str">
        <f t="shared" ref="C66:C129" si="2">TEXT(B66,"MMMM")</f>
        <v>September</v>
      </c>
      <c r="D66" s="1" t="s">
        <v>413</v>
      </c>
      <c r="E66" s="1" t="s">
        <v>573</v>
      </c>
      <c r="F66" s="1" t="s">
        <v>802</v>
      </c>
      <c r="G66" s="1" t="s">
        <v>804</v>
      </c>
      <c r="H66" s="1" t="s">
        <v>810</v>
      </c>
      <c r="I66" s="1" t="s">
        <v>816</v>
      </c>
      <c r="J66" s="1" t="s">
        <v>818</v>
      </c>
      <c r="K66" s="1" t="s">
        <v>822</v>
      </c>
      <c r="L66" s="1" t="s">
        <v>858</v>
      </c>
      <c r="M66" s="1">
        <v>7</v>
      </c>
      <c r="N66" s="1">
        <v>714.3</v>
      </c>
      <c r="O66" s="1">
        <v>5000.1000000000004</v>
      </c>
      <c r="P66" s="1">
        <v>0.15</v>
      </c>
      <c r="Q66" s="1">
        <v>4250.09</v>
      </c>
      <c r="R66" s="1">
        <v>3255.6</v>
      </c>
      <c r="S66" s="1">
        <f t="shared" ref="S66:S129" si="3">Q66-R66</f>
        <v>994.49000000000024</v>
      </c>
      <c r="T66" s="1" t="s">
        <v>874</v>
      </c>
      <c r="U66" s="1" t="s">
        <v>879</v>
      </c>
      <c r="V66" s="5" t="s">
        <v>884</v>
      </c>
    </row>
    <row r="67" spans="1:22" x14ac:dyDescent="0.3">
      <c r="A67" s="4" t="s">
        <v>89</v>
      </c>
      <c r="B67" s="3">
        <v>45318</v>
      </c>
      <c r="C67" s="1" t="str">
        <f t="shared" si="2"/>
        <v>January</v>
      </c>
      <c r="D67" s="1" t="s">
        <v>456</v>
      </c>
      <c r="E67" s="1" t="s">
        <v>574</v>
      </c>
      <c r="F67" s="1" t="s">
        <v>801</v>
      </c>
      <c r="G67" s="1" t="s">
        <v>806</v>
      </c>
      <c r="H67" s="1" t="s">
        <v>811</v>
      </c>
      <c r="I67" s="1" t="s">
        <v>816</v>
      </c>
      <c r="J67" s="1" t="s">
        <v>817</v>
      </c>
      <c r="K67" s="1" t="s">
        <v>820</v>
      </c>
      <c r="L67" s="1" t="s">
        <v>823</v>
      </c>
      <c r="M67" s="1">
        <v>12</v>
      </c>
      <c r="N67" s="1">
        <v>2156.21</v>
      </c>
      <c r="O67" s="1">
        <v>25874.52</v>
      </c>
      <c r="P67" s="1">
        <v>0.1</v>
      </c>
      <c r="Q67" s="1">
        <v>23287.07</v>
      </c>
      <c r="R67" s="1">
        <v>16382.92</v>
      </c>
      <c r="S67" s="1">
        <f t="shared" si="3"/>
        <v>6904.15</v>
      </c>
      <c r="T67" s="1" t="s">
        <v>875</v>
      </c>
      <c r="U67" s="1" t="s">
        <v>878</v>
      </c>
      <c r="V67" s="5" t="s">
        <v>882</v>
      </c>
    </row>
    <row r="68" spans="1:22" x14ac:dyDescent="0.3">
      <c r="A68" s="4" t="s">
        <v>90</v>
      </c>
      <c r="B68" s="3">
        <v>45338</v>
      </c>
      <c r="C68" s="1" t="str">
        <f t="shared" si="2"/>
        <v>February</v>
      </c>
      <c r="D68" s="1" t="s">
        <v>373</v>
      </c>
      <c r="E68" s="1" t="s">
        <v>575</v>
      </c>
      <c r="F68" s="1" t="s">
        <v>803</v>
      </c>
      <c r="G68" s="1" t="s">
        <v>804</v>
      </c>
      <c r="H68" s="1" t="s">
        <v>808</v>
      </c>
      <c r="I68" s="1" t="s">
        <v>813</v>
      </c>
      <c r="J68" s="1" t="s">
        <v>818</v>
      </c>
      <c r="K68" s="1" t="s">
        <v>822</v>
      </c>
      <c r="L68" s="1" t="s">
        <v>859</v>
      </c>
      <c r="M68" s="1">
        <v>10</v>
      </c>
      <c r="N68" s="1">
        <v>3136.8</v>
      </c>
      <c r="O68" s="1">
        <v>31368</v>
      </c>
      <c r="P68" s="1">
        <v>0.15</v>
      </c>
      <c r="Q68" s="1">
        <v>26662.799999999999</v>
      </c>
      <c r="R68" s="1">
        <v>21150.63</v>
      </c>
      <c r="S68" s="1">
        <f t="shared" si="3"/>
        <v>5512.1699999999983</v>
      </c>
      <c r="T68" s="1" t="s">
        <v>874</v>
      </c>
      <c r="U68" s="1" t="s">
        <v>881</v>
      </c>
      <c r="V68" s="5" t="s">
        <v>882</v>
      </c>
    </row>
    <row r="69" spans="1:22" x14ac:dyDescent="0.3">
      <c r="A69" s="4" t="s">
        <v>91</v>
      </c>
      <c r="B69" s="3">
        <v>45366</v>
      </c>
      <c r="C69" s="1" t="str">
        <f t="shared" si="2"/>
        <v>March</v>
      </c>
      <c r="D69" s="1" t="s">
        <v>324</v>
      </c>
      <c r="E69" s="1" t="s">
        <v>576</v>
      </c>
      <c r="F69" s="1" t="s">
        <v>801</v>
      </c>
      <c r="G69" s="1" t="s">
        <v>805</v>
      </c>
      <c r="H69" s="1" t="s">
        <v>810</v>
      </c>
      <c r="I69" s="1" t="s">
        <v>815</v>
      </c>
      <c r="J69" s="1" t="s">
        <v>817</v>
      </c>
      <c r="K69" s="1" t="s">
        <v>820</v>
      </c>
      <c r="L69" s="1" t="s">
        <v>841</v>
      </c>
      <c r="M69" s="1">
        <v>5</v>
      </c>
      <c r="N69" s="1">
        <v>901.63</v>
      </c>
      <c r="O69" s="1">
        <v>4508.1499999999996</v>
      </c>
      <c r="P69" s="1">
        <v>0.05</v>
      </c>
      <c r="Q69" s="1">
        <v>4282.74</v>
      </c>
      <c r="R69" s="1">
        <v>3560.56</v>
      </c>
      <c r="S69" s="1">
        <f t="shared" si="3"/>
        <v>722.17999999999984</v>
      </c>
      <c r="T69" s="1" t="s">
        <v>874</v>
      </c>
      <c r="U69" s="1" t="s">
        <v>877</v>
      </c>
      <c r="V69" s="5" t="s">
        <v>883</v>
      </c>
    </row>
    <row r="70" spans="1:22" x14ac:dyDescent="0.3">
      <c r="A70" s="4" t="s">
        <v>92</v>
      </c>
      <c r="B70" s="3">
        <v>45617</v>
      </c>
      <c r="C70" s="1" t="str">
        <f t="shared" si="2"/>
        <v>November</v>
      </c>
      <c r="D70" s="1" t="s">
        <v>448</v>
      </c>
      <c r="E70" s="1" t="s">
        <v>577</v>
      </c>
      <c r="F70" s="1" t="s">
        <v>802</v>
      </c>
      <c r="G70" s="1" t="s">
        <v>805</v>
      </c>
      <c r="H70" s="1" t="s">
        <v>808</v>
      </c>
      <c r="I70" s="1" t="s">
        <v>813</v>
      </c>
      <c r="J70" s="1" t="s">
        <v>819</v>
      </c>
      <c r="K70" s="1" t="s">
        <v>820</v>
      </c>
      <c r="L70" s="1" t="s">
        <v>860</v>
      </c>
      <c r="M70" s="1">
        <v>2</v>
      </c>
      <c r="N70" s="1">
        <v>3203.08</v>
      </c>
      <c r="O70" s="1">
        <v>6406.16</v>
      </c>
      <c r="P70" s="1">
        <v>0.05</v>
      </c>
      <c r="Q70" s="1">
        <v>6085.85</v>
      </c>
      <c r="R70" s="1">
        <v>4625.74</v>
      </c>
      <c r="S70" s="1">
        <f t="shared" si="3"/>
        <v>1460.1100000000006</v>
      </c>
      <c r="T70" s="1" t="s">
        <v>875</v>
      </c>
      <c r="U70" s="1" t="s">
        <v>877</v>
      </c>
      <c r="V70" s="5" t="s">
        <v>884</v>
      </c>
    </row>
    <row r="71" spans="1:22" x14ac:dyDescent="0.3">
      <c r="A71" s="4" t="s">
        <v>93</v>
      </c>
      <c r="B71" s="3">
        <v>45557</v>
      </c>
      <c r="C71" s="1" t="str">
        <f t="shared" si="2"/>
        <v>September</v>
      </c>
      <c r="D71" s="1" t="s">
        <v>382</v>
      </c>
      <c r="E71" s="1" t="s">
        <v>578</v>
      </c>
      <c r="F71" s="1" t="s">
        <v>803</v>
      </c>
      <c r="G71" s="1" t="s">
        <v>804</v>
      </c>
      <c r="H71" s="1" t="s">
        <v>812</v>
      </c>
      <c r="I71" s="1" t="s">
        <v>809</v>
      </c>
      <c r="J71" s="1" t="s">
        <v>819</v>
      </c>
      <c r="K71" s="1" t="s">
        <v>821</v>
      </c>
      <c r="L71" s="1" t="s">
        <v>861</v>
      </c>
      <c r="M71" s="1">
        <v>7</v>
      </c>
      <c r="N71" s="1">
        <v>1513.54</v>
      </c>
      <c r="O71" s="1">
        <v>10594.78</v>
      </c>
      <c r="P71" s="1">
        <v>0.05</v>
      </c>
      <c r="Q71" s="1">
        <v>10065.040000000001</v>
      </c>
      <c r="R71" s="1">
        <v>6660.69</v>
      </c>
      <c r="S71" s="1">
        <f t="shared" si="3"/>
        <v>3404.3500000000013</v>
      </c>
      <c r="T71" s="1" t="s">
        <v>874</v>
      </c>
      <c r="U71" s="1" t="s">
        <v>878</v>
      </c>
      <c r="V71" s="5" t="s">
        <v>884</v>
      </c>
    </row>
    <row r="72" spans="1:22" x14ac:dyDescent="0.3">
      <c r="A72" s="4" t="s">
        <v>94</v>
      </c>
      <c r="B72" s="3">
        <v>45590</v>
      </c>
      <c r="C72" s="1" t="str">
        <f t="shared" si="2"/>
        <v>October</v>
      </c>
      <c r="D72" s="1" t="s">
        <v>425</v>
      </c>
      <c r="E72" s="1" t="s">
        <v>579</v>
      </c>
      <c r="F72" s="1" t="s">
        <v>803</v>
      </c>
      <c r="G72" s="1" t="s">
        <v>804</v>
      </c>
      <c r="H72" s="1" t="s">
        <v>809</v>
      </c>
      <c r="I72" s="1" t="s">
        <v>814</v>
      </c>
      <c r="J72" s="1" t="s">
        <v>819</v>
      </c>
      <c r="K72" s="1" t="s">
        <v>822</v>
      </c>
      <c r="L72" s="1" t="s">
        <v>829</v>
      </c>
      <c r="M72" s="1">
        <v>7</v>
      </c>
      <c r="N72" s="1">
        <v>1606.56</v>
      </c>
      <c r="O72" s="1">
        <v>11245.92</v>
      </c>
      <c r="P72" s="1">
        <v>0.1</v>
      </c>
      <c r="Q72" s="1">
        <v>10121.33</v>
      </c>
      <c r="R72" s="1">
        <v>7203.32</v>
      </c>
      <c r="S72" s="1">
        <f t="shared" si="3"/>
        <v>2918.01</v>
      </c>
      <c r="T72" s="1" t="s">
        <v>873</v>
      </c>
      <c r="U72" s="1" t="s">
        <v>881</v>
      </c>
      <c r="V72" s="5" t="s">
        <v>884</v>
      </c>
    </row>
    <row r="73" spans="1:22" x14ac:dyDescent="0.3">
      <c r="A73" s="4" t="s">
        <v>95</v>
      </c>
      <c r="B73" s="3">
        <v>45383</v>
      </c>
      <c r="C73" s="1" t="str">
        <f t="shared" si="2"/>
        <v>April</v>
      </c>
      <c r="D73" s="1" t="s">
        <v>457</v>
      </c>
      <c r="E73" s="1" t="s">
        <v>580</v>
      </c>
      <c r="F73" s="1" t="s">
        <v>801</v>
      </c>
      <c r="G73" s="1" t="s">
        <v>804</v>
      </c>
      <c r="H73" s="1" t="s">
        <v>811</v>
      </c>
      <c r="I73" s="1" t="s">
        <v>814</v>
      </c>
      <c r="J73" s="1" t="s">
        <v>818</v>
      </c>
      <c r="K73" s="1" t="s">
        <v>821</v>
      </c>
      <c r="L73" s="1" t="s">
        <v>847</v>
      </c>
      <c r="M73" s="1">
        <v>8</v>
      </c>
      <c r="N73" s="1">
        <v>1641.06</v>
      </c>
      <c r="O73" s="1">
        <v>13128.48</v>
      </c>
      <c r="P73" s="1">
        <v>0</v>
      </c>
      <c r="Q73" s="1">
        <v>13128.48</v>
      </c>
      <c r="R73" s="1">
        <v>8298.7000000000007</v>
      </c>
      <c r="S73" s="1">
        <f t="shared" si="3"/>
        <v>4829.7799999999988</v>
      </c>
      <c r="T73" s="1" t="s">
        <v>876</v>
      </c>
      <c r="U73" s="1" t="s">
        <v>880</v>
      </c>
      <c r="V73" s="5" t="s">
        <v>882</v>
      </c>
    </row>
    <row r="74" spans="1:22" x14ac:dyDescent="0.3">
      <c r="A74" s="4" t="s">
        <v>96</v>
      </c>
      <c r="B74" s="3">
        <v>45452</v>
      </c>
      <c r="C74" s="1" t="str">
        <f t="shared" si="2"/>
        <v>June</v>
      </c>
      <c r="D74" s="1" t="s">
        <v>374</v>
      </c>
      <c r="E74" s="1" t="s">
        <v>581</v>
      </c>
      <c r="F74" s="1" t="s">
        <v>802</v>
      </c>
      <c r="G74" s="1" t="s">
        <v>806</v>
      </c>
      <c r="H74" s="1" t="s">
        <v>809</v>
      </c>
      <c r="I74" s="1" t="s">
        <v>809</v>
      </c>
      <c r="J74" s="1" t="s">
        <v>818</v>
      </c>
      <c r="K74" s="1" t="s">
        <v>821</v>
      </c>
      <c r="L74" s="1" t="s">
        <v>845</v>
      </c>
      <c r="M74" s="1">
        <v>12</v>
      </c>
      <c r="N74" s="1">
        <v>1985.59</v>
      </c>
      <c r="O74" s="1">
        <v>23827.08</v>
      </c>
      <c r="P74" s="1">
        <v>0</v>
      </c>
      <c r="Q74" s="1">
        <v>23827.08</v>
      </c>
      <c r="R74" s="1">
        <v>18776.09</v>
      </c>
      <c r="S74" s="1">
        <f t="shared" si="3"/>
        <v>5050.9900000000016</v>
      </c>
      <c r="T74" s="1" t="s">
        <v>876</v>
      </c>
      <c r="U74" s="1" t="s">
        <v>880</v>
      </c>
      <c r="V74" s="5" t="s">
        <v>882</v>
      </c>
    </row>
    <row r="75" spans="1:22" x14ac:dyDescent="0.3">
      <c r="A75" s="4" t="s">
        <v>97</v>
      </c>
      <c r="B75" s="3">
        <v>45543</v>
      </c>
      <c r="C75" s="1" t="str">
        <f t="shared" si="2"/>
        <v>September</v>
      </c>
      <c r="D75" s="1" t="s">
        <v>323</v>
      </c>
      <c r="E75" s="1" t="s">
        <v>582</v>
      </c>
      <c r="F75" s="1" t="s">
        <v>802</v>
      </c>
      <c r="G75" s="1" t="s">
        <v>807</v>
      </c>
      <c r="H75" s="1" t="s">
        <v>810</v>
      </c>
      <c r="I75" s="1" t="s">
        <v>815</v>
      </c>
      <c r="J75" s="1" t="s">
        <v>818</v>
      </c>
      <c r="K75" s="1" t="s">
        <v>822</v>
      </c>
      <c r="L75" s="1" t="s">
        <v>861</v>
      </c>
      <c r="M75" s="1">
        <v>3</v>
      </c>
      <c r="N75" s="1">
        <v>2527.02</v>
      </c>
      <c r="O75" s="1">
        <v>7581.06</v>
      </c>
      <c r="P75" s="1">
        <v>0.05</v>
      </c>
      <c r="Q75" s="1">
        <v>7202.01</v>
      </c>
      <c r="R75" s="1">
        <v>4439.17</v>
      </c>
      <c r="S75" s="1">
        <f t="shared" si="3"/>
        <v>2762.84</v>
      </c>
      <c r="T75" s="1" t="s">
        <v>875</v>
      </c>
      <c r="U75" s="1" t="s">
        <v>879</v>
      </c>
      <c r="V75" s="5" t="s">
        <v>883</v>
      </c>
    </row>
    <row r="76" spans="1:22" x14ac:dyDescent="0.3">
      <c r="A76" s="4" t="s">
        <v>98</v>
      </c>
      <c r="B76" s="3">
        <v>45537</v>
      </c>
      <c r="C76" s="1" t="str">
        <f t="shared" si="2"/>
        <v>September</v>
      </c>
      <c r="D76" s="1" t="s">
        <v>361</v>
      </c>
      <c r="E76" s="1" t="s">
        <v>583</v>
      </c>
      <c r="F76" s="1" t="s">
        <v>803</v>
      </c>
      <c r="G76" s="1" t="s">
        <v>806</v>
      </c>
      <c r="H76" s="1" t="s">
        <v>811</v>
      </c>
      <c r="I76" s="1" t="s">
        <v>813</v>
      </c>
      <c r="J76" s="1" t="s">
        <v>818</v>
      </c>
      <c r="K76" s="1" t="s">
        <v>822</v>
      </c>
      <c r="L76" s="1" t="s">
        <v>828</v>
      </c>
      <c r="M76" s="1">
        <v>10</v>
      </c>
      <c r="N76" s="1">
        <v>1214.8900000000001</v>
      </c>
      <c r="O76" s="1">
        <v>12148.9</v>
      </c>
      <c r="P76" s="1">
        <v>0.05</v>
      </c>
      <c r="Q76" s="1">
        <v>11541.45</v>
      </c>
      <c r="R76" s="1">
        <v>7845.52</v>
      </c>
      <c r="S76" s="1">
        <f t="shared" si="3"/>
        <v>3695.9300000000003</v>
      </c>
      <c r="T76" s="1" t="s">
        <v>874</v>
      </c>
      <c r="U76" s="1" t="s">
        <v>878</v>
      </c>
      <c r="V76" s="5" t="s">
        <v>882</v>
      </c>
    </row>
    <row r="77" spans="1:22" x14ac:dyDescent="0.3">
      <c r="A77" s="4" t="s">
        <v>99</v>
      </c>
      <c r="B77" s="3">
        <v>45427</v>
      </c>
      <c r="C77" s="1" t="str">
        <f t="shared" si="2"/>
        <v>May</v>
      </c>
      <c r="D77" s="1" t="s">
        <v>458</v>
      </c>
      <c r="E77" s="1" t="s">
        <v>584</v>
      </c>
      <c r="F77" s="1" t="s">
        <v>802</v>
      </c>
      <c r="G77" s="1" t="s">
        <v>804</v>
      </c>
      <c r="H77" s="1" t="s">
        <v>812</v>
      </c>
      <c r="I77" s="1" t="s">
        <v>814</v>
      </c>
      <c r="J77" s="1" t="s">
        <v>818</v>
      </c>
      <c r="K77" s="1" t="s">
        <v>822</v>
      </c>
      <c r="L77" s="1" t="s">
        <v>855</v>
      </c>
      <c r="M77" s="1">
        <v>9</v>
      </c>
      <c r="N77" s="1">
        <v>550.57000000000005</v>
      </c>
      <c r="O77" s="1">
        <v>4955.13</v>
      </c>
      <c r="P77" s="1">
        <v>0.1</v>
      </c>
      <c r="Q77" s="1">
        <v>4459.62</v>
      </c>
      <c r="R77" s="1">
        <v>3752.94</v>
      </c>
      <c r="S77" s="1">
        <f t="shared" si="3"/>
        <v>706.67999999999984</v>
      </c>
      <c r="T77" s="1" t="s">
        <v>874</v>
      </c>
      <c r="U77" s="1" t="s">
        <v>879</v>
      </c>
      <c r="V77" s="5" t="s">
        <v>884</v>
      </c>
    </row>
    <row r="78" spans="1:22" x14ac:dyDescent="0.3">
      <c r="A78" s="4" t="s">
        <v>100</v>
      </c>
      <c r="B78" s="3">
        <v>45480</v>
      </c>
      <c r="C78" s="1" t="str">
        <f t="shared" si="2"/>
        <v>July</v>
      </c>
      <c r="D78" s="1" t="s">
        <v>352</v>
      </c>
      <c r="E78" s="1" t="s">
        <v>585</v>
      </c>
      <c r="F78" s="1" t="s">
        <v>802</v>
      </c>
      <c r="G78" s="1" t="s">
        <v>804</v>
      </c>
      <c r="H78" s="1" t="s">
        <v>812</v>
      </c>
      <c r="I78" s="1" t="s">
        <v>814</v>
      </c>
      <c r="J78" s="1" t="s">
        <v>819</v>
      </c>
      <c r="K78" s="1" t="s">
        <v>822</v>
      </c>
      <c r="L78" s="1" t="s">
        <v>862</v>
      </c>
      <c r="M78" s="1">
        <v>3</v>
      </c>
      <c r="N78" s="1">
        <v>1516.78</v>
      </c>
      <c r="O78" s="1">
        <v>4550.34</v>
      </c>
      <c r="P78" s="1">
        <v>0</v>
      </c>
      <c r="Q78" s="1">
        <v>4550.34</v>
      </c>
      <c r="R78" s="1">
        <v>3233.34</v>
      </c>
      <c r="S78" s="1">
        <f t="shared" si="3"/>
        <v>1317</v>
      </c>
      <c r="T78" s="1" t="s">
        <v>874</v>
      </c>
      <c r="U78" s="1" t="s">
        <v>877</v>
      </c>
      <c r="V78" s="5" t="s">
        <v>883</v>
      </c>
    </row>
    <row r="79" spans="1:22" x14ac:dyDescent="0.3">
      <c r="A79" s="4" t="s">
        <v>101</v>
      </c>
      <c r="B79" s="3">
        <v>45309</v>
      </c>
      <c r="C79" s="1" t="str">
        <f t="shared" si="2"/>
        <v>January</v>
      </c>
      <c r="D79" s="1" t="s">
        <v>360</v>
      </c>
      <c r="E79" s="1" t="s">
        <v>586</v>
      </c>
      <c r="F79" s="1" t="s">
        <v>803</v>
      </c>
      <c r="G79" s="1" t="s">
        <v>806</v>
      </c>
      <c r="H79" s="1" t="s">
        <v>811</v>
      </c>
      <c r="I79" s="1" t="s">
        <v>813</v>
      </c>
      <c r="J79" s="1" t="s">
        <v>818</v>
      </c>
      <c r="K79" s="1" t="s">
        <v>821</v>
      </c>
      <c r="L79" s="1" t="s">
        <v>847</v>
      </c>
      <c r="M79" s="1">
        <v>3</v>
      </c>
      <c r="N79" s="1">
        <v>1302.01</v>
      </c>
      <c r="O79" s="1">
        <v>3906.03</v>
      </c>
      <c r="P79" s="1">
        <v>0.15</v>
      </c>
      <c r="Q79" s="1">
        <v>3320.13</v>
      </c>
      <c r="R79" s="1">
        <v>2338.77</v>
      </c>
      <c r="S79" s="1">
        <f t="shared" si="3"/>
        <v>981.36000000000013</v>
      </c>
      <c r="T79" s="1" t="s">
        <v>876</v>
      </c>
      <c r="U79" s="1" t="s">
        <v>877</v>
      </c>
      <c r="V79" s="5" t="s">
        <v>882</v>
      </c>
    </row>
    <row r="80" spans="1:22" x14ac:dyDescent="0.3">
      <c r="A80" s="4" t="s">
        <v>102</v>
      </c>
      <c r="B80" s="3">
        <v>45582</v>
      </c>
      <c r="C80" s="1" t="str">
        <f t="shared" si="2"/>
        <v>October</v>
      </c>
      <c r="D80" s="1" t="s">
        <v>392</v>
      </c>
      <c r="E80" s="1" t="s">
        <v>587</v>
      </c>
      <c r="F80" s="1" t="s">
        <v>802</v>
      </c>
      <c r="G80" s="1" t="s">
        <v>807</v>
      </c>
      <c r="H80" s="1" t="s">
        <v>808</v>
      </c>
      <c r="I80" s="1" t="s">
        <v>813</v>
      </c>
      <c r="J80" s="1" t="s">
        <v>817</v>
      </c>
      <c r="K80" s="1" t="s">
        <v>822</v>
      </c>
      <c r="L80" s="1" t="s">
        <v>825</v>
      </c>
      <c r="M80" s="1">
        <v>5</v>
      </c>
      <c r="N80" s="1">
        <v>729.72</v>
      </c>
      <c r="O80" s="1">
        <v>3648.6</v>
      </c>
      <c r="P80" s="1">
        <v>0.1</v>
      </c>
      <c r="Q80" s="1">
        <v>3283.74</v>
      </c>
      <c r="R80" s="1">
        <v>2408.7199999999998</v>
      </c>
      <c r="S80" s="1">
        <f t="shared" si="3"/>
        <v>875.02</v>
      </c>
      <c r="T80" s="1" t="s">
        <v>873</v>
      </c>
      <c r="U80" s="1" t="s">
        <v>880</v>
      </c>
      <c r="V80" s="5" t="s">
        <v>882</v>
      </c>
    </row>
    <row r="81" spans="1:22" x14ac:dyDescent="0.3">
      <c r="A81" s="4" t="s">
        <v>103</v>
      </c>
      <c r="B81" s="3">
        <v>45299</v>
      </c>
      <c r="C81" s="1" t="str">
        <f t="shared" si="2"/>
        <v>January</v>
      </c>
      <c r="D81" s="1" t="s">
        <v>345</v>
      </c>
      <c r="E81" s="1" t="s">
        <v>588</v>
      </c>
      <c r="F81" s="1" t="s">
        <v>802</v>
      </c>
      <c r="G81" s="1" t="s">
        <v>807</v>
      </c>
      <c r="H81" s="1" t="s">
        <v>811</v>
      </c>
      <c r="I81" s="1" t="s">
        <v>815</v>
      </c>
      <c r="J81" s="1" t="s">
        <v>817</v>
      </c>
      <c r="K81" s="1" t="s">
        <v>820</v>
      </c>
      <c r="L81" s="1" t="s">
        <v>848</v>
      </c>
      <c r="M81" s="1">
        <v>4</v>
      </c>
      <c r="N81" s="1">
        <v>2593.17</v>
      </c>
      <c r="O81" s="1">
        <v>10372.68</v>
      </c>
      <c r="P81" s="1">
        <v>0.15</v>
      </c>
      <c r="Q81" s="1">
        <v>8816.7800000000007</v>
      </c>
      <c r="R81" s="1">
        <v>5501.24</v>
      </c>
      <c r="S81" s="1">
        <f t="shared" si="3"/>
        <v>3315.5400000000009</v>
      </c>
      <c r="T81" s="1" t="s">
        <v>874</v>
      </c>
      <c r="U81" s="1" t="s">
        <v>881</v>
      </c>
      <c r="V81" s="5" t="s">
        <v>883</v>
      </c>
    </row>
    <row r="82" spans="1:22" x14ac:dyDescent="0.3">
      <c r="A82" s="4" t="s">
        <v>104</v>
      </c>
      <c r="B82" s="3">
        <v>45588</v>
      </c>
      <c r="C82" s="1" t="str">
        <f t="shared" si="2"/>
        <v>October</v>
      </c>
      <c r="D82" s="1" t="s">
        <v>425</v>
      </c>
      <c r="E82" s="1" t="s">
        <v>589</v>
      </c>
      <c r="F82" s="1" t="s">
        <v>803</v>
      </c>
      <c r="G82" s="1" t="s">
        <v>804</v>
      </c>
      <c r="H82" s="1" t="s">
        <v>808</v>
      </c>
      <c r="I82" s="1" t="s">
        <v>809</v>
      </c>
      <c r="J82" s="1" t="s">
        <v>819</v>
      </c>
      <c r="K82" s="1" t="s">
        <v>820</v>
      </c>
      <c r="L82" s="1" t="s">
        <v>829</v>
      </c>
      <c r="M82" s="1">
        <v>10</v>
      </c>
      <c r="N82" s="1">
        <v>3305.19</v>
      </c>
      <c r="O82" s="1">
        <v>33051.9</v>
      </c>
      <c r="P82" s="1">
        <v>0.15</v>
      </c>
      <c r="Q82" s="1">
        <v>28094.12</v>
      </c>
      <c r="R82" s="1">
        <v>18601.8</v>
      </c>
      <c r="S82" s="1">
        <f t="shared" si="3"/>
        <v>9492.32</v>
      </c>
      <c r="T82" s="1" t="s">
        <v>875</v>
      </c>
      <c r="U82" s="1" t="s">
        <v>877</v>
      </c>
      <c r="V82" s="5" t="s">
        <v>882</v>
      </c>
    </row>
    <row r="83" spans="1:22" x14ac:dyDescent="0.3">
      <c r="A83" s="4" t="s">
        <v>105</v>
      </c>
      <c r="B83" s="3">
        <v>45298</v>
      </c>
      <c r="C83" s="1" t="str">
        <f t="shared" si="2"/>
        <v>January</v>
      </c>
      <c r="D83" s="1" t="s">
        <v>347</v>
      </c>
      <c r="E83" s="1" t="s">
        <v>590</v>
      </c>
      <c r="F83" s="1" t="s">
        <v>802</v>
      </c>
      <c r="G83" s="1" t="s">
        <v>805</v>
      </c>
      <c r="H83" s="1" t="s">
        <v>808</v>
      </c>
      <c r="I83" s="1" t="s">
        <v>813</v>
      </c>
      <c r="J83" s="1" t="s">
        <v>818</v>
      </c>
      <c r="K83" s="1" t="s">
        <v>822</v>
      </c>
      <c r="L83" s="1" t="s">
        <v>863</v>
      </c>
      <c r="M83" s="1">
        <v>9</v>
      </c>
      <c r="N83" s="1">
        <v>2436.08</v>
      </c>
      <c r="O83" s="1">
        <v>21924.720000000001</v>
      </c>
      <c r="P83" s="1">
        <v>0.05</v>
      </c>
      <c r="Q83" s="1">
        <v>20828.48</v>
      </c>
      <c r="R83" s="1">
        <v>13237.89</v>
      </c>
      <c r="S83" s="1">
        <f t="shared" si="3"/>
        <v>7590.59</v>
      </c>
      <c r="T83" s="1" t="s">
        <v>874</v>
      </c>
      <c r="U83" s="1" t="s">
        <v>877</v>
      </c>
      <c r="V83" s="5" t="s">
        <v>883</v>
      </c>
    </row>
    <row r="84" spans="1:22" x14ac:dyDescent="0.3">
      <c r="A84" s="4" t="s">
        <v>106</v>
      </c>
      <c r="B84" s="3">
        <v>45536</v>
      </c>
      <c r="C84" s="1" t="str">
        <f t="shared" si="2"/>
        <v>September</v>
      </c>
      <c r="D84" s="1" t="s">
        <v>341</v>
      </c>
      <c r="E84" s="1" t="s">
        <v>591</v>
      </c>
      <c r="F84" s="1" t="s">
        <v>803</v>
      </c>
      <c r="G84" s="1" t="s">
        <v>805</v>
      </c>
      <c r="H84" s="1" t="s">
        <v>810</v>
      </c>
      <c r="I84" s="1" t="s">
        <v>813</v>
      </c>
      <c r="J84" s="1" t="s">
        <v>817</v>
      </c>
      <c r="K84" s="1" t="s">
        <v>822</v>
      </c>
      <c r="L84" s="1" t="s">
        <v>830</v>
      </c>
      <c r="M84" s="1">
        <v>9</v>
      </c>
      <c r="N84" s="1">
        <v>419.68</v>
      </c>
      <c r="O84" s="1">
        <v>3777.12</v>
      </c>
      <c r="P84" s="1">
        <v>0.15</v>
      </c>
      <c r="Q84" s="1">
        <v>3210.55</v>
      </c>
      <c r="R84" s="1">
        <v>2524.4499999999998</v>
      </c>
      <c r="S84" s="1">
        <f t="shared" si="3"/>
        <v>686.10000000000036</v>
      </c>
      <c r="T84" s="1" t="s">
        <v>876</v>
      </c>
      <c r="U84" s="1" t="s">
        <v>877</v>
      </c>
      <c r="V84" s="5" t="s">
        <v>884</v>
      </c>
    </row>
    <row r="85" spans="1:22" x14ac:dyDescent="0.3">
      <c r="A85" s="4" t="s">
        <v>107</v>
      </c>
      <c r="B85" s="3">
        <v>45426</v>
      </c>
      <c r="C85" s="1" t="str">
        <f t="shared" si="2"/>
        <v>May</v>
      </c>
      <c r="D85" s="1" t="s">
        <v>454</v>
      </c>
      <c r="E85" s="1" t="s">
        <v>592</v>
      </c>
      <c r="F85" s="1" t="s">
        <v>801</v>
      </c>
      <c r="G85" s="1" t="s">
        <v>807</v>
      </c>
      <c r="H85" s="1" t="s">
        <v>810</v>
      </c>
      <c r="I85" s="1" t="s">
        <v>809</v>
      </c>
      <c r="J85" s="1" t="s">
        <v>818</v>
      </c>
      <c r="K85" s="1" t="s">
        <v>820</v>
      </c>
      <c r="L85" s="1" t="s">
        <v>835</v>
      </c>
      <c r="M85" s="1">
        <v>1</v>
      </c>
      <c r="N85" s="1">
        <v>1224.56</v>
      </c>
      <c r="O85" s="1">
        <v>1224.56</v>
      </c>
      <c r="P85" s="1">
        <v>0.15</v>
      </c>
      <c r="Q85" s="1">
        <v>1040.8800000000001</v>
      </c>
      <c r="R85" s="1">
        <v>802.97</v>
      </c>
      <c r="S85" s="1">
        <f t="shared" si="3"/>
        <v>237.91000000000008</v>
      </c>
      <c r="T85" s="1" t="s">
        <v>874</v>
      </c>
      <c r="U85" s="1" t="s">
        <v>880</v>
      </c>
      <c r="V85" s="5" t="s">
        <v>883</v>
      </c>
    </row>
    <row r="86" spans="1:22" x14ac:dyDescent="0.3">
      <c r="A86" s="4" t="s">
        <v>108</v>
      </c>
      <c r="B86" s="3">
        <v>45395</v>
      </c>
      <c r="C86" s="1" t="str">
        <f t="shared" si="2"/>
        <v>April</v>
      </c>
      <c r="D86" s="1" t="s">
        <v>372</v>
      </c>
      <c r="E86" s="1" t="s">
        <v>593</v>
      </c>
      <c r="F86" s="1" t="s">
        <v>802</v>
      </c>
      <c r="G86" s="1" t="s">
        <v>806</v>
      </c>
      <c r="H86" s="1" t="s">
        <v>811</v>
      </c>
      <c r="I86" s="1" t="s">
        <v>814</v>
      </c>
      <c r="J86" s="1" t="s">
        <v>819</v>
      </c>
      <c r="K86" s="1" t="s">
        <v>822</v>
      </c>
      <c r="L86" s="1" t="s">
        <v>840</v>
      </c>
      <c r="M86" s="1">
        <v>12</v>
      </c>
      <c r="N86" s="1">
        <v>3236.37</v>
      </c>
      <c r="O86" s="1">
        <v>38836.44</v>
      </c>
      <c r="P86" s="1">
        <v>0.05</v>
      </c>
      <c r="Q86" s="1">
        <v>36894.620000000003</v>
      </c>
      <c r="R86" s="1">
        <v>30255.11</v>
      </c>
      <c r="S86" s="1">
        <f t="shared" si="3"/>
        <v>6639.510000000002</v>
      </c>
      <c r="T86" s="1" t="s">
        <v>876</v>
      </c>
      <c r="U86" s="1" t="s">
        <v>877</v>
      </c>
      <c r="V86" s="5" t="s">
        <v>884</v>
      </c>
    </row>
    <row r="87" spans="1:22" x14ac:dyDescent="0.3">
      <c r="A87" s="4" t="s">
        <v>109</v>
      </c>
      <c r="B87" s="3">
        <v>45306</v>
      </c>
      <c r="C87" s="1" t="str">
        <f t="shared" si="2"/>
        <v>January</v>
      </c>
      <c r="D87" s="1" t="s">
        <v>459</v>
      </c>
      <c r="E87" s="1" t="s">
        <v>594</v>
      </c>
      <c r="F87" s="1" t="s">
        <v>803</v>
      </c>
      <c r="G87" s="1" t="s">
        <v>807</v>
      </c>
      <c r="H87" s="1" t="s">
        <v>810</v>
      </c>
      <c r="I87" s="1" t="s">
        <v>814</v>
      </c>
      <c r="J87" s="1" t="s">
        <v>818</v>
      </c>
      <c r="K87" s="1" t="s">
        <v>820</v>
      </c>
      <c r="L87" s="1" t="s">
        <v>853</v>
      </c>
      <c r="M87" s="1">
        <v>1</v>
      </c>
      <c r="N87" s="1">
        <v>829.05</v>
      </c>
      <c r="O87" s="1">
        <v>829.05</v>
      </c>
      <c r="P87" s="1">
        <v>0</v>
      </c>
      <c r="Q87" s="1">
        <v>829.05</v>
      </c>
      <c r="R87" s="1">
        <v>641.89</v>
      </c>
      <c r="S87" s="1">
        <f t="shared" si="3"/>
        <v>187.15999999999997</v>
      </c>
      <c r="T87" s="1" t="s">
        <v>873</v>
      </c>
      <c r="U87" s="1" t="s">
        <v>877</v>
      </c>
      <c r="V87" s="5" t="s">
        <v>882</v>
      </c>
    </row>
    <row r="88" spans="1:22" x14ac:dyDescent="0.3">
      <c r="A88" s="4" t="s">
        <v>110</v>
      </c>
      <c r="B88" s="3">
        <v>45397</v>
      </c>
      <c r="C88" s="1" t="str">
        <f t="shared" si="2"/>
        <v>April</v>
      </c>
      <c r="D88" s="1" t="s">
        <v>460</v>
      </c>
      <c r="E88" s="1" t="s">
        <v>595</v>
      </c>
      <c r="F88" s="1" t="s">
        <v>801</v>
      </c>
      <c r="G88" s="1" t="s">
        <v>804</v>
      </c>
      <c r="H88" s="1" t="s">
        <v>810</v>
      </c>
      <c r="I88" s="1" t="s">
        <v>809</v>
      </c>
      <c r="J88" s="1" t="s">
        <v>818</v>
      </c>
      <c r="K88" s="1" t="s">
        <v>820</v>
      </c>
      <c r="L88" s="1" t="s">
        <v>839</v>
      </c>
      <c r="M88" s="1">
        <v>2</v>
      </c>
      <c r="N88" s="1">
        <v>504.97</v>
      </c>
      <c r="O88" s="1">
        <v>1009.94</v>
      </c>
      <c r="P88" s="1">
        <v>0</v>
      </c>
      <c r="Q88" s="1">
        <v>1009.94</v>
      </c>
      <c r="R88" s="1">
        <v>814.28</v>
      </c>
      <c r="S88" s="1">
        <f t="shared" si="3"/>
        <v>195.66000000000008</v>
      </c>
      <c r="T88" s="1" t="s">
        <v>874</v>
      </c>
      <c r="U88" s="1" t="s">
        <v>879</v>
      </c>
      <c r="V88" s="5" t="s">
        <v>884</v>
      </c>
    </row>
    <row r="89" spans="1:22" x14ac:dyDescent="0.3">
      <c r="A89" s="4" t="s">
        <v>111</v>
      </c>
      <c r="B89" s="3">
        <v>45425</v>
      </c>
      <c r="C89" s="1" t="str">
        <f t="shared" si="2"/>
        <v>May</v>
      </c>
      <c r="D89" s="1" t="s">
        <v>354</v>
      </c>
      <c r="E89" s="1" t="s">
        <v>596</v>
      </c>
      <c r="F89" s="1" t="s">
        <v>801</v>
      </c>
      <c r="G89" s="1" t="s">
        <v>805</v>
      </c>
      <c r="H89" s="1" t="s">
        <v>812</v>
      </c>
      <c r="I89" s="1" t="s">
        <v>814</v>
      </c>
      <c r="J89" s="1" t="s">
        <v>818</v>
      </c>
      <c r="K89" s="1" t="s">
        <v>820</v>
      </c>
      <c r="L89" s="1" t="s">
        <v>858</v>
      </c>
      <c r="M89" s="1">
        <v>6</v>
      </c>
      <c r="N89" s="1">
        <v>1195.78</v>
      </c>
      <c r="O89" s="1">
        <v>7174.68</v>
      </c>
      <c r="P89" s="1">
        <v>0.1</v>
      </c>
      <c r="Q89" s="1">
        <v>6457.21</v>
      </c>
      <c r="R89" s="1">
        <v>3952.47</v>
      </c>
      <c r="S89" s="1">
        <f t="shared" si="3"/>
        <v>2504.7400000000002</v>
      </c>
      <c r="T89" s="1" t="s">
        <v>876</v>
      </c>
      <c r="U89" s="1" t="s">
        <v>878</v>
      </c>
      <c r="V89" s="5" t="s">
        <v>883</v>
      </c>
    </row>
    <row r="90" spans="1:22" x14ac:dyDescent="0.3">
      <c r="A90" s="4" t="s">
        <v>112</v>
      </c>
      <c r="B90" s="3">
        <v>45342</v>
      </c>
      <c r="C90" s="1" t="str">
        <f t="shared" si="2"/>
        <v>February</v>
      </c>
      <c r="D90" s="1" t="s">
        <v>461</v>
      </c>
      <c r="E90" s="1" t="s">
        <v>597</v>
      </c>
      <c r="F90" s="1" t="s">
        <v>802</v>
      </c>
      <c r="G90" s="1" t="s">
        <v>807</v>
      </c>
      <c r="H90" s="1" t="s">
        <v>810</v>
      </c>
      <c r="I90" s="1" t="s">
        <v>816</v>
      </c>
      <c r="J90" s="1" t="s">
        <v>817</v>
      </c>
      <c r="K90" s="1" t="s">
        <v>821</v>
      </c>
      <c r="L90" s="1" t="s">
        <v>837</v>
      </c>
      <c r="M90" s="1">
        <v>8</v>
      </c>
      <c r="N90" s="1">
        <v>2584.44</v>
      </c>
      <c r="O90" s="1">
        <v>20675.52</v>
      </c>
      <c r="P90" s="1">
        <v>0.05</v>
      </c>
      <c r="Q90" s="1">
        <v>19641.740000000002</v>
      </c>
      <c r="R90" s="1">
        <v>15293.01</v>
      </c>
      <c r="S90" s="1">
        <f t="shared" si="3"/>
        <v>4348.7300000000014</v>
      </c>
      <c r="T90" s="1" t="s">
        <v>874</v>
      </c>
      <c r="U90" s="1" t="s">
        <v>877</v>
      </c>
      <c r="V90" s="5" t="s">
        <v>882</v>
      </c>
    </row>
    <row r="91" spans="1:22" x14ac:dyDescent="0.3">
      <c r="A91" s="4" t="s">
        <v>113</v>
      </c>
      <c r="B91" s="3">
        <v>45470</v>
      </c>
      <c r="C91" s="1" t="str">
        <f t="shared" si="2"/>
        <v>June</v>
      </c>
      <c r="D91" s="1" t="s">
        <v>403</v>
      </c>
      <c r="E91" s="1" t="s">
        <v>598</v>
      </c>
      <c r="F91" s="1" t="s">
        <v>802</v>
      </c>
      <c r="G91" s="1" t="s">
        <v>807</v>
      </c>
      <c r="H91" s="1" t="s">
        <v>808</v>
      </c>
      <c r="I91" s="1" t="s">
        <v>813</v>
      </c>
      <c r="J91" s="1" t="s">
        <v>819</v>
      </c>
      <c r="K91" s="1" t="s">
        <v>820</v>
      </c>
      <c r="L91" s="1" t="s">
        <v>845</v>
      </c>
      <c r="M91" s="1">
        <v>2</v>
      </c>
      <c r="N91" s="1">
        <v>1923.6</v>
      </c>
      <c r="O91" s="1">
        <v>3847.2</v>
      </c>
      <c r="P91" s="1">
        <v>0.05</v>
      </c>
      <c r="Q91" s="1">
        <v>3654.84</v>
      </c>
      <c r="R91" s="1">
        <v>3076.6</v>
      </c>
      <c r="S91" s="1">
        <f t="shared" si="3"/>
        <v>578.24000000000024</v>
      </c>
      <c r="T91" s="1" t="s">
        <v>875</v>
      </c>
      <c r="U91" s="1" t="s">
        <v>878</v>
      </c>
      <c r="V91" s="5" t="s">
        <v>882</v>
      </c>
    </row>
    <row r="92" spans="1:22" x14ac:dyDescent="0.3">
      <c r="A92" s="4" t="s">
        <v>114</v>
      </c>
      <c r="B92" s="3">
        <v>45348</v>
      </c>
      <c r="C92" s="1" t="str">
        <f t="shared" si="2"/>
        <v>February</v>
      </c>
      <c r="D92" s="1" t="s">
        <v>462</v>
      </c>
      <c r="E92" s="1" t="s">
        <v>599</v>
      </c>
      <c r="F92" s="1" t="s">
        <v>803</v>
      </c>
      <c r="G92" s="1" t="s">
        <v>805</v>
      </c>
      <c r="H92" s="1" t="s">
        <v>811</v>
      </c>
      <c r="I92" s="1" t="s">
        <v>809</v>
      </c>
      <c r="J92" s="1" t="s">
        <v>819</v>
      </c>
      <c r="K92" s="1" t="s">
        <v>821</v>
      </c>
      <c r="L92" s="1" t="s">
        <v>856</v>
      </c>
      <c r="M92" s="1">
        <v>2</v>
      </c>
      <c r="N92" s="1">
        <v>1919.9</v>
      </c>
      <c r="O92" s="1">
        <v>3839.8</v>
      </c>
      <c r="P92" s="1">
        <v>0</v>
      </c>
      <c r="Q92" s="1">
        <v>3839.8</v>
      </c>
      <c r="R92" s="1">
        <v>2906.66</v>
      </c>
      <c r="S92" s="1">
        <f t="shared" si="3"/>
        <v>933.14000000000033</v>
      </c>
      <c r="T92" s="1" t="s">
        <v>874</v>
      </c>
      <c r="U92" s="1" t="s">
        <v>880</v>
      </c>
      <c r="V92" s="5" t="s">
        <v>884</v>
      </c>
    </row>
    <row r="93" spans="1:22" x14ac:dyDescent="0.3">
      <c r="A93" s="4" t="s">
        <v>115</v>
      </c>
      <c r="B93" s="3">
        <v>45426</v>
      </c>
      <c r="C93" s="1" t="str">
        <f t="shared" si="2"/>
        <v>May</v>
      </c>
      <c r="D93" s="1" t="s">
        <v>336</v>
      </c>
      <c r="E93" s="1" t="s">
        <v>600</v>
      </c>
      <c r="F93" s="1" t="s">
        <v>801</v>
      </c>
      <c r="G93" s="1" t="s">
        <v>806</v>
      </c>
      <c r="H93" s="1" t="s">
        <v>808</v>
      </c>
      <c r="I93" s="1" t="s">
        <v>814</v>
      </c>
      <c r="J93" s="1" t="s">
        <v>818</v>
      </c>
      <c r="K93" s="1" t="s">
        <v>821</v>
      </c>
      <c r="L93" s="1" t="s">
        <v>848</v>
      </c>
      <c r="M93" s="1">
        <v>9</v>
      </c>
      <c r="N93" s="1">
        <v>1953.69</v>
      </c>
      <c r="O93" s="1">
        <v>17583.21</v>
      </c>
      <c r="P93" s="1">
        <v>0.15</v>
      </c>
      <c r="Q93" s="1">
        <v>14945.73</v>
      </c>
      <c r="R93" s="1">
        <v>12638.15</v>
      </c>
      <c r="S93" s="1">
        <f t="shared" si="3"/>
        <v>2307.58</v>
      </c>
      <c r="T93" s="1" t="s">
        <v>876</v>
      </c>
      <c r="U93" s="1" t="s">
        <v>879</v>
      </c>
      <c r="V93" s="5" t="s">
        <v>883</v>
      </c>
    </row>
    <row r="94" spans="1:22" x14ac:dyDescent="0.3">
      <c r="A94" s="4" t="s">
        <v>116</v>
      </c>
      <c r="B94" s="3">
        <v>45459</v>
      </c>
      <c r="C94" s="1" t="str">
        <f t="shared" si="2"/>
        <v>June</v>
      </c>
      <c r="D94" s="1" t="s">
        <v>463</v>
      </c>
      <c r="E94" s="1" t="s">
        <v>601</v>
      </c>
      <c r="F94" s="1" t="s">
        <v>803</v>
      </c>
      <c r="G94" s="1" t="s">
        <v>805</v>
      </c>
      <c r="H94" s="1" t="s">
        <v>811</v>
      </c>
      <c r="I94" s="1" t="s">
        <v>815</v>
      </c>
      <c r="J94" s="1" t="s">
        <v>818</v>
      </c>
      <c r="K94" s="1" t="s">
        <v>820</v>
      </c>
      <c r="L94" s="1" t="s">
        <v>824</v>
      </c>
      <c r="M94" s="1">
        <v>3</v>
      </c>
      <c r="N94" s="1">
        <v>3090.79</v>
      </c>
      <c r="O94" s="1">
        <v>9272.3700000000008</v>
      </c>
      <c r="P94" s="1">
        <v>0.15</v>
      </c>
      <c r="Q94" s="1">
        <v>7881.51</v>
      </c>
      <c r="R94" s="1">
        <v>6033.49</v>
      </c>
      <c r="S94" s="1">
        <f t="shared" si="3"/>
        <v>1848.0200000000004</v>
      </c>
      <c r="T94" s="1" t="s">
        <v>874</v>
      </c>
      <c r="U94" s="1" t="s">
        <v>878</v>
      </c>
      <c r="V94" s="5" t="s">
        <v>883</v>
      </c>
    </row>
    <row r="95" spans="1:22" x14ac:dyDescent="0.3">
      <c r="A95" s="4" t="s">
        <v>117</v>
      </c>
      <c r="B95" s="3">
        <v>45413</v>
      </c>
      <c r="C95" s="1" t="str">
        <f t="shared" si="2"/>
        <v>May</v>
      </c>
      <c r="D95" s="1" t="s">
        <v>464</v>
      </c>
      <c r="E95" s="1" t="s">
        <v>602</v>
      </c>
      <c r="F95" s="1" t="s">
        <v>802</v>
      </c>
      <c r="G95" s="1" t="s">
        <v>807</v>
      </c>
      <c r="H95" s="1" t="s">
        <v>808</v>
      </c>
      <c r="I95" s="1" t="s">
        <v>814</v>
      </c>
      <c r="J95" s="1" t="s">
        <v>819</v>
      </c>
      <c r="K95" s="1" t="s">
        <v>820</v>
      </c>
      <c r="L95" s="1" t="s">
        <v>829</v>
      </c>
      <c r="M95" s="1">
        <v>4</v>
      </c>
      <c r="N95" s="1">
        <v>1229.2</v>
      </c>
      <c r="O95" s="1">
        <v>4916.8</v>
      </c>
      <c r="P95" s="1">
        <v>0.05</v>
      </c>
      <c r="Q95" s="1">
        <v>4670.96</v>
      </c>
      <c r="R95" s="1">
        <v>3647.24</v>
      </c>
      <c r="S95" s="1">
        <f t="shared" si="3"/>
        <v>1023.7200000000003</v>
      </c>
      <c r="T95" s="1" t="s">
        <v>874</v>
      </c>
      <c r="U95" s="1" t="s">
        <v>880</v>
      </c>
      <c r="V95" s="5" t="s">
        <v>884</v>
      </c>
    </row>
    <row r="96" spans="1:22" x14ac:dyDescent="0.3">
      <c r="A96" s="4" t="s">
        <v>118</v>
      </c>
      <c r="B96" s="3">
        <v>45344</v>
      </c>
      <c r="C96" s="1" t="str">
        <f t="shared" si="2"/>
        <v>February</v>
      </c>
      <c r="D96" s="1" t="s">
        <v>465</v>
      </c>
      <c r="E96" s="1" t="s">
        <v>603</v>
      </c>
      <c r="F96" s="1" t="s">
        <v>801</v>
      </c>
      <c r="G96" s="1" t="s">
        <v>807</v>
      </c>
      <c r="H96" s="1" t="s">
        <v>811</v>
      </c>
      <c r="I96" s="1" t="s">
        <v>815</v>
      </c>
      <c r="J96" s="1" t="s">
        <v>817</v>
      </c>
      <c r="K96" s="1" t="s">
        <v>820</v>
      </c>
      <c r="L96" s="1" t="s">
        <v>862</v>
      </c>
      <c r="M96" s="1">
        <v>11</v>
      </c>
      <c r="N96" s="1">
        <v>715.08</v>
      </c>
      <c r="O96" s="1">
        <v>7865.88</v>
      </c>
      <c r="P96" s="1">
        <v>0.15</v>
      </c>
      <c r="Q96" s="1">
        <v>6686</v>
      </c>
      <c r="R96" s="1">
        <v>4263.93</v>
      </c>
      <c r="S96" s="1">
        <f t="shared" si="3"/>
        <v>2422.0699999999997</v>
      </c>
      <c r="T96" s="1" t="s">
        <v>876</v>
      </c>
      <c r="U96" s="1" t="s">
        <v>879</v>
      </c>
      <c r="V96" s="5" t="s">
        <v>882</v>
      </c>
    </row>
    <row r="97" spans="1:22" x14ac:dyDescent="0.3">
      <c r="A97" s="4" t="s">
        <v>119</v>
      </c>
      <c r="B97" s="3">
        <v>45490</v>
      </c>
      <c r="C97" s="1" t="str">
        <f t="shared" si="2"/>
        <v>July</v>
      </c>
      <c r="D97" s="1" t="s">
        <v>329</v>
      </c>
      <c r="E97" s="1" t="s">
        <v>604</v>
      </c>
      <c r="F97" s="1" t="s">
        <v>802</v>
      </c>
      <c r="G97" s="1" t="s">
        <v>807</v>
      </c>
      <c r="H97" s="1" t="s">
        <v>811</v>
      </c>
      <c r="I97" s="1" t="s">
        <v>809</v>
      </c>
      <c r="J97" s="1" t="s">
        <v>817</v>
      </c>
      <c r="K97" s="1" t="s">
        <v>822</v>
      </c>
      <c r="L97" s="1" t="s">
        <v>854</v>
      </c>
      <c r="M97" s="1">
        <v>1</v>
      </c>
      <c r="N97" s="1">
        <v>439.11</v>
      </c>
      <c r="O97" s="1">
        <v>439.11</v>
      </c>
      <c r="P97" s="1">
        <v>0.15</v>
      </c>
      <c r="Q97" s="1">
        <v>373.24</v>
      </c>
      <c r="R97" s="1">
        <v>288.64999999999998</v>
      </c>
      <c r="S97" s="1">
        <f t="shared" si="3"/>
        <v>84.590000000000032</v>
      </c>
      <c r="T97" s="1" t="s">
        <v>873</v>
      </c>
      <c r="U97" s="1" t="s">
        <v>877</v>
      </c>
      <c r="V97" s="5" t="s">
        <v>883</v>
      </c>
    </row>
    <row r="98" spans="1:22" x14ac:dyDescent="0.3">
      <c r="A98" s="4" t="s">
        <v>120</v>
      </c>
      <c r="B98" s="3">
        <v>45416</v>
      </c>
      <c r="C98" s="1" t="str">
        <f t="shared" si="2"/>
        <v>May</v>
      </c>
      <c r="D98" s="1" t="s">
        <v>420</v>
      </c>
      <c r="E98" s="1" t="s">
        <v>605</v>
      </c>
      <c r="F98" s="1" t="s">
        <v>802</v>
      </c>
      <c r="G98" s="1" t="s">
        <v>806</v>
      </c>
      <c r="H98" s="1" t="s">
        <v>809</v>
      </c>
      <c r="I98" s="1" t="s">
        <v>816</v>
      </c>
      <c r="J98" s="1" t="s">
        <v>819</v>
      </c>
      <c r="K98" s="1" t="s">
        <v>822</v>
      </c>
      <c r="L98" s="1" t="s">
        <v>844</v>
      </c>
      <c r="M98" s="1">
        <v>7</v>
      </c>
      <c r="N98" s="1">
        <v>2573.6</v>
      </c>
      <c r="O98" s="1">
        <v>18015.2</v>
      </c>
      <c r="P98" s="1">
        <v>0.15</v>
      </c>
      <c r="Q98" s="1">
        <v>15312.92</v>
      </c>
      <c r="R98" s="1">
        <v>12426.41</v>
      </c>
      <c r="S98" s="1">
        <f t="shared" si="3"/>
        <v>2886.51</v>
      </c>
      <c r="T98" s="1" t="s">
        <v>876</v>
      </c>
      <c r="U98" s="1" t="s">
        <v>878</v>
      </c>
      <c r="V98" s="5" t="s">
        <v>882</v>
      </c>
    </row>
    <row r="99" spans="1:22" x14ac:dyDescent="0.3">
      <c r="A99" s="4" t="s">
        <v>121</v>
      </c>
      <c r="B99" s="3">
        <v>45496</v>
      </c>
      <c r="C99" s="1" t="str">
        <f t="shared" si="2"/>
        <v>July</v>
      </c>
      <c r="D99" s="1" t="s">
        <v>466</v>
      </c>
      <c r="E99" s="1" t="s">
        <v>606</v>
      </c>
      <c r="F99" s="1" t="s">
        <v>801</v>
      </c>
      <c r="G99" s="1" t="s">
        <v>804</v>
      </c>
      <c r="H99" s="1" t="s">
        <v>808</v>
      </c>
      <c r="I99" s="1" t="s">
        <v>816</v>
      </c>
      <c r="J99" s="1" t="s">
        <v>818</v>
      </c>
      <c r="K99" s="1" t="s">
        <v>821</v>
      </c>
      <c r="L99" s="1" t="s">
        <v>864</v>
      </c>
      <c r="M99" s="1">
        <v>12</v>
      </c>
      <c r="N99" s="1">
        <v>2351.81</v>
      </c>
      <c r="O99" s="1">
        <v>28221.72</v>
      </c>
      <c r="P99" s="1">
        <v>0.1</v>
      </c>
      <c r="Q99" s="1">
        <v>25399.55</v>
      </c>
      <c r="R99" s="1">
        <v>20633.59</v>
      </c>
      <c r="S99" s="1">
        <f t="shared" si="3"/>
        <v>4765.9599999999991</v>
      </c>
      <c r="T99" s="1" t="s">
        <v>875</v>
      </c>
      <c r="U99" s="1" t="s">
        <v>879</v>
      </c>
      <c r="V99" s="5" t="s">
        <v>882</v>
      </c>
    </row>
    <row r="100" spans="1:22" x14ac:dyDescent="0.3">
      <c r="A100" s="4" t="s">
        <v>122</v>
      </c>
      <c r="B100" s="3">
        <v>45491</v>
      </c>
      <c r="C100" s="1" t="str">
        <f t="shared" si="2"/>
        <v>July</v>
      </c>
      <c r="D100" s="1" t="s">
        <v>427</v>
      </c>
      <c r="E100" s="1" t="s">
        <v>607</v>
      </c>
      <c r="F100" s="1" t="s">
        <v>803</v>
      </c>
      <c r="G100" s="1" t="s">
        <v>806</v>
      </c>
      <c r="H100" s="1" t="s">
        <v>810</v>
      </c>
      <c r="I100" s="1" t="s">
        <v>814</v>
      </c>
      <c r="J100" s="1" t="s">
        <v>819</v>
      </c>
      <c r="K100" s="1" t="s">
        <v>820</v>
      </c>
      <c r="L100" s="1" t="s">
        <v>860</v>
      </c>
      <c r="M100" s="1">
        <v>8</v>
      </c>
      <c r="N100" s="1">
        <v>3215.4</v>
      </c>
      <c r="O100" s="1">
        <v>25723.200000000001</v>
      </c>
      <c r="P100" s="1">
        <v>0</v>
      </c>
      <c r="Q100" s="1">
        <v>25723.200000000001</v>
      </c>
      <c r="R100" s="1">
        <v>15679.23</v>
      </c>
      <c r="S100" s="1">
        <f t="shared" si="3"/>
        <v>10043.970000000001</v>
      </c>
      <c r="T100" s="1" t="s">
        <v>873</v>
      </c>
      <c r="U100" s="1" t="s">
        <v>881</v>
      </c>
      <c r="V100" s="5" t="s">
        <v>882</v>
      </c>
    </row>
    <row r="101" spans="1:22" x14ac:dyDescent="0.3">
      <c r="A101" s="4" t="s">
        <v>123</v>
      </c>
      <c r="B101" s="3">
        <v>45535</v>
      </c>
      <c r="C101" s="1" t="str">
        <f t="shared" si="2"/>
        <v>August</v>
      </c>
      <c r="D101" s="1" t="s">
        <v>413</v>
      </c>
      <c r="E101" s="1" t="s">
        <v>608</v>
      </c>
      <c r="F101" s="1" t="s">
        <v>802</v>
      </c>
      <c r="G101" s="1" t="s">
        <v>805</v>
      </c>
      <c r="H101" s="1" t="s">
        <v>810</v>
      </c>
      <c r="I101" s="1" t="s">
        <v>813</v>
      </c>
      <c r="J101" s="1" t="s">
        <v>819</v>
      </c>
      <c r="K101" s="1" t="s">
        <v>821</v>
      </c>
      <c r="L101" s="1" t="s">
        <v>853</v>
      </c>
      <c r="M101" s="1">
        <v>1</v>
      </c>
      <c r="N101" s="1">
        <v>2381.71</v>
      </c>
      <c r="O101" s="1">
        <v>2381.71</v>
      </c>
      <c r="P101" s="1">
        <v>0.1</v>
      </c>
      <c r="Q101" s="1">
        <v>2143.54</v>
      </c>
      <c r="R101" s="1">
        <v>1565.69</v>
      </c>
      <c r="S101" s="1">
        <f t="shared" si="3"/>
        <v>577.84999999999991</v>
      </c>
      <c r="T101" s="1" t="s">
        <v>876</v>
      </c>
      <c r="U101" s="1" t="s">
        <v>881</v>
      </c>
      <c r="V101" s="5" t="s">
        <v>884</v>
      </c>
    </row>
    <row r="102" spans="1:22" x14ac:dyDescent="0.3">
      <c r="A102" s="4" t="s">
        <v>124</v>
      </c>
      <c r="B102" s="3">
        <v>45618</v>
      </c>
      <c r="C102" s="1" t="str">
        <f t="shared" si="2"/>
        <v>November</v>
      </c>
      <c r="D102" s="1" t="s">
        <v>426</v>
      </c>
      <c r="E102" s="1" t="s">
        <v>609</v>
      </c>
      <c r="F102" s="1" t="s">
        <v>801</v>
      </c>
      <c r="G102" s="1" t="s">
        <v>805</v>
      </c>
      <c r="H102" s="1" t="s">
        <v>812</v>
      </c>
      <c r="I102" s="1" t="s">
        <v>814</v>
      </c>
      <c r="J102" s="1" t="s">
        <v>819</v>
      </c>
      <c r="K102" s="1" t="s">
        <v>820</v>
      </c>
      <c r="L102" s="1" t="s">
        <v>830</v>
      </c>
      <c r="M102" s="1">
        <v>5</v>
      </c>
      <c r="N102" s="1">
        <v>1250.51</v>
      </c>
      <c r="O102" s="1">
        <v>6252.55</v>
      </c>
      <c r="P102" s="1">
        <v>0.15</v>
      </c>
      <c r="Q102" s="1">
        <v>5314.67</v>
      </c>
      <c r="R102" s="1">
        <v>3270.52</v>
      </c>
      <c r="S102" s="1">
        <f t="shared" si="3"/>
        <v>2044.15</v>
      </c>
      <c r="T102" s="1" t="s">
        <v>874</v>
      </c>
      <c r="U102" s="1" t="s">
        <v>878</v>
      </c>
      <c r="V102" s="5" t="s">
        <v>883</v>
      </c>
    </row>
    <row r="103" spans="1:22" x14ac:dyDescent="0.3">
      <c r="A103" s="4" t="s">
        <v>125</v>
      </c>
      <c r="B103" s="3">
        <v>45404</v>
      </c>
      <c r="C103" s="1" t="str">
        <f t="shared" si="2"/>
        <v>April</v>
      </c>
      <c r="D103" s="1" t="s">
        <v>371</v>
      </c>
      <c r="E103" s="1" t="s">
        <v>610</v>
      </c>
      <c r="F103" s="1" t="s">
        <v>802</v>
      </c>
      <c r="G103" s="1" t="s">
        <v>806</v>
      </c>
      <c r="H103" s="1" t="s">
        <v>811</v>
      </c>
      <c r="I103" s="1" t="s">
        <v>814</v>
      </c>
      <c r="J103" s="1" t="s">
        <v>818</v>
      </c>
      <c r="K103" s="1" t="s">
        <v>820</v>
      </c>
      <c r="L103" s="1" t="s">
        <v>838</v>
      </c>
      <c r="M103" s="1">
        <v>7</v>
      </c>
      <c r="N103" s="1">
        <v>1832.56</v>
      </c>
      <c r="O103" s="1">
        <v>12827.92</v>
      </c>
      <c r="P103" s="1">
        <v>0.05</v>
      </c>
      <c r="Q103" s="1">
        <v>12186.52</v>
      </c>
      <c r="R103" s="1">
        <v>7705.84</v>
      </c>
      <c r="S103" s="1">
        <f t="shared" si="3"/>
        <v>4480.68</v>
      </c>
      <c r="T103" s="1" t="s">
        <v>874</v>
      </c>
      <c r="U103" s="1" t="s">
        <v>878</v>
      </c>
      <c r="V103" s="5" t="s">
        <v>884</v>
      </c>
    </row>
    <row r="104" spans="1:22" x14ac:dyDescent="0.3">
      <c r="A104" s="4" t="s">
        <v>126</v>
      </c>
      <c r="B104" s="3">
        <v>45442</v>
      </c>
      <c r="C104" s="1" t="str">
        <f t="shared" si="2"/>
        <v>May</v>
      </c>
      <c r="D104" s="1" t="s">
        <v>467</v>
      </c>
      <c r="E104" s="1" t="s">
        <v>611</v>
      </c>
      <c r="F104" s="1" t="s">
        <v>801</v>
      </c>
      <c r="G104" s="1" t="s">
        <v>805</v>
      </c>
      <c r="H104" s="1" t="s">
        <v>812</v>
      </c>
      <c r="I104" s="1" t="s">
        <v>816</v>
      </c>
      <c r="J104" s="1" t="s">
        <v>818</v>
      </c>
      <c r="K104" s="1" t="s">
        <v>820</v>
      </c>
      <c r="L104" s="1" t="s">
        <v>841</v>
      </c>
      <c r="M104" s="1">
        <v>9</v>
      </c>
      <c r="N104" s="1">
        <v>2413.7800000000002</v>
      </c>
      <c r="O104" s="1">
        <v>21724.02</v>
      </c>
      <c r="P104" s="1">
        <v>0.15</v>
      </c>
      <c r="Q104" s="1">
        <v>18465.419999999998</v>
      </c>
      <c r="R104" s="1">
        <v>12716.89</v>
      </c>
      <c r="S104" s="1">
        <f t="shared" si="3"/>
        <v>5748.5299999999988</v>
      </c>
      <c r="T104" s="1" t="s">
        <v>876</v>
      </c>
      <c r="U104" s="1" t="s">
        <v>879</v>
      </c>
      <c r="V104" s="5" t="s">
        <v>884</v>
      </c>
    </row>
    <row r="105" spans="1:22" x14ac:dyDescent="0.3">
      <c r="A105" s="4" t="s">
        <v>127</v>
      </c>
      <c r="B105" s="3">
        <v>45417</v>
      </c>
      <c r="C105" s="1" t="str">
        <f t="shared" si="2"/>
        <v>May</v>
      </c>
      <c r="D105" s="1" t="s">
        <v>420</v>
      </c>
      <c r="E105" s="1" t="s">
        <v>612</v>
      </c>
      <c r="F105" s="1" t="s">
        <v>802</v>
      </c>
      <c r="G105" s="1" t="s">
        <v>807</v>
      </c>
      <c r="H105" s="1" t="s">
        <v>810</v>
      </c>
      <c r="I105" s="1" t="s">
        <v>815</v>
      </c>
      <c r="J105" s="1" t="s">
        <v>819</v>
      </c>
      <c r="K105" s="1" t="s">
        <v>820</v>
      </c>
      <c r="L105" s="1" t="s">
        <v>859</v>
      </c>
      <c r="M105" s="1">
        <v>5</v>
      </c>
      <c r="N105" s="1">
        <v>1392.99</v>
      </c>
      <c r="O105" s="1">
        <v>6964.95</v>
      </c>
      <c r="P105" s="1">
        <v>0.15</v>
      </c>
      <c r="Q105" s="1">
        <v>5920.21</v>
      </c>
      <c r="R105" s="1">
        <v>4186.32</v>
      </c>
      <c r="S105" s="1">
        <f t="shared" si="3"/>
        <v>1733.8900000000003</v>
      </c>
      <c r="T105" s="1" t="s">
        <v>874</v>
      </c>
      <c r="U105" s="1" t="s">
        <v>880</v>
      </c>
      <c r="V105" s="5" t="s">
        <v>883</v>
      </c>
    </row>
    <row r="106" spans="1:22" x14ac:dyDescent="0.3">
      <c r="A106" s="4" t="s">
        <v>128</v>
      </c>
      <c r="B106" s="3">
        <v>45468</v>
      </c>
      <c r="C106" s="1" t="str">
        <f t="shared" si="2"/>
        <v>June</v>
      </c>
      <c r="D106" s="1" t="s">
        <v>403</v>
      </c>
      <c r="E106" s="1" t="s">
        <v>613</v>
      </c>
      <c r="F106" s="1" t="s">
        <v>802</v>
      </c>
      <c r="G106" s="1" t="s">
        <v>807</v>
      </c>
      <c r="H106" s="1" t="s">
        <v>812</v>
      </c>
      <c r="I106" s="1" t="s">
        <v>814</v>
      </c>
      <c r="J106" s="1" t="s">
        <v>817</v>
      </c>
      <c r="K106" s="1" t="s">
        <v>821</v>
      </c>
      <c r="L106" s="1" t="s">
        <v>838</v>
      </c>
      <c r="M106" s="1">
        <v>10</v>
      </c>
      <c r="N106" s="1">
        <v>446.46</v>
      </c>
      <c r="O106" s="1">
        <v>4464.6000000000004</v>
      </c>
      <c r="P106" s="1">
        <v>0</v>
      </c>
      <c r="Q106" s="1">
        <v>4464.6000000000004</v>
      </c>
      <c r="R106" s="1">
        <v>2912.87</v>
      </c>
      <c r="S106" s="1">
        <f t="shared" si="3"/>
        <v>1551.7300000000005</v>
      </c>
      <c r="T106" s="1" t="s">
        <v>875</v>
      </c>
      <c r="U106" s="1" t="s">
        <v>880</v>
      </c>
      <c r="V106" s="5" t="s">
        <v>884</v>
      </c>
    </row>
    <row r="107" spans="1:22" x14ac:dyDescent="0.3">
      <c r="A107" s="4" t="s">
        <v>129</v>
      </c>
      <c r="B107" s="3">
        <v>45469</v>
      </c>
      <c r="C107" s="1" t="str">
        <f t="shared" si="2"/>
        <v>June</v>
      </c>
      <c r="D107" s="1" t="s">
        <v>344</v>
      </c>
      <c r="E107" s="1" t="s">
        <v>614</v>
      </c>
      <c r="F107" s="1" t="s">
        <v>802</v>
      </c>
      <c r="G107" s="1" t="s">
        <v>804</v>
      </c>
      <c r="H107" s="1" t="s">
        <v>808</v>
      </c>
      <c r="I107" s="1" t="s">
        <v>815</v>
      </c>
      <c r="J107" s="1" t="s">
        <v>817</v>
      </c>
      <c r="K107" s="1" t="s">
        <v>822</v>
      </c>
      <c r="L107" s="1" t="s">
        <v>845</v>
      </c>
      <c r="M107" s="1">
        <v>3</v>
      </c>
      <c r="N107" s="1">
        <v>1046.48</v>
      </c>
      <c r="O107" s="1">
        <v>3139.44</v>
      </c>
      <c r="P107" s="1">
        <v>0.15</v>
      </c>
      <c r="Q107" s="1">
        <v>2668.52</v>
      </c>
      <c r="R107" s="1">
        <v>2129.2600000000002</v>
      </c>
      <c r="S107" s="1">
        <f t="shared" si="3"/>
        <v>539.25999999999976</v>
      </c>
      <c r="T107" s="1" t="s">
        <v>875</v>
      </c>
      <c r="U107" s="1" t="s">
        <v>881</v>
      </c>
      <c r="V107" s="5" t="s">
        <v>882</v>
      </c>
    </row>
    <row r="108" spans="1:22" x14ac:dyDescent="0.3">
      <c r="A108" s="4" t="s">
        <v>130</v>
      </c>
      <c r="B108" s="3">
        <v>45516</v>
      </c>
      <c r="C108" s="1" t="str">
        <f t="shared" si="2"/>
        <v>August</v>
      </c>
      <c r="D108" s="1" t="s">
        <v>342</v>
      </c>
      <c r="E108" s="1" t="s">
        <v>615</v>
      </c>
      <c r="F108" s="1" t="s">
        <v>801</v>
      </c>
      <c r="G108" s="1" t="s">
        <v>805</v>
      </c>
      <c r="H108" s="1" t="s">
        <v>808</v>
      </c>
      <c r="I108" s="1" t="s">
        <v>809</v>
      </c>
      <c r="J108" s="1" t="s">
        <v>819</v>
      </c>
      <c r="K108" s="1" t="s">
        <v>822</v>
      </c>
      <c r="L108" s="1" t="s">
        <v>838</v>
      </c>
      <c r="M108" s="1">
        <v>2</v>
      </c>
      <c r="N108" s="1">
        <v>2120.6999999999998</v>
      </c>
      <c r="O108" s="1">
        <v>4241.3999999999996</v>
      </c>
      <c r="P108" s="1">
        <v>0.1</v>
      </c>
      <c r="Q108" s="1">
        <v>3817.26</v>
      </c>
      <c r="R108" s="1">
        <v>2690.25</v>
      </c>
      <c r="S108" s="1">
        <f t="shared" si="3"/>
        <v>1127.0100000000002</v>
      </c>
      <c r="T108" s="1" t="s">
        <v>873</v>
      </c>
      <c r="U108" s="1" t="s">
        <v>880</v>
      </c>
      <c r="V108" s="5" t="s">
        <v>884</v>
      </c>
    </row>
    <row r="109" spans="1:22" x14ac:dyDescent="0.3">
      <c r="A109" s="4" t="s">
        <v>131</v>
      </c>
      <c r="B109" s="3">
        <v>45376</v>
      </c>
      <c r="C109" s="1" t="str">
        <f t="shared" si="2"/>
        <v>March</v>
      </c>
      <c r="D109" s="1" t="s">
        <v>431</v>
      </c>
      <c r="E109" s="1" t="s">
        <v>616</v>
      </c>
      <c r="F109" s="1" t="s">
        <v>801</v>
      </c>
      <c r="G109" s="1" t="s">
        <v>805</v>
      </c>
      <c r="H109" s="1" t="s">
        <v>812</v>
      </c>
      <c r="I109" s="1" t="s">
        <v>816</v>
      </c>
      <c r="J109" s="1" t="s">
        <v>819</v>
      </c>
      <c r="K109" s="1" t="s">
        <v>822</v>
      </c>
      <c r="L109" s="1" t="s">
        <v>858</v>
      </c>
      <c r="M109" s="1">
        <v>10</v>
      </c>
      <c r="N109" s="1">
        <v>3074.92</v>
      </c>
      <c r="O109" s="1">
        <v>30749.200000000001</v>
      </c>
      <c r="P109" s="1">
        <v>0</v>
      </c>
      <c r="Q109" s="1">
        <v>30749.200000000001</v>
      </c>
      <c r="R109" s="1">
        <v>19682.240000000002</v>
      </c>
      <c r="S109" s="1">
        <f t="shared" si="3"/>
        <v>11066.96</v>
      </c>
      <c r="T109" s="1" t="s">
        <v>876</v>
      </c>
      <c r="U109" s="1" t="s">
        <v>880</v>
      </c>
      <c r="V109" s="5" t="s">
        <v>883</v>
      </c>
    </row>
    <row r="110" spans="1:22" x14ac:dyDescent="0.3">
      <c r="A110" s="4" t="s">
        <v>132</v>
      </c>
      <c r="B110" s="3">
        <v>45476</v>
      </c>
      <c r="C110" s="1" t="str">
        <f t="shared" si="2"/>
        <v>July</v>
      </c>
      <c r="D110" s="1" t="s">
        <v>404</v>
      </c>
      <c r="E110" s="1" t="s">
        <v>617</v>
      </c>
      <c r="F110" s="1" t="s">
        <v>803</v>
      </c>
      <c r="G110" s="1" t="s">
        <v>805</v>
      </c>
      <c r="H110" s="1" t="s">
        <v>811</v>
      </c>
      <c r="I110" s="1" t="s">
        <v>813</v>
      </c>
      <c r="J110" s="1" t="s">
        <v>817</v>
      </c>
      <c r="K110" s="1" t="s">
        <v>820</v>
      </c>
      <c r="L110" s="1" t="s">
        <v>850</v>
      </c>
      <c r="M110" s="1">
        <v>11</v>
      </c>
      <c r="N110" s="1">
        <v>488.44</v>
      </c>
      <c r="O110" s="1">
        <v>5372.84</v>
      </c>
      <c r="P110" s="1">
        <v>0</v>
      </c>
      <c r="Q110" s="1">
        <v>5372.84</v>
      </c>
      <c r="R110" s="1">
        <v>4140.5600000000004</v>
      </c>
      <c r="S110" s="1">
        <f t="shared" si="3"/>
        <v>1232.2799999999997</v>
      </c>
      <c r="T110" s="1" t="s">
        <v>873</v>
      </c>
      <c r="U110" s="1" t="s">
        <v>880</v>
      </c>
      <c r="V110" s="5" t="s">
        <v>884</v>
      </c>
    </row>
    <row r="111" spans="1:22" x14ac:dyDescent="0.3">
      <c r="A111" s="4" t="s">
        <v>133</v>
      </c>
      <c r="B111" s="3">
        <v>45340</v>
      </c>
      <c r="C111" s="1" t="str">
        <f t="shared" si="2"/>
        <v>February</v>
      </c>
      <c r="D111" s="1" t="s">
        <v>388</v>
      </c>
      <c r="E111" s="1" t="s">
        <v>618</v>
      </c>
      <c r="F111" s="1" t="s">
        <v>801</v>
      </c>
      <c r="G111" s="1" t="s">
        <v>805</v>
      </c>
      <c r="H111" s="1" t="s">
        <v>812</v>
      </c>
      <c r="I111" s="1" t="s">
        <v>816</v>
      </c>
      <c r="J111" s="1" t="s">
        <v>819</v>
      </c>
      <c r="K111" s="1" t="s">
        <v>821</v>
      </c>
      <c r="L111" s="1" t="s">
        <v>865</v>
      </c>
      <c r="M111" s="1">
        <v>11</v>
      </c>
      <c r="N111" s="1">
        <v>1535.09</v>
      </c>
      <c r="O111" s="1">
        <v>16885.990000000002</v>
      </c>
      <c r="P111" s="1">
        <v>0.15</v>
      </c>
      <c r="Q111" s="1">
        <v>14353.09</v>
      </c>
      <c r="R111" s="1">
        <v>11405.41</v>
      </c>
      <c r="S111" s="1">
        <f t="shared" si="3"/>
        <v>2947.6800000000003</v>
      </c>
      <c r="T111" s="1" t="s">
        <v>874</v>
      </c>
      <c r="U111" s="1" t="s">
        <v>879</v>
      </c>
      <c r="V111" s="5" t="s">
        <v>884</v>
      </c>
    </row>
    <row r="112" spans="1:22" x14ac:dyDescent="0.3">
      <c r="A112" s="4" t="s">
        <v>134</v>
      </c>
      <c r="B112" s="3">
        <v>45544</v>
      </c>
      <c r="C112" s="1" t="str">
        <f t="shared" si="2"/>
        <v>September</v>
      </c>
      <c r="D112" s="1" t="s">
        <v>338</v>
      </c>
      <c r="E112" s="1" t="s">
        <v>619</v>
      </c>
      <c r="F112" s="1" t="s">
        <v>803</v>
      </c>
      <c r="G112" s="1" t="s">
        <v>805</v>
      </c>
      <c r="H112" s="1" t="s">
        <v>809</v>
      </c>
      <c r="I112" s="1" t="s">
        <v>815</v>
      </c>
      <c r="J112" s="1" t="s">
        <v>817</v>
      </c>
      <c r="K112" s="1" t="s">
        <v>822</v>
      </c>
      <c r="L112" s="1" t="s">
        <v>850</v>
      </c>
      <c r="M112" s="1">
        <v>6</v>
      </c>
      <c r="N112" s="1">
        <v>1961.62</v>
      </c>
      <c r="O112" s="1">
        <v>11769.72</v>
      </c>
      <c r="P112" s="1">
        <v>0.1</v>
      </c>
      <c r="Q112" s="1">
        <v>10592.75</v>
      </c>
      <c r="R112" s="1">
        <v>8667.42</v>
      </c>
      <c r="S112" s="1">
        <f t="shared" si="3"/>
        <v>1925.33</v>
      </c>
      <c r="T112" s="1" t="s">
        <v>874</v>
      </c>
      <c r="U112" s="1" t="s">
        <v>880</v>
      </c>
      <c r="V112" s="5" t="s">
        <v>883</v>
      </c>
    </row>
    <row r="113" spans="1:22" x14ac:dyDescent="0.3">
      <c r="A113" s="4" t="s">
        <v>135</v>
      </c>
      <c r="B113" s="3">
        <v>45617</v>
      </c>
      <c r="C113" s="1" t="str">
        <f t="shared" si="2"/>
        <v>November</v>
      </c>
      <c r="D113" s="1" t="s">
        <v>377</v>
      </c>
      <c r="E113" s="1" t="s">
        <v>620</v>
      </c>
      <c r="F113" s="1" t="s">
        <v>801</v>
      </c>
      <c r="G113" s="1" t="s">
        <v>807</v>
      </c>
      <c r="H113" s="1" t="s">
        <v>809</v>
      </c>
      <c r="I113" s="1" t="s">
        <v>809</v>
      </c>
      <c r="J113" s="1" t="s">
        <v>817</v>
      </c>
      <c r="K113" s="1" t="s">
        <v>820</v>
      </c>
      <c r="L113" s="1" t="s">
        <v>841</v>
      </c>
      <c r="M113" s="1">
        <v>1</v>
      </c>
      <c r="N113" s="1">
        <v>1636.52</v>
      </c>
      <c r="O113" s="1">
        <v>1636.52</v>
      </c>
      <c r="P113" s="1">
        <v>0.15</v>
      </c>
      <c r="Q113" s="1">
        <v>1391.04</v>
      </c>
      <c r="R113" s="1">
        <v>1024.29</v>
      </c>
      <c r="S113" s="1">
        <f t="shared" si="3"/>
        <v>366.75</v>
      </c>
      <c r="T113" s="1" t="s">
        <v>876</v>
      </c>
      <c r="U113" s="1" t="s">
        <v>881</v>
      </c>
      <c r="V113" s="5" t="s">
        <v>883</v>
      </c>
    </row>
    <row r="114" spans="1:22" x14ac:dyDescent="0.3">
      <c r="A114" s="4" t="s">
        <v>136</v>
      </c>
      <c r="B114" s="3">
        <v>45605</v>
      </c>
      <c r="C114" s="1" t="str">
        <f t="shared" si="2"/>
        <v>November</v>
      </c>
      <c r="D114" s="1" t="s">
        <v>393</v>
      </c>
      <c r="E114" s="1" t="s">
        <v>621</v>
      </c>
      <c r="F114" s="1" t="s">
        <v>802</v>
      </c>
      <c r="G114" s="1" t="s">
        <v>806</v>
      </c>
      <c r="H114" s="1" t="s">
        <v>809</v>
      </c>
      <c r="I114" s="1" t="s">
        <v>813</v>
      </c>
      <c r="J114" s="1" t="s">
        <v>817</v>
      </c>
      <c r="K114" s="1" t="s">
        <v>822</v>
      </c>
      <c r="L114" s="1" t="s">
        <v>857</v>
      </c>
      <c r="M114" s="1">
        <v>10</v>
      </c>
      <c r="N114" s="1">
        <v>855.86</v>
      </c>
      <c r="O114" s="1">
        <v>8558.6</v>
      </c>
      <c r="P114" s="1">
        <v>0</v>
      </c>
      <c r="Q114" s="1">
        <v>8558.6</v>
      </c>
      <c r="R114" s="1">
        <v>5589.84</v>
      </c>
      <c r="S114" s="1">
        <f t="shared" si="3"/>
        <v>2968.76</v>
      </c>
      <c r="T114" s="1" t="s">
        <v>876</v>
      </c>
      <c r="U114" s="1" t="s">
        <v>877</v>
      </c>
      <c r="V114" s="5" t="s">
        <v>884</v>
      </c>
    </row>
    <row r="115" spans="1:22" x14ac:dyDescent="0.3">
      <c r="A115" s="4" t="s">
        <v>137</v>
      </c>
      <c r="B115" s="3">
        <v>45363</v>
      </c>
      <c r="C115" s="1" t="str">
        <f t="shared" si="2"/>
        <v>March</v>
      </c>
      <c r="D115" s="1" t="s">
        <v>416</v>
      </c>
      <c r="E115" s="1" t="s">
        <v>622</v>
      </c>
      <c r="F115" s="1" t="s">
        <v>801</v>
      </c>
      <c r="G115" s="1" t="s">
        <v>804</v>
      </c>
      <c r="H115" s="1" t="s">
        <v>812</v>
      </c>
      <c r="I115" s="1" t="s">
        <v>809</v>
      </c>
      <c r="J115" s="1" t="s">
        <v>819</v>
      </c>
      <c r="K115" s="1" t="s">
        <v>821</v>
      </c>
      <c r="L115" s="1" t="s">
        <v>848</v>
      </c>
      <c r="M115" s="1">
        <v>5</v>
      </c>
      <c r="N115" s="1">
        <v>2142.5100000000002</v>
      </c>
      <c r="O115" s="1">
        <v>10712.55</v>
      </c>
      <c r="P115" s="1">
        <v>0.1</v>
      </c>
      <c r="Q115" s="1">
        <v>9641.2999999999993</v>
      </c>
      <c r="R115" s="1">
        <v>7863.57</v>
      </c>
      <c r="S115" s="1">
        <f t="shared" si="3"/>
        <v>1777.7299999999996</v>
      </c>
      <c r="T115" s="1" t="s">
        <v>876</v>
      </c>
      <c r="U115" s="1" t="s">
        <v>878</v>
      </c>
      <c r="V115" s="5" t="s">
        <v>883</v>
      </c>
    </row>
    <row r="116" spans="1:22" x14ac:dyDescent="0.3">
      <c r="A116" s="4" t="s">
        <v>138</v>
      </c>
      <c r="B116" s="3">
        <v>45559</v>
      </c>
      <c r="C116" s="1" t="str">
        <f t="shared" si="2"/>
        <v>September</v>
      </c>
      <c r="D116" s="1" t="s">
        <v>441</v>
      </c>
      <c r="E116" s="1" t="s">
        <v>623</v>
      </c>
      <c r="F116" s="1" t="s">
        <v>801</v>
      </c>
      <c r="G116" s="1" t="s">
        <v>804</v>
      </c>
      <c r="H116" s="1" t="s">
        <v>809</v>
      </c>
      <c r="I116" s="1" t="s">
        <v>816</v>
      </c>
      <c r="J116" s="1" t="s">
        <v>818</v>
      </c>
      <c r="K116" s="1" t="s">
        <v>821</v>
      </c>
      <c r="L116" s="1" t="s">
        <v>864</v>
      </c>
      <c r="M116" s="1">
        <v>2</v>
      </c>
      <c r="N116" s="1">
        <v>2798.71</v>
      </c>
      <c r="O116" s="1">
        <v>5597.42</v>
      </c>
      <c r="P116" s="1">
        <v>0.15</v>
      </c>
      <c r="Q116" s="1">
        <v>4757.8100000000004</v>
      </c>
      <c r="R116" s="1">
        <v>3539</v>
      </c>
      <c r="S116" s="1">
        <f t="shared" si="3"/>
        <v>1218.8100000000004</v>
      </c>
      <c r="T116" s="1" t="s">
        <v>875</v>
      </c>
      <c r="U116" s="1" t="s">
        <v>878</v>
      </c>
      <c r="V116" s="5" t="s">
        <v>884</v>
      </c>
    </row>
    <row r="117" spans="1:22" x14ac:dyDescent="0.3">
      <c r="A117" s="4" t="s">
        <v>139</v>
      </c>
      <c r="B117" s="3">
        <v>45572</v>
      </c>
      <c r="C117" s="1" t="str">
        <f t="shared" si="2"/>
        <v>October</v>
      </c>
      <c r="D117" s="1" t="s">
        <v>468</v>
      </c>
      <c r="E117" s="1" t="s">
        <v>624</v>
      </c>
      <c r="F117" s="1" t="s">
        <v>801</v>
      </c>
      <c r="G117" s="1" t="s">
        <v>804</v>
      </c>
      <c r="H117" s="1" t="s">
        <v>809</v>
      </c>
      <c r="I117" s="1" t="s">
        <v>809</v>
      </c>
      <c r="J117" s="1" t="s">
        <v>817</v>
      </c>
      <c r="K117" s="1" t="s">
        <v>820</v>
      </c>
      <c r="L117" s="1" t="s">
        <v>866</v>
      </c>
      <c r="M117" s="1">
        <v>2</v>
      </c>
      <c r="N117" s="1">
        <v>2397.9699999999998</v>
      </c>
      <c r="O117" s="1">
        <v>4795.9399999999996</v>
      </c>
      <c r="P117" s="1">
        <v>0.05</v>
      </c>
      <c r="Q117" s="1">
        <v>4556.1400000000003</v>
      </c>
      <c r="R117" s="1">
        <v>3754</v>
      </c>
      <c r="S117" s="1">
        <f t="shared" si="3"/>
        <v>802.14000000000033</v>
      </c>
      <c r="T117" s="1" t="s">
        <v>875</v>
      </c>
      <c r="U117" s="1" t="s">
        <v>878</v>
      </c>
      <c r="V117" s="5" t="s">
        <v>882</v>
      </c>
    </row>
    <row r="118" spans="1:22" x14ac:dyDescent="0.3">
      <c r="A118" s="4" t="s">
        <v>140</v>
      </c>
      <c r="B118" s="3">
        <v>45433</v>
      </c>
      <c r="C118" s="1" t="str">
        <f t="shared" si="2"/>
        <v>May</v>
      </c>
      <c r="D118" s="1" t="s">
        <v>436</v>
      </c>
      <c r="E118" s="1" t="s">
        <v>625</v>
      </c>
      <c r="F118" s="1" t="s">
        <v>802</v>
      </c>
      <c r="G118" s="1" t="s">
        <v>806</v>
      </c>
      <c r="H118" s="1" t="s">
        <v>809</v>
      </c>
      <c r="I118" s="1" t="s">
        <v>815</v>
      </c>
      <c r="J118" s="1" t="s">
        <v>818</v>
      </c>
      <c r="K118" s="1" t="s">
        <v>821</v>
      </c>
      <c r="L118" s="1" t="s">
        <v>850</v>
      </c>
      <c r="M118" s="1">
        <v>10</v>
      </c>
      <c r="N118" s="1">
        <v>1151.04</v>
      </c>
      <c r="O118" s="1">
        <v>11510.4</v>
      </c>
      <c r="P118" s="1">
        <v>0.05</v>
      </c>
      <c r="Q118" s="1">
        <v>10934.88</v>
      </c>
      <c r="R118" s="1">
        <v>9083.61</v>
      </c>
      <c r="S118" s="1">
        <f t="shared" si="3"/>
        <v>1851.2699999999986</v>
      </c>
      <c r="T118" s="1" t="s">
        <v>873</v>
      </c>
      <c r="U118" s="1" t="s">
        <v>878</v>
      </c>
      <c r="V118" s="5" t="s">
        <v>883</v>
      </c>
    </row>
    <row r="119" spans="1:22" x14ac:dyDescent="0.3">
      <c r="A119" s="4" t="s">
        <v>141</v>
      </c>
      <c r="B119" s="3">
        <v>45422</v>
      </c>
      <c r="C119" s="1" t="str">
        <f t="shared" si="2"/>
        <v>May</v>
      </c>
      <c r="D119" s="1" t="s">
        <v>420</v>
      </c>
      <c r="E119" s="1" t="s">
        <v>626</v>
      </c>
      <c r="F119" s="1" t="s">
        <v>801</v>
      </c>
      <c r="G119" s="1" t="s">
        <v>807</v>
      </c>
      <c r="H119" s="1" t="s">
        <v>812</v>
      </c>
      <c r="I119" s="1" t="s">
        <v>814</v>
      </c>
      <c r="J119" s="1" t="s">
        <v>817</v>
      </c>
      <c r="K119" s="1" t="s">
        <v>822</v>
      </c>
      <c r="L119" s="1" t="s">
        <v>854</v>
      </c>
      <c r="M119" s="1">
        <v>12</v>
      </c>
      <c r="N119" s="1">
        <v>499.1</v>
      </c>
      <c r="O119" s="1">
        <v>5989.2</v>
      </c>
      <c r="P119" s="1">
        <v>0</v>
      </c>
      <c r="Q119" s="1">
        <v>5989.2</v>
      </c>
      <c r="R119" s="1">
        <v>3615.57</v>
      </c>
      <c r="S119" s="1">
        <f t="shared" si="3"/>
        <v>2373.6299999999997</v>
      </c>
      <c r="T119" s="1" t="s">
        <v>876</v>
      </c>
      <c r="U119" s="1" t="s">
        <v>879</v>
      </c>
      <c r="V119" s="5" t="s">
        <v>884</v>
      </c>
    </row>
    <row r="120" spans="1:22" x14ac:dyDescent="0.3">
      <c r="A120" s="4" t="s">
        <v>142</v>
      </c>
      <c r="B120" s="3">
        <v>45586</v>
      </c>
      <c r="C120" s="1" t="str">
        <f t="shared" si="2"/>
        <v>October</v>
      </c>
      <c r="D120" s="1" t="s">
        <v>425</v>
      </c>
      <c r="E120" s="1" t="s">
        <v>627</v>
      </c>
      <c r="F120" s="1" t="s">
        <v>801</v>
      </c>
      <c r="G120" s="1" t="s">
        <v>806</v>
      </c>
      <c r="H120" s="1" t="s">
        <v>811</v>
      </c>
      <c r="I120" s="1" t="s">
        <v>816</v>
      </c>
      <c r="J120" s="1" t="s">
        <v>819</v>
      </c>
      <c r="K120" s="1" t="s">
        <v>822</v>
      </c>
      <c r="L120" s="1" t="s">
        <v>849</v>
      </c>
      <c r="M120" s="1">
        <v>8</v>
      </c>
      <c r="N120" s="1">
        <v>1856.39</v>
      </c>
      <c r="O120" s="1">
        <v>14851.12</v>
      </c>
      <c r="P120" s="1">
        <v>0.05</v>
      </c>
      <c r="Q120" s="1">
        <v>14108.56</v>
      </c>
      <c r="R120" s="1">
        <v>8976.24</v>
      </c>
      <c r="S120" s="1">
        <f t="shared" si="3"/>
        <v>5132.32</v>
      </c>
      <c r="T120" s="1" t="s">
        <v>874</v>
      </c>
      <c r="U120" s="1" t="s">
        <v>879</v>
      </c>
      <c r="V120" s="5" t="s">
        <v>884</v>
      </c>
    </row>
    <row r="121" spans="1:22" x14ac:dyDescent="0.3">
      <c r="A121" s="4" t="s">
        <v>143</v>
      </c>
      <c r="B121" s="3">
        <v>45323</v>
      </c>
      <c r="C121" s="1" t="str">
        <f t="shared" si="2"/>
        <v>February</v>
      </c>
      <c r="D121" s="1" t="s">
        <v>469</v>
      </c>
      <c r="E121" s="1" t="s">
        <v>628</v>
      </c>
      <c r="F121" s="1" t="s">
        <v>803</v>
      </c>
      <c r="G121" s="1" t="s">
        <v>807</v>
      </c>
      <c r="H121" s="1" t="s">
        <v>808</v>
      </c>
      <c r="I121" s="1" t="s">
        <v>816</v>
      </c>
      <c r="J121" s="1" t="s">
        <v>817</v>
      </c>
      <c r="K121" s="1" t="s">
        <v>822</v>
      </c>
      <c r="L121" s="1" t="s">
        <v>867</v>
      </c>
      <c r="M121" s="1">
        <v>11</v>
      </c>
      <c r="N121" s="1">
        <v>2580.12</v>
      </c>
      <c r="O121" s="1">
        <v>28381.32</v>
      </c>
      <c r="P121" s="1">
        <v>0.1</v>
      </c>
      <c r="Q121" s="1">
        <v>25543.19</v>
      </c>
      <c r="R121" s="1">
        <v>20878.740000000002</v>
      </c>
      <c r="S121" s="1">
        <f t="shared" si="3"/>
        <v>4664.4499999999971</v>
      </c>
      <c r="T121" s="1" t="s">
        <v>873</v>
      </c>
      <c r="U121" s="1" t="s">
        <v>881</v>
      </c>
      <c r="V121" s="5" t="s">
        <v>882</v>
      </c>
    </row>
    <row r="122" spans="1:22" x14ac:dyDescent="0.3">
      <c r="A122" s="4" t="s">
        <v>144</v>
      </c>
      <c r="B122" s="3">
        <v>45523</v>
      </c>
      <c r="C122" s="1" t="str">
        <f t="shared" si="2"/>
        <v>August</v>
      </c>
      <c r="D122" s="1" t="s">
        <v>386</v>
      </c>
      <c r="E122" s="1" t="s">
        <v>629</v>
      </c>
      <c r="F122" s="1" t="s">
        <v>802</v>
      </c>
      <c r="G122" s="1" t="s">
        <v>804</v>
      </c>
      <c r="H122" s="1" t="s">
        <v>812</v>
      </c>
      <c r="I122" s="1" t="s">
        <v>813</v>
      </c>
      <c r="J122" s="1" t="s">
        <v>818</v>
      </c>
      <c r="K122" s="1" t="s">
        <v>820</v>
      </c>
      <c r="L122" s="1" t="s">
        <v>849</v>
      </c>
      <c r="M122" s="1">
        <v>12</v>
      </c>
      <c r="N122" s="1">
        <v>405.22</v>
      </c>
      <c r="O122" s="1">
        <v>4862.6400000000003</v>
      </c>
      <c r="P122" s="1">
        <v>0.1</v>
      </c>
      <c r="Q122" s="1">
        <v>4376.38</v>
      </c>
      <c r="R122" s="1">
        <v>2919.07</v>
      </c>
      <c r="S122" s="1">
        <f t="shared" si="3"/>
        <v>1457.31</v>
      </c>
      <c r="T122" s="1" t="s">
        <v>873</v>
      </c>
      <c r="U122" s="1" t="s">
        <v>879</v>
      </c>
      <c r="V122" s="5" t="s">
        <v>883</v>
      </c>
    </row>
    <row r="123" spans="1:22" x14ac:dyDescent="0.3">
      <c r="A123" s="4" t="s">
        <v>145</v>
      </c>
      <c r="B123" s="3">
        <v>45335</v>
      </c>
      <c r="C123" s="1" t="str">
        <f t="shared" si="2"/>
        <v>February</v>
      </c>
      <c r="D123" s="1" t="s">
        <v>380</v>
      </c>
      <c r="E123" s="1" t="s">
        <v>630</v>
      </c>
      <c r="F123" s="1" t="s">
        <v>801</v>
      </c>
      <c r="G123" s="1" t="s">
        <v>804</v>
      </c>
      <c r="H123" s="1" t="s">
        <v>811</v>
      </c>
      <c r="I123" s="1" t="s">
        <v>816</v>
      </c>
      <c r="J123" s="1" t="s">
        <v>818</v>
      </c>
      <c r="K123" s="1" t="s">
        <v>820</v>
      </c>
      <c r="L123" s="1" t="s">
        <v>844</v>
      </c>
      <c r="M123" s="1">
        <v>9</v>
      </c>
      <c r="N123" s="1">
        <v>1902.76</v>
      </c>
      <c r="O123" s="1">
        <v>17124.84</v>
      </c>
      <c r="P123" s="1">
        <v>0.15</v>
      </c>
      <c r="Q123" s="1">
        <v>14556.11</v>
      </c>
      <c r="R123" s="1">
        <v>9463.0400000000009</v>
      </c>
      <c r="S123" s="1">
        <f t="shared" si="3"/>
        <v>5093.07</v>
      </c>
      <c r="T123" s="1" t="s">
        <v>876</v>
      </c>
      <c r="U123" s="1" t="s">
        <v>878</v>
      </c>
      <c r="V123" s="5" t="s">
        <v>884</v>
      </c>
    </row>
    <row r="124" spans="1:22" x14ac:dyDescent="0.3">
      <c r="A124" s="4" t="s">
        <v>146</v>
      </c>
      <c r="B124" s="3">
        <v>45568</v>
      </c>
      <c r="C124" s="1" t="str">
        <f t="shared" si="2"/>
        <v>October</v>
      </c>
      <c r="D124" s="1" t="s">
        <v>328</v>
      </c>
      <c r="E124" s="1" t="s">
        <v>631</v>
      </c>
      <c r="F124" s="1" t="s">
        <v>801</v>
      </c>
      <c r="G124" s="1" t="s">
        <v>807</v>
      </c>
      <c r="H124" s="1" t="s">
        <v>811</v>
      </c>
      <c r="I124" s="1" t="s">
        <v>814</v>
      </c>
      <c r="J124" s="1" t="s">
        <v>818</v>
      </c>
      <c r="K124" s="1" t="s">
        <v>820</v>
      </c>
      <c r="L124" s="1" t="s">
        <v>837</v>
      </c>
      <c r="M124" s="1">
        <v>9</v>
      </c>
      <c r="N124" s="1">
        <v>2900.38</v>
      </c>
      <c r="O124" s="1">
        <v>26103.42</v>
      </c>
      <c r="P124" s="1">
        <v>0</v>
      </c>
      <c r="Q124" s="1">
        <v>26103.42</v>
      </c>
      <c r="R124" s="1">
        <v>17181.7</v>
      </c>
      <c r="S124" s="1">
        <f t="shared" si="3"/>
        <v>8921.7199999999975</v>
      </c>
      <c r="T124" s="1" t="s">
        <v>875</v>
      </c>
      <c r="U124" s="1" t="s">
        <v>880</v>
      </c>
      <c r="V124" s="5" t="s">
        <v>882</v>
      </c>
    </row>
    <row r="125" spans="1:22" x14ac:dyDescent="0.3">
      <c r="A125" s="4" t="s">
        <v>147</v>
      </c>
      <c r="B125" s="3">
        <v>45384</v>
      </c>
      <c r="C125" s="1" t="str">
        <f t="shared" si="2"/>
        <v>April</v>
      </c>
      <c r="D125" s="1" t="s">
        <v>430</v>
      </c>
      <c r="E125" s="1" t="s">
        <v>632</v>
      </c>
      <c r="F125" s="1" t="s">
        <v>803</v>
      </c>
      <c r="G125" s="1" t="s">
        <v>806</v>
      </c>
      <c r="H125" s="1" t="s">
        <v>809</v>
      </c>
      <c r="I125" s="1" t="s">
        <v>816</v>
      </c>
      <c r="J125" s="1" t="s">
        <v>819</v>
      </c>
      <c r="K125" s="1" t="s">
        <v>820</v>
      </c>
      <c r="L125" s="1" t="s">
        <v>831</v>
      </c>
      <c r="M125" s="1">
        <v>12</v>
      </c>
      <c r="N125" s="1">
        <v>1298.3699999999999</v>
      </c>
      <c r="O125" s="1">
        <v>15580.44</v>
      </c>
      <c r="P125" s="1">
        <v>0.1</v>
      </c>
      <c r="Q125" s="1">
        <v>14022.4</v>
      </c>
      <c r="R125" s="1">
        <v>9824.41</v>
      </c>
      <c r="S125" s="1">
        <f t="shared" si="3"/>
        <v>4197.99</v>
      </c>
      <c r="T125" s="1" t="s">
        <v>873</v>
      </c>
      <c r="U125" s="1" t="s">
        <v>877</v>
      </c>
      <c r="V125" s="5" t="s">
        <v>882</v>
      </c>
    </row>
    <row r="126" spans="1:22" x14ac:dyDescent="0.3">
      <c r="A126" s="4" t="s">
        <v>149</v>
      </c>
      <c r="B126" s="3">
        <v>45520</v>
      </c>
      <c r="C126" s="1" t="str">
        <f t="shared" si="2"/>
        <v>August</v>
      </c>
      <c r="D126" s="1" t="s">
        <v>349</v>
      </c>
      <c r="E126" s="1" t="s">
        <v>634</v>
      </c>
      <c r="F126" s="1" t="s">
        <v>801</v>
      </c>
      <c r="G126" s="1" t="s">
        <v>806</v>
      </c>
      <c r="H126" s="1" t="s">
        <v>810</v>
      </c>
      <c r="I126" s="1" t="s">
        <v>816</v>
      </c>
      <c r="J126" s="1" t="s">
        <v>817</v>
      </c>
      <c r="K126" s="1" t="s">
        <v>820</v>
      </c>
      <c r="L126" s="1" t="s">
        <v>865</v>
      </c>
      <c r="M126" s="1">
        <v>10</v>
      </c>
      <c r="N126" s="1">
        <v>2938.38</v>
      </c>
      <c r="O126" s="1">
        <v>29383.8</v>
      </c>
      <c r="P126" s="1">
        <v>0.05</v>
      </c>
      <c r="Q126" s="1">
        <v>27914.61</v>
      </c>
      <c r="R126" s="1">
        <v>18521.310000000001</v>
      </c>
      <c r="S126" s="1">
        <f t="shared" si="3"/>
        <v>9393.2999999999993</v>
      </c>
      <c r="T126" s="1" t="s">
        <v>876</v>
      </c>
      <c r="U126" s="1" t="s">
        <v>881</v>
      </c>
      <c r="V126" s="5" t="s">
        <v>884</v>
      </c>
    </row>
    <row r="127" spans="1:22" x14ac:dyDescent="0.3">
      <c r="A127" s="4" t="s">
        <v>150</v>
      </c>
      <c r="B127" s="3">
        <v>45526</v>
      </c>
      <c r="C127" s="1" t="str">
        <f t="shared" si="2"/>
        <v>August</v>
      </c>
      <c r="D127" s="1" t="s">
        <v>423</v>
      </c>
      <c r="E127" s="1" t="s">
        <v>635</v>
      </c>
      <c r="F127" s="1" t="s">
        <v>801</v>
      </c>
      <c r="G127" s="1" t="s">
        <v>807</v>
      </c>
      <c r="H127" s="1" t="s">
        <v>808</v>
      </c>
      <c r="I127" s="1" t="s">
        <v>813</v>
      </c>
      <c r="J127" s="1" t="s">
        <v>818</v>
      </c>
      <c r="K127" s="1" t="s">
        <v>820</v>
      </c>
      <c r="L127" s="1" t="s">
        <v>864</v>
      </c>
      <c r="M127" s="1">
        <v>2</v>
      </c>
      <c r="N127" s="1">
        <v>3075.21</v>
      </c>
      <c r="O127" s="1">
        <v>6150.42</v>
      </c>
      <c r="P127" s="1">
        <v>0.15</v>
      </c>
      <c r="Q127" s="1">
        <v>5227.8599999999997</v>
      </c>
      <c r="R127" s="1">
        <v>4341.9399999999996</v>
      </c>
      <c r="S127" s="1">
        <f t="shared" si="3"/>
        <v>885.92000000000007</v>
      </c>
      <c r="T127" s="1" t="s">
        <v>873</v>
      </c>
      <c r="U127" s="1" t="s">
        <v>880</v>
      </c>
      <c r="V127" s="5" t="s">
        <v>884</v>
      </c>
    </row>
    <row r="128" spans="1:22" x14ac:dyDescent="0.3">
      <c r="A128" s="4" t="s">
        <v>151</v>
      </c>
      <c r="B128" s="3">
        <v>45366</v>
      </c>
      <c r="C128" s="1" t="str">
        <f t="shared" si="2"/>
        <v>March</v>
      </c>
      <c r="D128" s="1" t="s">
        <v>324</v>
      </c>
      <c r="E128" s="1" t="s">
        <v>636</v>
      </c>
      <c r="F128" s="1" t="s">
        <v>802</v>
      </c>
      <c r="G128" s="1" t="s">
        <v>804</v>
      </c>
      <c r="H128" s="1" t="s">
        <v>811</v>
      </c>
      <c r="I128" s="1" t="s">
        <v>815</v>
      </c>
      <c r="J128" s="1" t="s">
        <v>819</v>
      </c>
      <c r="K128" s="1" t="s">
        <v>822</v>
      </c>
      <c r="L128" s="1" t="s">
        <v>867</v>
      </c>
      <c r="M128" s="1">
        <v>1</v>
      </c>
      <c r="N128" s="1">
        <v>3312.08</v>
      </c>
      <c r="O128" s="1">
        <v>3312.08</v>
      </c>
      <c r="P128" s="1">
        <v>0.1</v>
      </c>
      <c r="Q128" s="1">
        <v>2980.87</v>
      </c>
      <c r="R128" s="1">
        <v>2228.04</v>
      </c>
      <c r="S128" s="1">
        <f t="shared" si="3"/>
        <v>752.82999999999993</v>
      </c>
      <c r="T128" s="1" t="s">
        <v>876</v>
      </c>
      <c r="U128" s="1" t="s">
        <v>879</v>
      </c>
      <c r="V128" s="5" t="s">
        <v>884</v>
      </c>
    </row>
    <row r="129" spans="1:22" x14ac:dyDescent="0.3">
      <c r="A129" s="4" t="s">
        <v>152</v>
      </c>
      <c r="B129" s="3">
        <v>45486</v>
      </c>
      <c r="C129" s="1" t="str">
        <f t="shared" si="2"/>
        <v>July</v>
      </c>
      <c r="D129" s="1" t="s">
        <v>428</v>
      </c>
      <c r="E129" s="1" t="s">
        <v>637</v>
      </c>
      <c r="F129" s="1" t="s">
        <v>801</v>
      </c>
      <c r="G129" s="1" t="s">
        <v>806</v>
      </c>
      <c r="H129" s="1" t="s">
        <v>809</v>
      </c>
      <c r="I129" s="1" t="s">
        <v>813</v>
      </c>
      <c r="J129" s="1" t="s">
        <v>817</v>
      </c>
      <c r="K129" s="1" t="s">
        <v>820</v>
      </c>
      <c r="L129" s="1" t="s">
        <v>825</v>
      </c>
      <c r="M129" s="1">
        <v>8</v>
      </c>
      <c r="N129" s="1">
        <v>1139.22</v>
      </c>
      <c r="O129" s="1">
        <v>9113.76</v>
      </c>
      <c r="P129" s="1">
        <v>0.05</v>
      </c>
      <c r="Q129" s="1">
        <v>8658.07</v>
      </c>
      <c r="R129" s="1">
        <v>7173.86</v>
      </c>
      <c r="S129" s="1">
        <f t="shared" si="3"/>
        <v>1484.21</v>
      </c>
      <c r="T129" s="1" t="s">
        <v>874</v>
      </c>
      <c r="U129" s="1" t="s">
        <v>880</v>
      </c>
      <c r="V129" s="5" t="s">
        <v>884</v>
      </c>
    </row>
    <row r="130" spans="1:22" x14ac:dyDescent="0.3">
      <c r="A130" s="4" t="s">
        <v>155</v>
      </c>
      <c r="B130" s="3">
        <v>45347</v>
      </c>
      <c r="C130" s="1" t="str">
        <f t="shared" ref="C130:C193" si="4">TEXT(B130,"MMMM")</f>
        <v>February</v>
      </c>
      <c r="D130" s="1" t="s">
        <v>470</v>
      </c>
      <c r="E130" s="1" t="s">
        <v>640</v>
      </c>
      <c r="F130" s="1" t="s">
        <v>803</v>
      </c>
      <c r="G130" s="1" t="s">
        <v>806</v>
      </c>
      <c r="H130" s="1" t="s">
        <v>808</v>
      </c>
      <c r="I130" s="1" t="s">
        <v>816</v>
      </c>
      <c r="J130" s="1" t="s">
        <v>819</v>
      </c>
      <c r="K130" s="1" t="s">
        <v>820</v>
      </c>
      <c r="L130" s="1" t="s">
        <v>844</v>
      </c>
      <c r="M130" s="1">
        <v>8</v>
      </c>
      <c r="N130" s="1">
        <v>3199.82</v>
      </c>
      <c r="O130" s="1">
        <v>25598.560000000001</v>
      </c>
      <c r="P130" s="1">
        <v>0</v>
      </c>
      <c r="Q130" s="1">
        <v>25598.560000000001</v>
      </c>
      <c r="R130" s="1">
        <v>16340.64</v>
      </c>
      <c r="S130" s="1">
        <f t="shared" ref="S130:S193" si="5">Q130-R130</f>
        <v>9257.9200000000019</v>
      </c>
      <c r="T130" s="1" t="s">
        <v>875</v>
      </c>
      <c r="U130" s="1" t="s">
        <v>879</v>
      </c>
      <c r="V130" s="5" t="s">
        <v>884</v>
      </c>
    </row>
    <row r="131" spans="1:22" x14ac:dyDescent="0.3">
      <c r="A131" s="4" t="s">
        <v>156</v>
      </c>
      <c r="B131" s="3">
        <v>45425</v>
      </c>
      <c r="C131" s="1" t="str">
        <f t="shared" si="4"/>
        <v>May</v>
      </c>
      <c r="D131" s="1" t="s">
        <v>367</v>
      </c>
      <c r="E131" s="1" t="s">
        <v>641</v>
      </c>
      <c r="F131" s="1" t="s">
        <v>803</v>
      </c>
      <c r="G131" s="1" t="s">
        <v>807</v>
      </c>
      <c r="H131" s="1" t="s">
        <v>810</v>
      </c>
      <c r="I131" s="1" t="s">
        <v>809</v>
      </c>
      <c r="J131" s="1" t="s">
        <v>819</v>
      </c>
      <c r="K131" s="1" t="s">
        <v>821</v>
      </c>
      <c r="L131" s="1" t="s">
        <v>868</v>
      </c>
      <c r="M131" s="1">
        <v>4</v>
      </c>
      <c r="N131" s="1">
        <v>702.45</v>
      </c>
      <c r="O131" s="1">
        <v>2809.8</v>
      </c>
      <c r="P131" s="1">
        <v>0.1</v>
      </c>
      <c r="Q131" s="1">
        <v>2528.8200000000002</v>
      </c>
      <c r="R131" s="1">
        <v>1780.06</v>
      </c>
      <c r="S131" s="1">
        <f t="shared" si="5"/>
        <v>748.76000000000022</v>
      </c>
      <c r="T131" s="1" t="s">
        <v>875</v>
      </c>
      <c r="U131" s="1" t="s">
        <v>878</v>
      </c>
      <c r="V131" s="5" t="s">
        <v>882</v>
      </c>
    </row>
    <row r="132" spans="1:22" x14ac:dyDescent="0.3">
      <c r="A132" s="4" t="s">
        <v>157</v>
      </c>
      <c r="B132" s="3">
        <v>45561</v>
      </c>
      <c r="C132" s="1" t="str">
        <f t="shared" si="4"/>
        <v>September</v>
      </c>
      <c r="D132" s="1" t="s">
        <v>321</v>
      </c>
      <c r="E132" s="1" t="s">
        <v>642</v>
      </c>
      <c r="F132" s="1" t="s">
        <v>801</v>
      </c>
      <c r="G132" s="1" t="s">
        <v>806</v>
      </c>
      <c r="H132" s="1" t="s">
        <v>810</v>
      </c>
      <c r="I132" s="1" t="s">
        <v>813</v>
      </c>
      <c r="J132" s="1" t="s">
        <v>818</v>
      </c>
      <c r="K132" s="1" t="s">
        <v>820</v>
      </c>
      <c r="L132" s="1" t="s">
        <v>850</v>
      </c>
      <c r="M132" s="1">
        <v>3</v>
      </c>
      <c r="N132" s="1">
        <v>1516.31</v>
      </c>
      <c r="O132" s="1">
        <v>4548.93</v>
      </c>
      <c r="P132" s="1">
        <v>0</v>
      </c>
      <c r="Q132" s="1">
        <v>4548.93</v>
      </c>
      <c r="R132" s="1">
        <v>3766.49</v>
      </c>
      <c r="S132" s="1">
        <f t="shared" si="5"/>
        <v>782.44000000000051</v>
      </c>
      <c r="T132" s="1" t="s">
        <v>875</v>
      </c>
      <c r="U132" s="1" t="s">
        <v>880</v>
      </c>
      <c r="V132" s="5" t="s">
        <v>883</v>
      </c>
    </row>
    <row r="133" spans="1:22" x14ac:dyDescent="0.3">
      <c r="A133" s="4" t="s">
        <v>158</v>
      </c>
      <c r="B133" s="3">
        <v>45332</v>
      </c>
      <c r="C133" s="1" t="str">
        <f t="shared" si="4"/>
        <v>February</v>
      </c>
      <c r="D133" s="1" t="s">
        <v>397</v>
      </c>
      <c r="E133" s="1" t="s">
        <v>643</v>
      </c>
      <c r="F133" s="1" t="s">
        <v>803</v>
      </c>
      <c r="G133" s="1" t="s">
        <v>806</v>
      </c>
      <c r="H133" s="1" t="s">
        <v>808</v>
      </c>
      <c r="I133" s="1" t="s">
        <v>813</v>
      </c>
      <c r="J133" s="1" t="s">
        <v>818</v>
      </c>
      <c r="K133" s="1" t="s">
        <v>822</v>
      </c>
      <c r="L133" s="1" t="s">
        <v>837</v>
      </c>
      <c r="M133" s="1">
        <v>2</v>
      </c>
      <c r="N133" s="1">
        <v>3156.91</v>
      </c>
      <c r="O133" s="1">
        <v>6313.82</v>
      </c>
      <c r="P133" s="1">
        <v>0.15</v>
      </c>
      <c r="Q133" s="1">
        <v>5366.75</v>
      </c>
      <c r="R133" s="1">
        <v>4241.45</v>
      </c>
      <c r="S133" s="1">
        <f t="shared" si="5"/>
        <v>1125.3000000000002</v>
      </c>
      <c r="T133" s="1" t="s">
        <v>876</v>
      </c>
      <c r="U133" s="1" t="s">
        <v>877</v>
      </c>
      <c r="V133" s="5" t="s">
        <v>883</v>
      </c>
    </row>
    <row r="134" spans="1:22" x14ac:dyDescent="0.3">
      <c r="A134" s="4" t="s">
        <v>159</v>
      </c>
      <c r="B134" s="3">
        <v>45558</v>
      </c>
      <c r="C134" s="1" t="str">
        <f t="shared" si="4"/>
        <v>September</v>
      </c>
      <c r="D134" s="1" t="s">
        <v>406</v>
      </c>
      <c r="E134" s="1" t="s">
        <v>644</v>
      </c>
      <c r="F134" s="1" t="s">
        <v>803</v>
      </c>
      <c r="G134" s="1" t="s">
        <v>804</v>
      </c>
      <c r="H134" s="1" t="s">
        <v>811</v>
      </c>
      <c r="I134" s="1" t="s">
        <v>816</v>
      </c>
      <c r="J134" s="1" t="s">
        <v>817</v>
      </c>
      <c r="K134" s="1" t="s">
        <v>821</v>
      </c>
      <c r="L134" s="1" t="s">
        <v>849</v>
      </c>
      <c r="M134" s="1">
        <v>12</v>
      </c>
      <c r="N134" s="1">
        <v>3240.37</v>
      </c>
      <c r="O134" s="1">
        <v>38884.44</v>
      </c>
      <c r="P134" s="1">
        <v>0.1</v>
      </c>
      <c r="Q134" s="1">
        <v>34996</v>
      </c>
      <c r="R134" s="1">
        <v>23930.43</v>
      </c>
      <c r="S134" s="1">
        <f t="shared" si="5"/>
        <v>11065.57</v>
      </c>
      <c r="T134" s="1" t="s">
        <v>875</v>
      </c>
      <c r="U134" s="1" t="s">
        <v>880</v>
      </c>
      <c r="V134" s="5" t="s">
        <v>883</v>
      </c>
    </row>
    <row r="135" spans="1:22" x14ac:dyDescent="0.3">
      <c r="A135" s="4" t="s">
        <v>160</v>
      </c>
      <c r="B135" s="3">
        <v>45479</v>
      </c>
      <c r="C135" s="1" t="str">
        <f t="shared" si="4"/>
        <v>July</v>
      </c>
      <c r="D135" s="1" t="s">
        <v>368</v>
      </c>
      <c r="E135" s="1" t="s">
        <v>645</v>
      </c>
      <c r="F135" s="1" t="s">
        <v>802</v>
      </c>
      <c r="G135" s="1" t="s">
        <v>804</v>
      </c>
      <c r="H135" s="1" t="s">
        <v>809</v>
      </c>
      <c r="I135" s="1" t="s">
        <v>815</v>
      </c>
      <c r="J135" s="1" t="s">
        <v>818</v>
      </c>
      <c r="K135" s="1" t="s">
        <v>820</v>
      </c>
      <c r="L135" s="1" t="s">
        <v>827</v>
      </c>
      <c r="M135" s="1">
        <v>3</v>
      </c>
      <c r="N135" s="1">
        <v>2577</v>
      </c>
      <c r="O135" s="1">
        <v>7731</v>
      </c>
      <c r="P135" s="1">
        <v>0</v>
      </c>
      <c r="Q135" s="1">
        <v>7731</v>
      </c>
      <c r="R135" s="1">
        <v>5326.96</v>
      </c>
      <c r="S135" s="1">
        <f t="shared" si="5"/>
        <v>2404.04</v>
      </c>
      <c r="T135" s="1" t="s">
        <v>873</v>
      </c>
      <c r="U135" s="1" t="s">
        <v>881</v>
      </c>
      <c r="V135" s="5" t="s">
        <v>882</v>
      </c>
    </row>
    <row r="136" spans="1:22" x14ac:dyDescent="0.3">
      <c r="A136" s="4" t="s">
        <v>161</v>
      </c>
      <c r="B136" s="3">
        <v>45441</v>
      </c>
      <c r="C136" s="1" t="str">
        <f t="shared" si="4"/>
        <v>May</v>
      </c>
      <c r="D136" s="1" t="s">
        <v>424</v>
      </c>
      <c r="E136" s="1" t="s">
        <v>646</v>
      </c>
      <c r="F136" s="1" t="s">
        <v>802</v>
      </c>
      <c r="G136" s="1" t="s">
        <v>806</v>
      </c>
      <c r="H136" s="1" t="s">
        <v>809</v>
      </c>
      <c r="I136" s="1" t="s">
        <v>813</v>
      </c>
      <c r="J136" s="1" t="s">
        <v>817</v>
      </c>
      <c r="K136" s="1" t="s">
        <v>820</v>
      </c>
      <c r="L136" s="1" t="s">
        <v>825</v>
      </c>
      <c r="M136" s="1">
        <v>2</v>
      </c>
      <c r="N136" s="1">
        <v>3357.56</v>
      </c>
      <c r="O136" s="1">
        <v>6715.12</v>
      </c>
      <c r="P136" s="1">
        <v>0.15</v>
      </c>
      <c r="Q136" s="1">
        <v>5707.85</v>
      </c>
      <c r="R136" s="1">
        <v>4061.76</v>
      </c>
      <c r="S136" s="1">
        <f t="shared" si="5"/>
        <v>1646.0900000000001</v>
      </c>
      <c r="T136" s="1" t="s">
        <v>875</v>
      </c>
      <c r="U136" s="1" t="s">
        <v>880</v>
      </c>
      <c r="V136" s="5" t="s">
        <v>882</v>
      </c>
    </row>
    <row r="137" spans="1:22" x14ac:dyDescent="0.3">
      <c r="A137" s="4" t="s">
        <v>162</v>
      </c>
      <c r="B137" s="3">
        <v>45451</v>
      </c>
      <c r="C137" s="1" t="str">
        <f t="shared" si="4"/>
        <v>June</v>
      </c>
      <c r="D137" s="1" t="s">
        <v>449</v>
      </c>
      <c r="E137" s="1" t="s">
        <v>647</v>
      </c>
      <c r="F137" s="1" t="s">
        <v>801</v>
      </c>
      <c r="G137" s="1" t="s">
        <v>804</v>
      </c>
      <c r="H137" s="1" t="s">
        <v>808</v>
      </c>
      <c r="I137" s="1" t="s">
        <v>814</v>
      </c>
      <c r="J137" s="1" t="s">
        <v>819</v>
      </c>
      <c r="K137" s="1" t="s">
        <v>821</v>
      </c>
      <c r="L137" s="1" t="s">
        <v>829</v>
      </c>
      <c r="M137" s="1">
        <v>9</v>
      </c>
      <c r="N137" s="1">
        <v>2933.18</v>
      </c>
      <c r="O137" s="1">
        <v>26398.62</v>
      </c>
      <c r="P137" s="1">
        <v>0</v>
      </c>
      <c r="Q137" s="1">
        <v>26398.62</v>
      </c>
      <c r="R137" s="1">
        <v>15967.54</v>
      </c>
      <c r="S137" s="1">
        <f t="shared" si="5"/>
        <v>10431.079999999998</v>
      </c>
      <c r="T137" s="1" t="s">
        <v>873</v>
      </c>
      <c r="U137" s="1" t="s">
        <v>877</v>
      </c>
      <c r="V137" s="5" t="s">
        <v>884</v>
      </c>
    </row>
    <row r="138" spans="1:22" x14ac:dyDescent="0.3">
      <c r="A138" s="4" t="s">
        <v>163</v>
      </c>
      <c r="B138" s="3">
        <v>45340</v>
      </c>
      <c r="C138" s="1" t="str">
        <f t="shared" si="4"/>
        <v>February</v>
      </c>
      <c r="D138" s="1" t="s">
        <v>465</v>
      </c>
      <c r="E138" s="1" t="s">
        <v>648</v>
      </c>
      <c r="F138" s="1" t="s">
        <v>801</v>
      </c>
      <c r="G138" s="1" t="s">
        <v>804</v>
      </c>
      <c r="H138" s="1" t="s">
        <v>809</v>
      </c>
      <c r="I138" s="1" t="s">
        <v>809</v>
      </c>
      <c r="J138" s="1" t="s">
        <v>819</v>
      </c>
      <c r="K138" s="1" t="s">
        <v>820</v>
      </c>
      <c r="L138" s="1" t="s">
        <v>869</v>
      </c>
      <c r="M138" s="1">
        <v>3</v>
      </c>
      <c r="N138" s="1">
        <v>540.03</v>
      </c>
      <c r="O138" s="1">
        <v>1620.09</v>
      </c>
      <c r="P138" s="1">
        <v>0</v>
      </c>
      <c r="Q138" s="1">
        <v>1620.09</v>
      </c>
      <c r="R138" s="1">
        <v>1160.33</v>
      </c>
      <c r="S138" s="1">
        <f t="shared" si="5"/>
        <v>459.76</v>
      </c>
      <c r="T138" s="1" t="s">
        <v>875</v>
      </c>
      <c r="U138" s="1" t="s">
        <v>880</v>
      </c>
      <c r="V138" s="5" t="s">
        <v>882</v>
      </c>
    </row>
    <row r="139" spans="1:22" x14ac:dyDescent="0.3">
      <c r="A139" s="4" t="s">
        <v>164</v>
      </c>
      <c r="B139" s="3">
        <v>45585</v>
      </c>
      <c r="C139" s="1" t="str">
        <f t="shared" si="4"/>
        <v>October</v>
      </c>
      <c r="D139" s="1" t="s">
        <v>471</v>
      </c>
      <c r="E139" s="1" t="s">
        <v>649</v>
      </c>
      <c r="F139" s="1" t="s">
        <v>802</v>
      </c>
      <c r="G139" s="1" t="s">
        <v>805</v>
      </c>
      <c r="H139" s="1" t="s">
        <v>808</v>
      </c>
      <c r="I139" s="1" t="s">
        <v>814</v>
      </c>
      <c r="J139" s="1" t="s">
        <v>818</v>
      </c>
      <c r="K139" s="1" t="s">
        <v>820</v>
      </c>
      <c r="L139" s="1" t="s">
        <v>832</v>
      </c>
      <c r="M139" s="1">
        <v>12</v>
      </c>
      <c r="N139" s="1">
        <v>1629.5</v>
      </c>
      <c r="O139" s="1">
        <v>19554</v>
      </c>
      <c r="P139" s="1">
        <v>0</v>
      </c>
      <c r="Q139" s="1">
        <v>19554</v>
      </c>
      <c r="R139" s="1">
        <v>16315.76</v>
      </c>
      <c r="S139" s="1">
        <f t="shared" si="5"/>
        <v>3238.24</v>
      </c>
      <c r="T139" s="1" t="s">
        <v>876</v>
      </c>
      <c r="U139" s="1" t="s">
        <v>879</v>
      </c>
      <c r="V139" s="5" t="s">
        <v>884</v>
      </c>
    </row>
    <row r="140" spans="1:22" x14ac:dyDescent="0.3">
      <c r="A140" s="4" t="s">
        <v>165</v>
      </c>
      <c r="B140" s="3">
        <v>45497</v>
      </c>
      <c r="C140" s="1" t="str">
        <f t="shared" si="4"/>
        <v>July</v>
      </c>
      <c r="D140" s="1" t="s">
        <v>353</v>
      </c>
      <c r="E140" s="1" t="s">
        <v>650</v>
      </c>
      <c r="F140" s="1" t="s">
        <v>801</v>
      </c>
      <c r="G140" s="1" t="s">
        <v>806</v>
      </c>
      <c r="H140" s="1" t="s">
        <v>812</v>
      </c>
      <c r="I140" s="1" t="s">
        <v>813</v>
      </c>
      <c r="J140" s="1" t="s">
        <v>819</v>
      </c>
      <c r="K140" s="1" t="s">
        <v>821</v>
      </c>
      <c r="L140" s="1" t="s">
        <v>862</v>
      </c>
      <c r="M140" s="1">
        <v>6</v>
      </c>
      <c r="N140" s="1">
        <v>2618.14</v>
      </c>
      <c r="O140" s="1">
        <v>15708.84</v>
      </c>
      <c r="P140" s="1">
        <v>0.1</v>
      </c>
      <c r="Q140" s="1">
        <v>14137.96</v>
      </c>
      <c r="R140" s="1">
        <v>11363.54</v>
      </c>
      <c r="S140" s="1">
        <f t="shared" si="5"/>
        <v>2774.4199999999983</v>
      </c>
      <c r="T140" s="1" t="s">
        <v>876</v>
      </c>
      <c r="U140" s="1" t="s">
        <v>879</v>
      </c>
      <c r="V140" s="5" t="s">
        <v>882</v>
      </c>
    </row>
    <row r="141" spans="1:22" x14ac:dyDescent="0.3">
      <c r="A141" s="4" t="s">
        <v>166</v>
      </c>
      <c r="B141" s="3">
        <v>45563</v>
      </c>
      <c r="C141" s="1" t="str">
        <f t="shared" si="4"/>
        <v>September</v>
      </c>
      <c r="D141" s="1" t="s">
        <v>472</v>
      </c>
      <c r="E141" s="1" t="s">
        <v>651</v>
      </c>
      <c r="F141" s="1" t="s">
        <v>803</v>
      </c>
      <c r="G141" s="1" t="s">
        <v>806</v>
      </c>
      <c r="H141" s="1" t="s">
        <v>811</v>
      </c>
      <c r="I141" s="1" t="s">
        <v>816</v>
      </c>
      <c r="J141" s="1" t="s">
        <v>819</v>
      </c>
      <c r="K141" s="1" t="s">
        <v>821</v>
      </c>
      <c r="L141" s="1" t="s">
        <v>847</v>
      </c>
      <c r="M141" s="1">
        <v>2</v>
      </c>
      <c r="N141" s="1">
        <v>1405.49</v>
      </c>
      <c r="O141" s="1">
        <v>2810.98</v>
      </c>
      <c r="P141" s="1">
        <v>0.05</v>
      </c>
      <c r="Q141" s="1">
        <v>2670.43</v>
      </c>
      <c r="R141" s="1">
        <v>1939.25</v>
      </c>
      <c r="S141" s="1">
        <f t="shared" si="5"/>
        <v>731.17999999999984</v>
      </c>
      <c r="T141" s="1" t="s">
        <v>876</v>
      </c>
      <c r="U141" s="1" t="s">
        <v>877</v>
      </c>
      <c r="V141" s="5" t="s">
        <v>883</v>
      </c>
    </row>
    <row r="142" spans="1:22" x14ac:dyDescent="0.3">
      <c r="A142" s="4" t="s">
        <v>167</v>
      </c>
      <c r="B142" s="3">
        <v>45609</v>
      </c>
      <c r="C142" s="1" t="str">
        <f t="shared" si="4"/>
        <v>November</v>
      </c>
      <c r="D142" s="1" t="s">
        <v>473</v>
      </c>
      <c r="E142" s="1" t="s">
        <v>652</v>
      </c>
      <c r="F142" s="1" t="s">
        <v>803</v>
      </c>
      <c r="G142" s="1" t="s">
        <v>804</v>
      </c>
      <c r="H142" s="1" t="s">
        <v>811</v>
      </c>
      <c r="I142" s="1" t="s">
        <v>813</v>
      </c>
      <c r="J142" s="1" t="s">
        <v>817</v>
      </c>
      <c r="K142" s="1" t="s">
        <v>822</v>
      </c>
      <c r="L142" s="1" t="s">
        <v>866</v>
      </c>
      <c r="M142" s="1">
        <v>11</v>
      </c>
      <c r="N142" s="1">
        <v>2332.7600000000002</v>
      </c>
      <c r="O142" s="1">
        <v>25660.36</v>
      </c>
      <c r="P142" s="1">
        <v>0</v>
      </c>
      <c r="Q142" s="1">
        <v>25660.36</v>
      </c>
      <c r="R142" s="1">
        <v>19381.64</v>
      </c>
      <c r="S142" s="1">
        <f t="shared" si="5"/>
        <v>6278.7200000000012</v>
      </c>
      <c r="T142" s="1" t="s">
        <v>874</v>
      </c>
      <c r="U142" s="1" t="s">
        <v>879</v>
      </c>
      <c r="V142" s="5" t="s">
        <v>883</v>
      </c>
    </row>
    <row r="143" spans="1:22" x14ac:dyDescent="0.3">
      <c r="A143" s="4" t="s">
        <v>168</v>
      </c>
      <c r="B143" s="3">
        <v>45377</v>
      </c>
      <c r="C143" s="1" t="str">
        <f t="shared" si="4"/>
        <v>March</v>
      </c>
      <c r="D143" s="1" t="s">
        <v>402</v>
      </c>
      <c r="E143" s="1" t="s">
        <v>653</v>
      </c>
      <c r="F143" s="1" t="s">
        <v>803</v>
      </c>
      <c r="G143" s="1" t="s">
        <v>805</v>
      </c>
      <c r="H143" s="1" t="s">
        <v>809</v>
      </c>
      <c r="I143" s="1" t="s">
        <v>814</v>
      </c>
      <c r="J143" s="1" t="s">
        <v>817</v>
      </c>
      <c r="K143" s="1" t="s">
        <v>822</v>
      </c>
      <c r="L143" s="1" t="s">
        <v>858</v>
      </c>
      <c r="M143" s="1">
        <v>1</v>
      </c>
      <c r="N143" s="1">
        <v>2242.3000000000002</v>
      </c>
      <c r="O143" s="1">
        <v>2242.3000000000002</v>
      </c>
      <c r="P143" s="1">
        <v>0.1</v>
      </c>
      <c r="Q143" s="1">
        <v>2018.07</v>
      </c>
      <c r="R143" s="1">
        <v>1253.46</v>
      </c>
      <c r="S143" s="1">
        <f t="shared" si="5"/>
        <v>764.6099999999999</v>
      </c>
      <c r="T143" s="1" t="s">
        <v>874</v>
      </c>
      <c r="U143" s="1" t="s">
        <v>879</v>
      </c>
      <c r="V143" s="5" t="s">
        <v>882</v>
      </c>
    </row>
    <row r="144" spans="1:22" x14ac:dyDescent="0.3">
      <c r="A144" s="4" t="s">
        <v>169</v>
      </c>
      <c r="B144" s="3">
        <v>45336</v>
      </c>
      <c r="C144" s="1" t="str">
        <f t="shared" si="4"/>
        <v>February</v>
      </c>
      <c r="D144" s="1" t="s">
        <v>373</v>
      </c>
      <c r="E144" s="1" t="s">
        <v>654</v>
      </c>
      <c r="F144" s="1" t="s">
        <v>802</v>
      </c>
      <c r="G144" s="1" t="s">
        <v>805</v>
      </c>
      <c r="H144" s="1" t="s">
        <v>810</v>
      </c>
      <c r="I144" s="1" t="s">
        <v>814</v>
      </c>
      <c r="J144" s="1" t="s">
        <v>818</v>
      </c>
      <c r="K144" s="1" t="s">
        <v>822</v>
      </c>
      <c r="L144" s="1" t="s">
        <v>861</v>
      </c>
      <c r="M144" s="1">
        <v>9</v>
      </c>
      <c r="N144" s="1">
        <v>1290.22</v>
      </c>
      <c r="O144" s="1">
        <v>11611.98</v>
      </c>
      <c r="P144" s="1">
        <v>0.15</v>
      </c>
      <c r="Q144" s="1">
        <v>9870.18</v>
      </c>
      <c r="R144" s="1">
        <v>7427.19</v>
      </c>
      <c r="S144" s="1">
        <f t="shared" si="5"/>
        <v>2442.9900000000007</v>
      </c>
      <c r="T144" s="1" t="s">
        <v>874</v>
      </c>
      <c r="U144" s="1" t="s">
        <v>881</v>
      </c>
      <c r="V144" s="5" t="s">
        <v>884</v>
      </c>
    </row>
    <row r="145" spans="1:22" x14ac:dyDescent="0.3">
      <c r="A145" s="4" t="s">
        <v>170</v>
      </c>
      <c r="B145" s="3">
        <v>45532</v>
      </c>
      <c r="C145" s="1" t="str">
        <f t="shared" si="4"/>
        <v>August</v>
      </c>
      <c r="D145" s="1" t="s">
        <v>361</v>
      </c>
      <c r="E145" s="1" t="s">
        <v>655</v>
      </c>
      <c r="F145" s="1" t="s">
        <v>802</v>
      </c>
      <c r="G145" s="1" t="s">
        <v>805</v>
      </c>
      <c r="H145" s="1" t="s">
        <v>808</v>
      </c>
      <c r="I145" s="1" t="s">
        <v>816</v>
      </c>
      <c r="J145" s="1" t="s">
        <v>817</v>
      </c>
      <c r="K145" s="1" t="s">
        <v>822</v>
      </c>
      <c r="L145" s="1" t="s">
        <v>835</v>
      </c>
      <c r="M145" s="1">
        <v>5</v>
      </c>
      <c r="N145" s="1">
        <v>495.98</v>
      </c>
      <c r="O145" s="1">
        <v>2479.9</v>
      </c>
      <c r="P145" s="1">
        <v>0.1</v>
      </c>
      <c r="Q145" s="1">
        <v>2231.91</v>
      </c>
      <c r="R145" s="1">
        <v>1462.78</v>
      </c>
      <c r="S145" s="1">
        <f t="shared" si="5"/>
        <v>769.12999999999988</v>
      </c>
      <c r="T145" s="1" t="s">
        <v>875</v>
      </c>
      <c r="U145" s="1" t="s">
        <v>879</v>
      </c>
      <c r="V145" s="5" t="s">
        <v>883</v>
      </c>
    </row>
    <row r="146" spans="1:22" x14ac:dyDescent="0.3">
      <c r="A146" s="4" t="s">
        <v>171</v>
      </c>
      <c r="B146" s="3">
        <v>45458</v>
      </c>
      <c r="C146" s="1" t="str">
        <f t="shared" si="4"/>
        <v>June</v>
      </c>
      <c r="D146" s="1" t="s">
        <v>474</v>
      </c>
      <c r="E146" s="1" t="s">
        <v>656</v>
      </c>
      <c r="F146" s="1" t="s">
        <v>803</v>
      </c>
      <c r="G146" s="1" t="s">
        <v>804</v>
      </c>
      <c r="H146" s="1" t="s">
        <v>808</v>
      </c>
      <c r="I146" s="1" t="s">
        <v>815</v>
      </c>
      <c r="J146" s="1" t="s">
        <v>819</v>
      </c>
      <c r="K146" s="1" t="s">
        <v>821</v>
      </c>
      <c r="L146" s="1" t="s">
        <v>865</v>
      </c>
      <c r="M146" s="1">
        <v>5</v>
      </c>
      <c r="N146" s="1">
        <v>1282.94</v>
      </c>
      <c r="O146" s="1">
        <v>6414.7</v>
      </c>
      <c r="P146" s="1">
        <v>0.05</v>
      </c>
      <c r="Q146" s="1">
        <v>6093.96</v>
      </c>
      <c r="R146" s="1">
        <v>4106.57</v>
      </c>
      <c r="S146" s="1">
        <f t="shared" si="5"/>
        <v>1987.3900000000003</v>
      </c>
      <c r="T146" s="1" t="s">
        <v>873</v>
      </c>
      <c r="U146" s="1" t="s">
        <v>878</v>
      </c>
      <c r="V146" s="5" t="s">
        <v>884</v>
      </c>
    </row>
    <row r="147" spans="1:22" x14ac:dyDescent="0.3">
      <c r="A147" s="4" t="s">
        <v>172</v>
      </c>
      <c r="B147" s="3">
        <v>45347</v>
      </c>
      <c r="C147" s="1" t="str">
        <f t="shared" si="4"/>
        <v>February</v>
      </c>
      <c r="D147" s="1" t="s">
        <v>432</v>
      </c>
      <c r="E147" s="1" t="s">
        <v>657</v>
      </c>
      <c r="F147" s="1" t="s">
        <v>803</v>
      </c>
      <c r="G147" s="1" t="s">
        <v>806</v>
      </c>
      <c r="H147" s="1" t="s">
        <v>808</v>
      </c>
      <c r="I147" s="1" t="s">
        <v>814</v>
      </c>
      <c r="J147" s="1" t="s">
        <v>819</v>
      </c>
      <c r="K147" s="1" t="s">
        <v>821</v>
      </c>
      <c r="L147" s="1" t="s">
        <v>834</v>
      </c>
      <c r="M147" s="1">
        <v>4</v>
      </c>
      <c r="N147" s="1">
        <v>3466.85</v>
      </c>
      <c r="O147" s="1">
        <v>13867.4</v>
      </c>
      <c r="P147" s="1">
        <v>0.05</v>
      </c>
      <c r="Q147" s="1">
        <v>13174.03</v>
      </c>
      <c r="R147" s="1">
        <v>9276.99</v>
      </c>
      <c r="S147" s="1">
        <f t="shared" si="5"/>
        <v>3897.0400000000009</v>
      </c>
      <c r="T147" s="1" t="s">
        <v>873</v>
      </c>
      <c r="U147" s="1" t="s">
        <v>879</v>
      </c>
      <c r="V147" s="5" t="s">
        <v>883</v>
      </c>
    </row>
    <row r="148" spans="1:22" x14ac:dyDescent="0.3">
      <c r="A148" s="4" t="s">
        <v>173</v>
      </c>
      <c r="B148" s="3">
        <v>45615</v>
      </c>
      <c r="C148" s="1" t="str">
        <f t="shared" si="4"/>
        <v>November</v>
      </c>
      <c r="D148" s="1" t="s">
        <v>448</v>
      </c>
      <c r="E148" s="1" t="s">
        <v>658</v>
      </c>
      <c r="F148" s="1" t="s">
        <v>801</v>
      </c>
      <c r="G148" s="1" t="s">
        <v>805</v>
      </c>
      <c r="H148" s="1" t="s">
        <v>808</v>
      </c>
      <c r="I148" s="1" t="s">
        <v>813</v>
      </c>
      <c r="J148" s="1" t="s">
        <v>819</v>
      </c>
      <c r="K148" s="1" t="s">
        <v>822</v>
      </c>
      <c r="L148" s="1" t="s">
        <v>825</v>
      </c>
      <c r="M148" s="1">
        <v>3</v>
      </c>
      <c r="N148" s="1">
        <v>1680.4</v>
      </c>
      <c r="O148" s="1">
        <v>5041.2</v>
      </c>
      <c r="P148" s="1">
        <v>0</v>
      </c>
      <c r="Q148" s="1">
        <v>5041.2</v>
      </c>
      <c r="R148" s="1">
        <v>3030.17</v>
      </c>
      <c r="S148" s="1">
        <f t="shared" si="5"/>
        <v>2011.0299999999997</v>
      </c>
      <c r="T148" s="1" t="s">
        <v>876</v>
      </c>
      <c r="U148" s="1" t="s">
        <v>878</v>
      </c>
      <c r="V148" s="5" t="s">
        <v>884</v>
      </c>
    </row>
    <row r="149" spans="1:22" x14ac:dyDescent="0.3">
      <c r="A149" s="4" t="s">
        <v>174</v>
      </c>
      <c r="B149" s="3">
        <v>45526</v>
      </c>
      <c r="C149" s="1" t="str">
        <f t="shared" si="4"/>
        <v>August</v>
      </c>
      <c r="D149" s="1" t="s">
        <v>359</v>
      </c>
      <c r="E149" s="1" t="s">
        <v>659</v>
      </c>
      <c r="F149" s="1" t="s">
        <v>802</v>
      </c>
      <c r="G149" s="1" t="s">
        <v>807</v>
      </c>
      <c r="H149" s="1" t="s">
        <v>809</v>
      </c>
      <c r="I149" s="1" t="s">
        <v>816</v>
      </c>
      <c r="J149" s="1" t="s">
        <v>819</v>
      </c>
      <c r="K149" s="1" t="s">
        <v>822</v>
      </c>
      <c r="L149" s="1" t="s">
        <v>852</v>
      </c>
      <c r="M149" s="1">
        <v>12</v>
      </c>
      <c r="N149" s="1">
        <v>1493.12</v>
      </c>
      <c r="O149" s="1">
        <v>17917.439999999999</v>
      </c>
      <c r="P149" s="1">
        <v>0.1</v>
      </c>
      <c r="Q149" s="1">
        <v>16125.7</v>
      </c>
      <c r="R149" s="1">
        <v>11250.44</v>
      </c>
      <c r="S149" s="1">
        <f t="shared" si="5"/>
        <v>4875.26</v>
      </c>
      <c r="T149" s="1" t="s">
        <v>875</v>
      </c>
      <c r="U149" s="1" t="s">
        <v>881</v>
      </c>
      <c r="V149" s="5" t="s">
        <v>884</v>
      </c>
    </row>
    <row r="150" spans="1:22" x14ac:dyDescent="0.3">
      <c r="A150" s="4" t="s">
        <v>175</v>
      </c>
      <c r="B150" s="3">
        <v>45366</v>
      </c>
      <c r="C150" s="1" t="str">
        <f t="shared" si="4"/>
        <v>March</v>
      </c>
      <c r="D150" s="1" t="s">
        <v>416</v>
      </c>
      <c r="E150" s="1" t="s">
        <v>660</v>
      </c>
      <c r="F150" s="1" t="s">
        <v>801</v>
      </c>
      <c r="G150" s="1" t="s">
        <v>806</v>
      </c>
      <c r="H150" s="1" t="s">
        <v>812</v>
      </c>
      <c r="I150" s="1" t="s">
        <v>813</v>
      </c>
      <c r="J150" s="1" t="s">
        <v>819</v>
      </c>
      <c r="K150" s="1" t="s">
        <v>820</v>
      </c>
      <c r="L150" s="1" t="s">
        <v>856</v>
      </c>
      <c r="M150" s="1">
        <v>10</v>
      </c>
      <c r="N150" s="1">
        <v>1568.7</v>
      </c>
      <c r="O150" s="1">
        <v>15687</v>
      </c>
      <c r="P150" s="1">
        <v>0.05</v>
      </c>
      <c r="Q150" s="1">
        <v>14902.65</v>
      </c>
      <c r="R150" s="1">
        <v>9269.19</v>
      </c>
      <c r="S150" s="1">
        <f t="shared" si="5"/>
        <v>5633.4599999999991</v>
      </c>
      <c r="T150" s="1" t="s">
        <v>876</v>
      </c>
      <c r="U150" s="1" t="s">
        <v>879</v>
      </c>
      <c r="V150" s="5" t="s">
        <v>883</v>
      </c>
    </row>
    <row r="151" spans="1:22" x14ac:dyDescent="0.3">
      <c r="A151" s="4" t="s">
        <v>176</v>
      </c>
      <c r="B151" s="3">
        <v>45546</v>
      </c>
      <c r="C151" s="1" t="str">
        <f t="shared" si="4"/>
        <v>September</v>
      </c>
      <c r="D151" s="1" t="s">
        <v>475</v>
      </c>
      <c r="E151" s="1" t="s">
        <v>632</v>
      </c>
      <c r="F151" s="1" t="s">
        <v>802</v>
      </c>
      <c r="G151" s="1" t="s">
        <v>805</v>
      </c>
      <c r="H151" s="1" t="s">
        <v>811</v>
      </c>
      <c r="I151" s="1" t="s">
        <v>816</v>
      </c>
      <c r="J151" s="1" t="s">
        <v>819</v>
      </c>
      <c r="K151" s="1" t="s">
        <v>820</v>
      </c>
      <c r="L151" s="1" t="s">
        <v>854</v>
      </c>
      <c r="M151" s="1">
        <v>9</v>
      </c>
      <c r="N151" s="1">
        <v>2797.79</v>
      </c>
      <c r="O151" s="1">
        <v>25180.11</v>
      </c>
      <c r="P151" s="1">
        <v>0.15</v>
      </c>
      <c r="Q151" s="1">
        <v>21403.09</v>
      </c>
      <c r="R151" s="1">
        <v>15610.6</v>
      </c>
      <c r="S151" s="1">
        <f t="shared" si="5"/>
        <v>5792.49</v>
      </c>
      <c r="T151" s="1" t="s">
        <v>874</v>
      </c>
      <c r="U151" s="1" t="s">
        <v>878</v>
      </c>
      <c r="V151" s="5" t="s">
        <v>882</v>
      </c>
    </row>
    <row r="152" spans="1:22" x14ac:dyDescent="0.3">
      <c r="A152" s="4" t="s">
        <v>177</v>
      </c>
      <c r="B152" s="3">
        <v>45326</v>
      </c>
      <c r="C152" s="1" t="str">
        <f t="shared" si="4"/>
        <v>February</v>
      </c>
      <c r="D152" s="1" t="s">
        <v>476</v>
      </c>
      <c r="E152" s="1" t="s">
        <v>661</v>
      </c>
      <c r="F152" s="1" t="s">
        <v>803</v>
      </c>
      <c r="G152" s="1" t="s">
        <v>805</v>
      </c>
      <c r="H152" s="1" t="s">
        <v>811</v>
      </c>
      <c r="I152" s="1" t="s">
        <v>816</v>
      </c>
      <c r="J152" s="1" t="s">
        <v>819</v>
      </c>
      <c r="K152" s="1" t="s">
        <v>821</v>
      </c>
      <c r="L152" s="1" t="s">
        <v>870</v>
      </c>
      <c r="M152" s="1">
        <v>4</v>
      </c>
      <c r="N152" s="1">
        <v>706.8</v>
      </c>
      <c r="O152" s="1">
        <v>2827.2</v>
      </c>
      <c r="P152" s="1">
        <v>0.1</v>
      </c>
      <c r="Q152" s="1">
        <v>2544.48</v>
      </c>
      <c r="R152" s="1">
        <v>1845.33</v>
      </c>
      <c r="S152" s="1">
        <f t="shared" si="5"/>
        <v>699.15000000000009</v>
      </c>
      <c r="T152" s="1" t="s">
        <v>874</v>
      </c>
      <c r="U152" s="1" t="s">
        <v>881</v>
      </c>
      <c r="V152" s="5" t="s">
        <v>883</v>
      </c>
    </row>
    <row r="153" spans="1:22" x14ac:dyDescent="0.3">
      <c r="A153" s="4" t="s">
        <v>178</v>
      </c>
      <c r="B153" s="3">
        <v>45339</v>
      </c>
      <c r="C153" s="1" t="str">
        <f t="shared" si="4"/>
        <v>February</v>
      </c>
      <c r="D153" s="1" t="s">
        <v>387</v>
      </c>
      <c r="E153" s="1" t="s">
        <v>662</v>
      </c>
      <c r="F153" s="1" t="s">
        <v>803</v>
      </c>
      <c r="G153" s="1" t="s">
        <v>804</v>
      </c>
      <c r="H153" s="1" t="s">
        <v>812</v>
      </c>
      <c r="I153" s="1" t="s">
        <v>815</v>
      </c>
      <c r="J153" s="1" t="s">
        <v>818</v>
      </c>
      <c r="K153" s="1" t="s">
        <v>822</v>
      </c>
      <c r="L153" s="1" t="s">
        <v>862</v>
      </c>
      <c r="M153" s="1">
        <v>6</v>
      </c>
      <c r="N153" s="1">
        <v>1386.04</v>
      </c>
      <c r="O153" s="1">
        <v>8316.24</v>
      </c>
      <c r="P153" s="1">
        <v>0</v>
      </c>
      <c r="Q153" s="1">
        <v>8316.24</v>
      </c>
      <c r="R153" s="1">
        <v>6707.11</v>
      </c>
      <c r="S153" s="1">
        <f t="shared" si="5"/>
        <v>1609.13</v>
      </c>
      <c r="T153" s="1" t="s">
        <v>875</v>
      </c>
      <c r="U153" s="1" t="s">
        <v>881</v>
      </c>
      <c r="V153" s="5" t="s">
        <v>884</v>
      </c>
    </row>
    <row r="154" spans="1:22" x14ac:dyDescent="0.3">
      <c r="A154" s="4" t="s">
        <v>179</v>
      </c>
      <c r="B154" s="3">
        <v>45553</v>
      </c>
      <c r="C154" s="1" t="str">
        <f t="shared" si="4"/>
        <v>September</v>
      </c>
      <c r="D154" s="1" t="s">
        <v>325</v>
      </c>
      <c r="E154" s="1" t="s">
        <v>663</v>
      </c>
      <c r="F154" s="1" t="s">
        <v>801</v>
      </c>
      <c r="G154" s="1" t="s">
        <v>804</v>
      </c>
      <c r="H154" s="1" t="s">
        <v>811</v>
      </c>
      <c r="I154" s="1" t="s">
        <v>809</v>
      </c>
      <c r="J154" s="1" t="s">
        <v>817</v>
      </c>
      <c r="K154" s="1" t="s">
        <v>822</v>
      </c>
      <c r="L154" s="1" t="s">
        <v>850</v>
      </c>
      <c r="M154" s="1">
        <v>9</v>
      </c>
      <c r="N154" s="1">
        <v>3168.74</v>
      </c>
      <c r="O154" s="1">
        <v>28518.66</v>
      </c>
      <c r="P154" s="1">
        <v>0.15</v>
      </c>
      <c r="Q154" s="1">
        <v>24240.86</v>
      </c>
      <c r="R154" s="1">
        <v>15649.96</v>
      </c>
      <c r="S154" s="1">
        <f t="shared" si="5"/>
        <v>8590.9000000000015</v>
      </c>
      <c r="T154" s="1" t="s">
        <v>876</v>
      </c>
      <c r="U154" s="1" t="s">
        <v>879</v>
      </c>
      <c r="V154" s="5" t="s">
        <v>884</v>
      </c>
    </row>
    <row r="155" spans="1:22" x14ac:dyDescent="0.3">
      <c r="A155" s="4" t="s">
        <v>180</v>
      </c>
      <c r="B155" s="3">
        <v>45342</v>
      </c>
      <c r="C155" s="1" t="str">
        <f t="shared" si="4"/>
        <v>February</v>
      </c>
      <c r="D155" s="1" t="s">
        <v>388</v>
      </c>
      <c r="E155" s="1" t="s">
        <v>664</v>
      </c>
      <c r="F155" s="1" t="s">
        <v>802</v>
      </c>
      <c r="G155" s="1" t="s">
        <v>806</v>
      </c>
      <c r="H155" s="1" t="s">
        <v>808</v>
      </c>
      <c r="I155" s="1" t="s">
        <v>813</v>
      </c>
      <c r="J155" s="1" t="s">
        <v>819</v>
      </c>
      <c r="K155" s="1" t="s">
        <v>821</v>
      </c>
      <c r="L155" s="1" t="s">
        <v>866</v>
      </c>
      <c r="M155" s="1">
        <v>1</v>
      </c>
      <c r="N155" s="1">
        <v>2471.13</v>
      </c>
      <c r="O155" s="1">
        <v>2471.13</v>
      </c>
      <c r="P155" s="1">
        <v>0.05</v>
      </c>
      <c r="Q155" s="1">
        <v>2347.5700000000002</v>
      </c>
      <c r="R155" s="1">
        <v>1511.36</v>
      </c>
      <c r="S155" s="1">
        <f t="shared" si="5"/>
        <v>836.21000000000026</v>
      </c>
      <c r="T155" s="1" t="s">
        <v>875</v>
      </c>
      <c r="U155" s="1" t="s">
        <v>880</v>
      </c>
      <c r="V155" s="5" t="s">
        <v>883</v>
      </c>
    </row>
    <row r="156" spans="1:22" x14ac:dyDescent="0.3">
      <c r="A156" s="4" t="s">
        <v>181</v>
      </c>
      <c r="B156" s="3">
        <v>45552</v>
      </c>
      <c r="C156" s="1" t="str">
        <f t="shared" si="4"/>
        <v>September</v>
      </c>
      <c r="D156" s="1" t="s">
        <v>398</v>
      </c>
      <c r="E156" s="1" t="s">
        <v>665</v>
      </c>
      <c r="F156" s="1" t="s">
        <v>801</v>
      </c>
      <c r="G156" s="1" t="s">
        <v>805</v>
      </c>
      <c r="H156" s="1" t="s">
        <v>809</v>
      </c>
      <c r="I156" s="1" t="s">
        <v>809</v>
      </c>
      <c r="J156" s="1" t="s">
        <v>818</v>
      </c>
      <c r="K156" s="1" t="s">
        <v>821</v>
      </c>
      <c r="L156" s="1" t="s">
        <v>827</v>
      </c>
      <c r="M156" s="1">
        <v>1</v>
      </c>
      <c r="N156" s="1">
        <v>710.32</v>
      </c>
      <c r="O156" s="1">
        <v>710.32</v>
      </c>
      <c r="P156" s="1">
        <v>0.05</v>
      </c>
      <c r="Q156" s="1">
        <v>674.8</v>
      </c>
      <c r="R156" s="1">
        <v>564.78</v>
      </c>
      <c r="S156" s="1">
        <f t="shared" si="5"/>
        <v>110.01999999999998</v>
      </c>
      <c r="T156" s="1" t="s">
        <v>875</v>
      </c>
      <c r="U156" s="1" t="s">
        <v>880</v>
      </c>
      <c r="V156" s="5" t="s">
        <v>884</v>
      </c>
    </row>
    <row r="157" spans="1:22" x14ac:dyDescent="0.3">
      <c r="A157" s="4" t="s">
        <v>182</v>
      </c>
      <c r="B157" s="3">
        <v>45433</v>
      </c>
      <c r="C157" s="1" t="str">
        <f t="shared" si="4"/>
        <v>May</v>
      </c>
      <c r="D157" s="1" t="s">
        <v>477</v>
      </c>
      <c r="E157" s="1" t="s">
        <v>666</v>
      </c>
      <c r="F157" s="1" t="s">
        <v>801</v>
      </c>
      <c r="G157" s="1" t="s">
        <v>806</v>
      </c>
      <c r="H157" s="1" t="s">
        <v>811</v>
      </c>
      <c r="I157" s="1" t="s">
        <v>814</v>
      </c>
      <c r="J157" s="1" t="s">
        <v>819</v>
      </c>
      <c r="K157" s="1" t="s">
        <v>820</v>
      </c>
      <c r="L157" s="1" t="s">
        <v>865</v>
      </c>
      <c r="M157" s="1">
        <v>1</v>
      </c>
      <c r="N157" s="1">
        <v>1226.49</v>
      </c>
      <c r="O157" s="1">
        <v>1226.49</v>
      </c>
      <c r="P157" s="1">
        <v>0</v>
      </c>
      <c r="Q157" s="1">
        <v>1226.49</v>
      </c>
      <c r="R157" s="1">
        <v>999.38</v>
      </c>
      <c r="S157" s="1">
        <f t="shared" si="5"/>
        <v>227.11</v>
      </c>
      <c r="T157" s="1" t="s">
        <v>875</v>
      </c>
      <c r="U157" s="1" t="s">
        <v>878</v>
      </c>
      <c r="V157" s="5" t="s">
        <v>883</v>
      </c>
    </row>
    <row r="158" spans="1:22" x14ac:dyDescent="0.3">
      <c r="A158" s="4" t="s">
        <v>183</v>
      </c>
      <c r="B158" s="3">
        <v>45314</v>
      </c>
      <c r="C158" s="1" t="str">
        <f t="shared" si="4"/>
        <v>January</v>
      </c>
      <c r="D158" s="1" t="s">
        <v>362</v>
      </c>
      <c r="E158" s="1" t="s">
        <v>667</v>
      </c>
      <c r="F158" s="1" t="s">
        <v>802</v>
      </c>
      <c r="G158" s="1" t="s">
        <v>806</v>
      </c>
      <c r="H158" s="1" t="s">
        <v>812</v>
      </c>
      <c r="I158" s="1" t="s">
        <v>809</v>
      </c>
      <c r="J158" s="1" t="s">
        <v>819</v>
      </c>
      <c r="K158" s="1" t="s">
        <v>822</v>
      </c>
      <c r="L158" s="1" t="s">
        <v>858</v>
      </c>
      <c r="M158" s="1">
        <v>1</v>
      </c>
      <c r="N158" s="1">
        <v>2322.5500000000002</v>
      </c>
      <c r="O158" s="1">
        <v>2322.5500000000002</v>
      </c>
      <c r="P158" s="1">
        <v>0.05</v>
      </c>
      <c r="Q158" s="1">
        <v>2206.42</v>
      </c>
      <c r="R158" s="1">
        <v>1446.8</v>
      </c>
      <c r="S158" s="1">
        <f t="shared" si="5"/>
        <v>759.62000000000012</v>
      </c>
      <c r="T158" s="1" t="s">
        <v>874</v>
      </c>
      <c r="U158" s="1" t="s">
        <v>878</v>
      </c>
      <c r="V158" s="5" t="s">
        <v>882</v>
      </c>
    </row>
    <row r="159" spans="1:22" x14ac:dyDescent="0.3">
      <c r="A159" s="4" t="s">
        <v>184</v>
      </c>
      <c r="B159" s="3">
        <v>45416</v>
      </c>
      <c r="C159" s="1" t="str">
        <f t="shared" si="4"/>
        <v>May</v>
      </c>
      <c r="D159" s="1" t="s">
        <v>383</v>
      </c>
      <c r="E159" s="1" t="s">
        <v>668</v>
      </c>
      <c r="F159" s="1" t="s">
        <v>802</v>
      </c>
      <c r="G159" s="1" t="s">
        <v>805</v>
      </c>
      <c r="H159" s="1" t="s">
        <v>809</v>
      </c>
      <c r="I159" s="1" t="s">
        <v>813</v>
      </c>
      <c r="J159" s="1" t="s">
        <v>817</v>
      </c>
      <c r="K159" s="1" t="s">
        <v>820</v>
      </c>
      <c r="L159" s="1" t="s">
        <v>835</v>
      </c>
      <c r="M159" s="1">
        <v>7</v>
      </c>
      <c r="N159" s="1">
        <v>2492.2199999999998</v>
      </c>
      <c r="O159" s="1">
        <v>17445.54</v>
      </c>
      <c r="P159" s="1">
        <v>0.05</v>
      </c>
      <c r="Q159" s="1">
        <v>16573.259999999998</v>
      </c>
      <c r="R159" s="1">
        <v>11657.2</v>
      </c>
      <c r="S159" s="1">
        <f t="shared" si="5"/>
        <v>4916.0599999999977</v>
      </c>
      <c r="T159" s="1" t="s">
        <v>874</v>
      </c>
      <c r="U159" s="1" t="s">
        <v>878</v>
      </c>
      <c r="V159" s="5" t="s">
        <v>882</v>
      </c>
    </row>
    <row r="160" spans="1:22" x14ac:dyDescent="0.3">
      <c r="A160" s="4" t="s">
        <v>185</v>
      </c>
      <c r="B160" s="3">
        <v>45295</v>
      </c>
      <c r="C160" s="1" t="str">
        <f t="shared" si="4"/>
        <v>January</v>
      </c>
      <c r="D160" s="1" t="s">
        <v>369</v>
      </c>
      <c r="E160" s="1" t="s">
        <v>669</v>
      </c>
      <c r="F160" s="1" t="s">
        <v>801</v>
      </c>
      <c r="G160" s="1" t="s">
        <v>805</v>
      </c>
      <c r="H160" s="1" t="s">
        <v>809</v>
      </c>
      <c r="I160" s="1" t="s">
        <v>809</v>
      </c>
      <c r="J160" s="1" t="s">
        <v>819</v>
      </c>
      <c r="K160" s="1" t="s">
        <v>822</v>
      </c>
      <c r="L160" s="1" t="s">
        <v>846</v>
      </c>
      <c r="M160" s="1">
        <v>7</v>
      </c>
      <c r="N160" s="1">
        <v>2140.7600000000002</v>
      </c>
      <c r="O160" s="1">
        <v>14985.32</v>
      </c>
      <c r="P160" s="1">
        <v>0</v>
      </c>
      <c r="Q160" s="1">
        <v>14985.32</v>
      </c>
      <c r="R160" s="1">
        <v>10246.27</v>
      </c>
      <c r="S160" s="1">
        <f t="shared" si="5"/>
        <v>4739.0499999999993</v>
      </c>
      <c r="T160" s="1" t="s">
        <v>875</v>
      </c>
      <c r="U160" s="1" t="s">
        <v>878</v>
      </c>
      <c r="V160" s="5" t="s">
        <v>882</v>
      </c>
    </row>
    <row r="161" spans="1:22" x14ac:dyDescent="0.3">
      <c r="A161" s="4" t="s">
        <v>186</v>
      </c>
      <c r="B161" s="3">
        <v>45531</v>
      </c>
      <c r="C161" s="1" t="str">
        <f t="shared" si="4"/>
        <v>August</v>
      </c>
      <c r="D161" s="1" t="s">
        <v>340</v>
      </c>
      <c r="E161" s="1" t="s">
        <v>670</v>
      </c>
      <c r="F161" s="1" t="s">
        <v>801</v>
      </c>
      <c r="G161" s="1" t="s">
        <v>806</v>
      </c>
      <c r="H161" s="1" t="s">
        <v>810</v>
      </c>
      <c r="I161" s="1" t="s">
        <v>813</v>
      </c>
      <c r="J161" s="1" t="s">
        <v>817</v>
      </c>
      <c r="K161" s="1" t="s">
        <v>820</v>
      </c>
      <c r="L161" s="1" t="s">
        <v>849</v>
      </c>
      <c r="M161" s="1">
        <v>6</v>
      </c>
      <c r="N161" s="1">
        <v>1135.24</v>
      </c>
      <c r="O161" s="1">
        <v>6811.44</v>
      </c>
      <c r="P161" s="1">
        <v>0</v>
      </c>
      <c r="Q161" s="1">
        <v>6811.44</v>
      </c>
      <c r="R161" s="1">
        <v>4562.1899999999996</v>
      </c>
      <c r="S161" s="1">
        <f t="shared" si="5"/>
        <v>2249.25</v>
      </c>
      <c r="T161" s="1" t="s">
        <v>875</v>
      </c>
      <c r="U161" s="1" t="s">
        <v>881</v>
      </c>
      <c r="V161" s="5" t="s">
        <v>884</v>
      </c>
    </row>
    <row r="162" spans="1:22" x14ac:dyDescent="0.3">
      <c r="A162" s="4" t="s">
        <v>187</v>
      </c>
      <c r="B162" s="3">
        <v>45531</v>
      </c>
      <c r="C162" s="1" t="str">
        <f t="shared" si="4"/>
        <v>August</v>
      </c>
      <c r="D162" s="1" t="s">
        <v>478</v>
      </c>
      <c r="E162" s="1" t="s">
        <v>671</v>
      </c>
      <c r="F162" s="1" t="s">
        <v>801</v>
      </c>
      <c r="G162" s="1" t="s">
        <v>806</v>
      </c>
      <c r="H162" s="1" t="s">
        <v>812</v>
      </c>
      <c r="I162" s="1" t="s">
        <v>816</v>
      </c>
      <c r="J162" s="1" t="s">
        <v>818</v>
      </c>
      <c r="K162" s="1" t="s">
        <v>820</v>
      </c>
      <c r="L162" s="1" t="s">
        <v>830</v>
      </c>
      <c r="M162" s="1">
        <v>4</v>
      </c>
      <c r="N162" s="1">
        <v>893.59</v>
      </c>
      <c r="O162" s="1">
        <v>3574.36</v>
      </c>
      <c r="P162" s="1">
        <v>0.1</v>
      </c>
      <c r="Q162" s="1">
        <v>3216.92</v>
      </c>
      <c r="R162" s="1">
        <v>2104.25</v>
      </c>
      <c r="S162" s="1">
        <f t="shared" si="5"/>
        <v>1112.67</v>
      </c>
      <c r="T162" s="1" t="s">
        <v>873</v>
      </c>
      <c r="U162" s="1" t="s">
        <v>880</v>
      </c>
      <c r="V162" s="5" t="s">
        <v>883</v>
      </c>
    </row>
    <row r="163" spans="1:22" x14ac:dyDescent="0.3">
      <c r="A163" s="4" t="s">
        <v>188</v>
      </c>
      <c r="B163" s="3">
        <v>45425</v>
      </c>
      <c r="C163" s="1" t="str">
        <f t="shared" si="4"/>
        <v>May</v>
      </c>
      <c r="D163" s="1" t="s">
        <v>336</v>
      </c>
      <c r="E163" s="1" t="s">
        <v>672</v>
      </c>
      <c r="F163" s="1" t="s">
        <v>802</v>
      </c>
      <c r="G163" s="1" t="s">
        <v>806</v>
      </c>
      <c r="H163" s="1" t="s">
        <v>810</v>
      </c>
      <c r="I163" s="1" t="s">
        <v>809</v>
      </c>
      <c r="J163" s="1" t="s">
        <v>818</v>
      </c>
      <c r="K163" s="1" t="s">
        <v>821</v>
      </c>
      <c r="L163" s="1" t="s">
        <v>859</v>
      </c>
      <c r="M163" s="1">
        <v>8</v>
      </c>
      <c r="N163" s="1">
        <v>2221.4499999999998</v>
      </c>
      <c r="O163" s="1">
        <v>17771.599999999999</v>
      </c>
      <c r="P163" s="1">
        <v>0.1</v>
      </c>
      <c r="Q163" s="1">
        <v>15994.44</v>
      </c>
      <c r="R163" s="1">
        <v>11734.57</v>
      </c>
      <c r="S163" s="1">
        <f t="shared" si="5"/>
        <v>4259.8700000000008</v>
      </c>
      <c r="T163" s="1" t="s">
        <v>874</v>
      </c>
      <c r="U163" s="1" t="s">
        <v>878</v>
      </c>
      <c r="V163" s="5" t="s">
        <v>882</v>
      </c>
    </row>
    <row r="164" spans="1:22" x14ac:dyDescent="0.3">
      <c r="A164" s="4" t="s">
        <v>189</v>
      </c>
      <c r="B164" s="3">
        <v>45582</v>
      </c>
      <c r="C164" s="1" t="str">
        <f t="shared" si="4"/>
        <v>October</v>
      </c>
      <c r="D164" s="1" t="s">
        <v>408</v>
      </c>
      <c r="E164" s="1" t="s">
        <v>673</v>
      </c>
      <c r="F164" s="1" t="s">
        <v>801</v>
      </c>
      <c r="G164" s="1" t="s">
        <v>806</v>
      </c>
      <c r="H164" s="1" t="s">
        <v>809</v>
      </c>
      <c r="I164" s="1" t="s">
        <v>809</v>
      </c>
      <c r="J164" s="1" t="s">
        <v>818</v>
      </c>
      <c r="K164" s="1" t="s">
        <v>822</v>
      </c>
      <c r="L164" s="1" t="s">
        <v>842</v>
      </c>
      <c r="M164" s="1">
        <v>5</v>
      </c>
      <c r="N164" s="1">
        <v>446.5</v>
      </c>
      <c r="O164" s="1">
        <v>2232.5</v>
      </c>
      <c r="P164" s="1">
        <v>0</v>
      </c>
      <c r="Q164" s="1">
        <v>2232.5</v>
      </c>
      <c r="R164" s="1">
        <v>1727.21</v>
      </c>
      <c r="S164" s="1">
        <f t="shared" si="5"/>
        <v>505.28999999999996</v>
      </c>
      <c r="T164" s="1" t="s">
        <v>874</v>
      </c>
      <c r="U164" s="1" t="s">
        <v>880</v>
      </c>
      <c r="V164" s="5" t="s">
        <v>882</v>
      </c>
    </row>
    <row r="165" spans="1:22" x14ac:dyDescent="0.3">
      <c r="A165" s="4" t="s">
        <v>190</v>
      </c>
      <c r="B165" s="3">
        <v>45451</v>
      </c>
      <c r="C165" s="1" t="str">
        <f t="shared" si="4"/>
        <v>June</v>
      </c>
      <c r="D165" s="1" t="s">
        <v>365</v>
      </c>
      <c r="E165" s="1" t="s">
        <v>674</v>
      </c>
      <c r="F165" s="1" t="s">
        <v>801</v>
      </c>
      <c r="G165" s="1" t="s">
        <v>806</v>
      </c>
      <c r="H165" s="1" t="s">
        <v>812</v>
      </c>
      <c r="I165" s="1" t="s">
        <v>813</v>
      </c>
      <c r="J165" s="1" t="s">
        <v>817</v>
      </c>
      <c r="K165" s="1" t="s">
        <v>822</v>
      </c>
      <c r="L165" s="1" t="s">
        <v>828</v>
      </c>
      <c r="M165" s="1">
        <v>4</v>
      </c>
      <c r="N165" s="1">
        <v>1294.56</v>
      </c>
      <c r="O165" s="1">
        <v>5178.24</v>
      </c>
      <c r="P165" s="1">
        <v>0.15</v>
      </c>
      <c r="Q165" s="1">
        <v>4401.5</v>
      </c>
      <c r="R165" s="1">
        <v>2951.61</v>
      </c>
      <c r="S165" s="1">
        <f t="shared" si="5"/>
        <v>1449.8899999999999</v>
      </c>
      <c r="T165" s="1" t="s">
        <v>874</v>
      </c>
      <c r="U165" s="1" t="s">
        <v>878</v>
      </c>
      <c r="V165" s="5" t="s">
        <v>882</v>
      </c>
    </row>
    <row r="166" spans="1:22" x14ac:dyDescent="0.3">
      <c r="A166" s="4" t="s">
        <v>191</v>
      </c>
      <c r="B166" s="3">
        <v>45528</v>
      </c>
      <c r="C166" s="1" t="str">
        <f t="shared" si="4"/>
        <v>August</v>
      </c>
      <c r="D166" s="1" t="s">
        <v>423</v>
      </c>
      <c r="E166" s="1" t="s">
        <v>675</v>
      </c>
      <c r="F166" s="1" t="s">
        <v>801</v>
      </c>
      <c r="G166" s="1" t="s">
        <v>806</v>
      </c>
      <c r="H166" s="1" t="s">
        <v>809</v>
      </c>
      <c r="I166" s="1" t="s">
        <v>816</v>
      </c>
      <c r="J166" s="1" t="s">
        <v>817</v>
      </c>
      <c r="K166" s="1" t="s">
        <v>821</v>
      </c>
      <c r="L166" s="1" t="s">
        <v>835</v>
      </c>
      <c r="M166" s="1">
        <v>7</v>
      </c>
      <c r="N166" s="1">
        <v>1491.55</v>
      </c>
      <c r="O166" s="1">
        <v>10440.85</v>
      </c>
      <c r="P166" s="1">
        <v>0</v>
      </c>
      <c r="Q166" s="1">
        <v>10440.85</v>
      </c>
      <c r="R166" s="1">
        <v>6738.67</v>
      </c>
      <c r="S166" s="1">
        <f t="shared" si="5"/>
        <v>3702.1800000000003</v>
      </c>
      <c r="T166" s="1" t="s">
        <v>873</v>
      </c>
      <c r="U166" s="1" t="s">
        <v>880</v>
      </c>
      <c r="V166" s="5" t="s">
        <v>884</v>
      </c>
    </row>
    <row r="167" spans="1:22" x14ac:dyDescent="0.3">
      <c r="A167" s="4" t="s">
        <v>192</v>
      </c>
      <c r="B167" s="3">
        <v>45371</v>
      </c>
      <c r="C167" s="1" t="str">
        <f t="shared" si="4"/>
        <v>March</v>
      </c>
      <c r="D167" s="1" t="s">
        <v>334</v>
      </c>
      <c r="E167" s="1" t="s">
        <v>676</v>
      </c>
      <c r="F167" s="1" t="s">
        <v>802</v>
      </c>
      <c r="G167" s="1" t="s">
        <v>806</v>
      </c>
      <c r="H167" s="1" t="s">
        <v>808</v>
      </c>
      <c r="I167" s="1" t="s">
        <v>816</v>
      </c>
      <c r="J167" s="1" t="s">
        <v>818</v>
      </c>
      <c r="K167" s="1" t="s">
        <v>821</v>
      </c>
      <c r="L167" s="1" t="s">
        <v>844</v>
      </c>
      <c r="M167" s="1">
        <v>12</v>
      </c>
      <c r="N167" s="1">
        <v>521.62</v>
      </c>
      <c r="O167" s="1">
        <v>6259.44</v>
      </c>
      <c r="P167" s="1">
        <v>0.1</v>
      </c>
      <c r="Q167" s="1">
        <v>5633.5</v>
      </c>
      <c r="R167" s="1">
        <v>4266.6099999999997</v>
      </c>
      <c r="S167" s="1">
        <f t="shared" si="5"/>
        <v>1366.8900000000003</v>
      </c>
      <c r="T167" s="1" t="s">
        <v>873</v>
      </c>
      <c r="U167" s="1" t="s">
        <v>881</v>
      </c>
      <c r="V167" s="5" t="s">
        <v>884</v>
      </c>
    </row>
    <row r="168" spans="1:22" x14ac:dyDescent="0.3">
      <c r="A168" s="4" t="s">
        <v>193</v>
      </c>
      <c r="B168" s="3">
        <v>45292</v>
      </c>
      <c r="C168" s="1" t="str">
        <f t="shared" si="4"/>
        <v>January</v>
      </c>
      <c r="D168" s="1" t="s">
        <v>479</v>
      </c>
      <c r="E168" s="1" t="s">
        <v>677</v>
      </c>
      <c r="F168" s="1" t="s">
        <v>803</v>
      </c>
      <c r="G168" s="1" t="s">
        <v>804</v>
      </c>
      <c r="H168" s="1" t="s">
        <v>809</v>
      </c>
      <c r="I168" s="1" t="s">
        <v>815</v>
      </c>
      <c r="J168" s="1" t="s">
        <v>817</v>
      </c>
      <c r="K168" s="1" t="s">
        <v>822</v>
      </c>
      <c r="L168" s="1" t="s">
        <v>855</v>
      </c>
      <c r="M168" s="1">
        <v>11</v>
      </c>
      <c r="N168" s="1">
        <v>1287.6400000000001</v>
      </c>
      <c r="O168" s="1">
        <v>14164.04</v>
      </c>
      <c r="P168" s="1">
        <v>0</v>
      </c>
      <c r="Q168" s="1">
        <v>14164.04</v>
      </c>
      <c r="R168" s="1">
        <v>11597.21</v>
      </c>
      <c r="S168" s="1">
        <f t="shared" si="5"/>
        <v>2566.8300000000017</v>
      </c>
      <c r="T168" s="1" t="s">
        <v>876</v>
      </c>
      <c r="U168" s="1" t="s">
        <v>878</v>
      </c>
      <c r="V168" s="5" t="s">
        <v>883</v>
      </c>
    </row>
    <row r="169" spans="1:22" x14ac:dyDescent="0.3">
      <c r="A169" s="4" t="s">
        <v>194</v>
      </c>
      <c r="B169" s="3">
        <v>45493</v>
      </c>
      <c r="C169" s="1" t="str">
        <f t="shared" si="4"/>
        <v>July</v>
      </c>
      <c r="D169" s="1" t="s">
        <v>353</v>
      </c>
      <c r="E169" s="1" t="s">
        <v>678</v>
      </c>
      <c r="F169" s="1" t="s">
        <v>801</v>
      </c>
      <c r="G169" s="1" t="s">
        <v>805</v>
      </c>
      <c r="H169" s="1" t="s">
        <v>812</v>
      </c>
      <c r="I169" s="1" t="s">
        <v>814</v>
      </c>
      <c r="J169" s="1" t="s">
        <v>818</v>
      </c>
      <c r="K169" s="1" t="s">
        <v>821</v>
      </c>
      <c r="L169" s="1" t="s">
        <v>862</v>
      </c>
      <c r="M169" s="1">
        <v>10</v>
      </c>
      <c r="N169" s="1">
        <v>2969.1</v>
      </c>
      <c r="O169" s="1">
        <v>29691</v>
      </c>
      <c r="P169" s="1">
        <v>0.1</v>
      </c>
      <c r="Q169" s="1">
        <v>26721.9</v>
      </c>
      <c r="R169" s="1">
        <v>19555.919999999998</v>
      </c>
      <c r="S169" s="1">
        <f t="shared" si="5"/>
        <v>7165.9800000000032</v>
      </c>
      <c r="T169" s="1" t="s">
        <v>873</v>
      </c>
      <c r="U169" s="1" t="s">
        <v>881</v>
      </c>
      <c r="V169" s="5" t="s">
        <v>882</v>
      </c>
    </row>
    <row r="170" spans="1:22" x14ac:dyDescent="0.3">
      <c r="A170" s="4" t="s">
        <v>195</v>
      </c>
      <c r="B170" s="3">
        <v>45397</v>
      </c>
      <c r="C170" s="1" t="str">
        <f t="shared" si="4"/>
        <v>April</v>
      </c>
      <c r="D170" s="1" t="s">
        <v>412</v>
      </c>
      <c r="E170" s="1" t="s">
        <v>679</v>
      </c>
      <c r="F170" s="1" t="s">
        <v>803</v>
      </c>
      <c r="G170" s="1" t="s">
        <v>807</v>
      </c>
      <c r="H170" s="1" t="s">
        <v>810</v>
      </c>
      <c r="I170" s="1" t="s">
        <v>814</v>
      </c>
      <c r="J170" s="1" t="s">
        <v>817</v>
      </c>
      <c r="K170" s="1" t="s">
        <v>821</v>
      </c>
      <c r="L170" s="1" t="s">
        <v>829</v>
      </c>
      <c r="M170" s="1">
        <v>11</v>
      </c>
      <c r="N170" s="1">
        <v>1986.83</v>
      </c>
      <c r="O170" s="1">
        <v>21855.13</v>
      </c>
      <c r="P170" s="1">
        <v>0.05</v>
      </c>
      <c r="Q170" s="1">
        <v>20762.37</v>
      </c>
      <c r="R170" s="1">
        <v>14998.27</v>
      </c>
      <c r="S170" s="1">
        <f t="shared" si="5"/>
        <v>5764.0999999999985</v>
      </c>
      <c r="T170" s="1" t="s">
        <v>874</v>
      </c>
      <c r="U170" s="1" t="s">
        <v>880</v>
      </c>
      <c r="V170" s="5" t="s">
        <v>882</v>
      </c>
    </row>
    <row r="171" spans="1:22" x14ac:dyDescent="0.3">
      <c r="A171" s="4" t="s">
        <v>196</v>
      </c>
      <c r="B171" s="3">
        <v>45378</v>
      </c>
      <c r="C171" s="1" t="str">
        <f t="shared" si="4"/>
        <v>March</v>
      </c>
      <c r="D171" s="1" t="s">
        <v>431</v>
      </c>
      <c r="E171" s="1" t="s">
        <v>680</v>
      </c>
      <c r="F171" s="1" t="s">
        <v>803</v>
      </c>
      <c r="G171" s="1" t="s">
        <v>805</v>
      </c>
      <c r="H171" s="1" t="s">
        <v>811</v>
      </c>
      <c r="I171" s="1" t="s">
        <v>813</v>
      </c>
      <c r="J171" s="1" t="s">
        <v>818</v>
      </c>
      <c r="K171" s="1" t="s">
        <v>820</v>
      </c>
      <c r="L171" s="1" t="s">
        <v>851</v>
      </c>
      <c r="M171" s="1">
        <v>6</v>
      </c>
      <c r="N171" s="1">
        <v>1676.08</v>
      </c>
      <c r="O171" s="1">
        <v>10056.48</v>
      </c>
      <c r="P171" s="1">
        <v>0.05</v>
      </c>
      <c r="Q171" s="1">
        <v>9553.66</v>
      </c>
      <c r="R171" s="1">
        <v>7252.44</v>
      </c>
      <c r="S171" s="1">
        <f t="shared" si="5"/>
        <v>2301.2200000000003</v>
      </c>
      <c r="T171" s="1" t="s">
        <v>873</v>
      </c>
      <c r="U171" s="1" t="s">
        <v>880</v>
      </c>
      <c r="V171" s="5" t="s">
        <v>883</v>
      </c>
    </row>
    <row r="172" spans="1:22" x14ac:dyDescent="0.3">
      <c r="A172" s="4" t="s">
        <v>197</v>
      </c>
      <c r="B172" s="3">
        <v>45471</v>
      </c>
      <c r="C172" s="1" t="str">
        <f t="shared" si="4"/>
        <v>June</v>
      </c>
      <c r="D172" s="1" t="s">
        <v>411</v>
      </c>
      <c r="E172" s="1" t="s">
        <v>681</v>
      </c>
      <c r="F172" s="1" t="s">
        <v>801</v>
      </c>
      <c r="G172" s="1" t="s">
        <v>804</v>
      </c>
      <c r="H172" s="1" t="s">
        <v>808</v>
      </c>
      <c r="I172" s="1" t="s">
        <v>816</v>
      </c>
      <c r="J172" s="1" t="s">
        <v>817</v>
      </c>
      <c r="K172" s="1" t="s">
        <v>821</v>
      </c>
      <c r="L172" s="1" t="s">
        <v>864</v>
      </c>
      <c r="M172" s="1">
        <v>5</v>
      </c>
      <c r="N172" s="1">
        <v>813.54</v>
      </c>
      <c r="O172" s="1">
        <v>4067.7</v>
      </c>
      <c r="P172" s="1">
        <v>0.05</v>
      </c>
      <c r="Q172" s="1">
        <v>3864.31</v>
      </c>
      <c r="R172" s="1">
        <v>2886.21</v>
      </c>
      <c r="S172" s="1">
        <f t="shared" si="5"/>
        <v>978.09999999999991</v>
      </c>
      <c r="T172" s="1" t="s">
        <v>875</v>
      </c>
      <c r="U172" s="1" t="s">
        <v>881</v>
      </c>
      <c r="V172" s="5" t="s">
        <v>884</v>
      </c>
    </row>
    <row r="173" spans="1:22" x14ac:dyDescent="0.3">
      <c r="A173" s="4" t="s">
        <v>198</v>
      </c>
      <c r="B173" s="3">
        <v>45499</v>
      </c>
      <c r="C173" s="1" t="str">
        <f t="shared" si="4"/>
        <v>July</v>
      </c>
      <c r="D173" s="1" t="s">
        <v>480</v>
      </c>
      <c r="E173" s="1" t="s">
        <v>682</v>
      </c>
      <c r="F173" s="1" t="s">
        <v>803</v>
      </c>
      <c r="G173" s="1" t="s">
        <v>804</v>
      </c>
      <c r="H173" s="1" t="s">
        <v>809</v>
      </c>
      <c r="I173" s="1" t="s">
        <v>815</v>
      </c>
      <c r="J173" s="1" t="s">
        <v>819</v>
      </c>
      <c r="K173" s="1" t="s">
        <v>820</v>
      </c>
      <c r="L173" s="1" t="s">
        <v>866</v>
      </c>
      <c r="M173" s="1">
        <v>4</v>
      </c>
      <c r="N173" s="1">
        <v>754.88</v>
      </c>
      <c r="O173" s="1">
        <v>3019.52</v>
      </c>
      <c r="P173" s="1">
        <v>0.1</v>
      </c>
      <c r="Q173" s="1">
        <v>2717.57</v>
      </c>
      <c r="R173" s="1">
        <v>1638.95</v>
      </c>
      <c r="S173" s="1">
        <f t="shared" si="5"/>
        <v>1078.6200000000001</v>
      </c>
      <c r="T173" s="1" t="s">
        <v>874</v>
      </c>
      <c r="U173" s="1" t="s">
        <v>878</v>
      </c>
      <c r="V173" s="5" t="s">
        <v>882</v>
      </c>
    </row>
    <row r="174" spans="1:22" x14ac:dyDescent="0.3">
      <c r="A174" s="4" t="s">
        <v>199</v>
      </c>
      <c r="B174" s="3">
        <v>45374</v>
      </c>
      <c r="C174" s="1" t="str">
        <f t="shared" si="4"/>
        <v>March</v>
      </c>
      <c r="D174" s="1" t="s">
        <v>394</v>
      </c>
      <c r="E174" s="1" t="s">
        <v>683</v>
      </c>
      <c r="F174" s="1" t="s">
        <v>803</v>
      </c>
      <c r="G174" s="1" t="s">
        <v>804</v>
      </c>
      <c r="H174" s="1" t="s">
        <v>811</v>
      </c>
      <c r="I174" s="1" t="s">
        <v>816</v>
      </c>
      <c r="J174" s="1" t="s">
        <v>817</v>
      </c>
      <c r="K174" s="1" t="s">
        <v>821</v>
      </c>
      <c r="L174" s="1" t="s">
        <v>850</v>
      </c>
      <c r="M174" s="1">
        <v>8</v>
      </c>
      <c r="N174" s="1">
        <v>1852.84</v>
      </c>
      <c r="O174" s="1">
        <v>14822.72</v>
      </c>
      <c r="P174" s="1">
        <v>0.1</v>
      </c>
      <c r="Q174" s="1">
        <v>13340.45</v>
      </c>
      <c r="R174" s="1">
        <v>8969.7999999999993</v>
      </c>
      <c r="S174" s="1">
        <f t="shared" si="5"/>
        <v>4370.6500000000015</v>
      </c>
      <c r="T174" s="1" t="s">
        <v>874</v>
      </c>
      <c r="U174" s="1" t="s">
        <v>881</v>
      </c>
      <c r="V174" s="5" t="s">
        <v>884</v>
      </c>
    </row>
    <row r="175" spans="1:22" x14ac:dyDescent="0.3">
      <c r="A175" s="4" t="s">
        <v>200</v>
      </c>
      <c r="B175" s="3">
        <v>45347</v>
      </c>
      <c r="C175" s="1" t="str">
        <f t="shared" si="4"/>
        <v>February</v>
      </c>
      <c r="D175" s="1" t="s">
        <v>481</v>
      </c>
      <c r="E175" s="1" t="s">
        <v>684</v>
      </c>
      <c r="F175" s="1" t="s">
        <v>801</v>
      </c>
      <c r="G175" s="1" t="s">
        <v>804</v>
      </c>
      <c r="H175" s="1" t="s">
        <v>812</v>
      </c>
      <c r="I175" s="1" t="s">
        <v>809</v>
      </c>
      <c r="J175" s="1" t="s">
        <v>818</v>
      </c>
      <c r="K175" s="1" t="s">
        <v>822</v>
      </c>
      <c r="L175" s="1" t="s">
        <v>862</v>
      </c>
      <c r="M175" s="1">
        <v>8</v>
      </c>
      <c r="N175" s="1">
        <v>3365.87</v>
      </c>
      <c r="O175" s="1">
        <v>26926.959999999999</v>
      </c>
      <c r="P175" s="1">
        <v>0.15</v>
      </c>
      <c r="Q175" s="1">
        <v>22887.919999999998</v>
      </c>
      <c r="R175" s="1">
        <v>14818.83</v>
      </c>
      <c r="S175" s="1">
        <f t="shared" si="5"/>
        <v>8069.0899999999983</v>
      </c>
      <c r="T175" s="1" t="s">
        <v>874</v>
      </c>
      <c r="U175" s="1" t="s">
        <v>880</v>
      </c>
      <c r="V175" s="5" t="s">
        <v>882</v>
      </c>
    </row>
    <row r="176" spans="1:22" x14ac:dyDescent="0.3">
      <c r="A176" s="4" t="s">
        <v>201</v>
      </c>
      <c r="B176" s="3">
        <v>45362</v>
      </c>
      <c r="C176" s="1" t="str">
        <f t="shared" si="4"/>
        <v>March</v>
      </c>
      <c r="D176" s="1" t="s">
        <v>421</v>
      </c>
      <c r="E176" s="1" t="s">
        <v>685</v>
      </c>
      <c r="F176" s="1" t="s">
        <v>801</v>
      </c>
      <c r="G176" s="1" t="s">
        <v>806</v>
      </c>
      <c r="H176" s="1" t="s">
        <v>808</v>
      </c>
      <c r="I176" s="1" t="s">
        <v>813</v>
      </c>
      <c r="J176" s="1" t="s">
        <v>817</v>
      </c>
      <c r="K176" s="1" t="s">
        <v>821</v>
      </c>
      <c r="L176" s="1" t="s">
        <v>852</v>
      </c>
      <c r="M176" s="1">
        <v>1</v>
      </c>
      <c r="N176" s="1">
        <v>478.41</v>
      </c>
      <c r="O176" s="1">
        <v>478.41</v>
      </c>
      <c r="P176" s="1">
        <v>0.15</v>
      </c>
      <c r="Q176" s="1">
        <v>406.65</v>
      </c>
      <c r="R176" s="1">
        <v>329.34</v>
      </c>
      <c r="S176" s="1">
        <f t="shared" si="5"/>
        <v>77.31</v>
      </c>
      <c r="T176" s="1" t="s">
        <v>874</v>
      </c>
      <c r="U176" s="1" t="s">
        <v>878</v>
      </c>
      <c r="V176" s="5" t="s">
        <v>882</v>
      </c>
    </row>
    <row r="177" spans="1:22" x14ac:dyDescent="0.3">
      <c r="A177" s="4" t="s">
        <v>202</v>
      </c>
      <c r="B177" s="3">
        <v>45474</v>
      </c>
      <c r="C177" s="1" t="str">
        <f t="shared" si="4"/>
        <v>July</v>
      </c>
      <c r="D177" s="1" t="s">
        <v>411</v>
      </c>
      <c r="E177" s="1" t="s">
        <v>686</v>
      </c>
      <c r="F177" s="1" t="s">
        <v>803</v>
      </c>
      <c r="G177" s="1" t="s">
        <v>804</v>
      </c>
      <c r="H177" s="1" t="s">
        <v>809</v>
      </c>
      <c r="I177" s="1" t="s">
        <v>809</v>
      </c>
      <c r="J177" s="1" t="s">
        <v>818</v>
      </c>
      <c r="K177" s="1" t="s">
        <v>821</v>
      </c>
      <c r="L177" s="1" t="s">
        <v>850</v>
      </c>
      <c r="M177" s="1">
        <v>4</v>
      </c>
      <c r="N177" s="1">
        <v>1542.43</v>
      </c>
      <c r="O177" s="1">
        <v>6169.72</v>
      </c>
      <c r="P177" s="1">
        <v>0.1</v>
      </c>
      <c r="Q177" s="1">
        <v>5552.75</v>
      </c>
      <c r="R177" s="1">
        <v>4494.7</v>
      </c>
      <c r="S177" s="1">
        <f t="shared" si="5"/>
        <v>1058.0500000000002</v>
      </c>
      <c r="T177" s="1" t="s">
        <v>873</v>
      </c>
      <c r="U177" s="1" t="s">
        <v>877</v>
      </c>
      <c r="V177" s="5" t="s">
        <v>882</v>
      </c>
    </row>
    <row r="178" spans="1:22" x14ac:dyDescent="0.3">
      <c r="A178" s="4" t="s">
        <v>203</v>
      </c>
      <c r="B178" s="3">
        <v>45545</v>
      </c>
      <c r="C178" s="1" t="str">
        <f t="shared" si="4"/>
        <v>September</v>
      </c>
      <c r="D178" s="1" t="s">
        <v>475</v>
      </c>
      <c r="E178" s="1" t="s">
        <v>687</v>
      </c>
      <c r="F178" s="1" t="s">
        <v>803</v>
      </c>
      <c r="G178" s="1" t="s">
        <v>806</v>
      </c>
      <c r="H178" s="1" t="s">
        <v>810</v>
      </c>
      <c r="I178" s="1" t="s">
        <v>813</v>
      </c>
      <c r="J178" s="1" t="s">
        <v>819</v>
      </c>
      <c r="K178" s="1" t="s">
        <v>821</v>
      </c>
      <c r="L178" s="1" t="s">
        <v>832</v>
      </c>
      <c r="M178" s="1">
        <v>8</v>
      </c>
      <c r="N178" s="1">
        <v>2665.36</v>
      </c>
      <c r="O178" s="1">
        <v>21322.880000000001</v>
      </c>
      <c r="P178" s="1">
        <v>0.1</v>
      </c>
      <c r="Q178" s="1">
        <v>19190.59</v>
      </c>
      <c r="R178" s="1">
        <v>14405.54</v>
      </c>
      <c r="S178" s="1">
        <f t="shared" si="5"/>
        <v>4785.0499999999993</v>
      </c>
      <c r="T178" s="1" t="s">
        <v>876</v>
      </c>
      <c r="U178" s="1" t="s">
        <v>877</v>
      </c>
      <c r="V178" s="5" t="s">
        <v>884</v>
      </c>
    </row>
    <row r="179" spans="1:22" x14ac:dyDescent="0.3">
      <c r="A179" s="4" t="s">
        <v>204</v>
      </c>
      <c r="B179" s="3">
        <v>45537</v>
      </c>
      <c r="C179" s="1" t="str">
        <f t="shared" si="4"/>
        <v>September</v>
      </c>
      <c r="D179" s="1" t="s">
        <v>361</v>
      </c>
      <c r="E179" s="1" t="s">
        <v>688</v>
      </c>
      <c r="F179" s="1" t="s">
        <v>801</v>
      </c>
      <c r="G179" s="1" t="s">
        <v>806</v>
      </c>
      <c r="H179" s="1" t="s">
        <v>812</v>
      </c>
      <c r="I179" s="1" t="s">
        <v>809</v>
      </c>
      <c r="J179" s="1" t="s">
        <v>818</v>
      </c>
      <c r="K179" s="1" t="s">
        <v>820</v>
      </c>
      <c r="L179" s="1" t="s">
        <v>842</v>
      </c>
      <c r="M179" s="1">
        <v>4</v>
      </c>
      <c r="N179" s="1">
        <v>2641.15</v>
      </c>
      <c r="O179" s="1">
        <v>10564.6</v>
      </c>
      <c r="P179" s="1">
        <v>0</v>
      </c>
      <c r="Q179" s="1">
        <v>10564.6</v>
      </c>
      <c r="R179" s="1">
        <v>6423.33</v>
      </c>
      <c r="S179" s="1">
        <f t="shared" si="5"/>
        <v>4141.2700000000004</v>
      </c>
      <c r="T179" s="1" t="s">
        <v>873</v>
      </c>
      <c r="U179" s="1" t="s">
        <v>879</v>
      </c>
      <c r="V179" s="5" t="s">
        <v>882</v>
      </c>
    </row>
    <row r="180" spans="1:22" x14ac:dyDescent="0.3">
      <c r="A180" s="4" t="s">
        <v>205</v>
      </c>
      <c r="B180" s="3">
        <v>45516</v>
      </c>
      <c r="C180" s="1" t="str">
        <f t="shared" si="4"/>
        <v>August</v>
      </c>
      <c r="D180" s="1" t="s">
        <v>482</v>
      </c>
      <c r="E180" s="1" t="s">
        <v>689</v>
      </c>
      <c r="F180" s="1" t="s">
        <v>801</v>
      </c>
      <c r="G180" s="1" t="s">
        <v>807</v>
      </c>
      <c r="H180" s="1" t="s">
        <v>809</v>
      </c>
      <c r="I180" s="1" t="s">
        <v>816</v>
      </c>
      <c r="J180" s="1" t="s">
        <v>818</v>
      </c>
      <c r="K180" s="1" t="s">
        <v>821</v>
      </c>
      <c r="L180" s="1" t="s">
        <v>836</v>
      </c>
      <c r="M180" s="1">
        <v>11</v>
      </c>
      <c r="N180" s="1">
        <v>3363.62</v>
      </c>
      <c r="O180" s="1">
        <v>36999.82</v>
      </c>
      <c r="P180" s="1">
        <v>0.05</v>
      </c>
      <c r="Q180" s="1">
        <v>35149.83</v>
      </c>
      <c r="R180" s="1">
        <v>29033.75</v>
      </c>
      <c r="S180" s="1">
        <f t="shared" si="5"/>
        <v>6116.0800000000017</v>
      </c>
      <c r="T180" s="1" t="s">
        <v>875</v>
      </c>
      <c r="U180" s="1" t="s">
        <v>878</v>
      </c>
      <c r="V180" s="5" t="s">
        <v>882</v>
      </c>
    </row>
    <row r="181" spans="1:22" x14ac:dyDescent="0.3">
      <c r="A181" s="4" t="s">
        <v>206</v>
      </c>
      <c r="B181" s="3">
        <v>45569</v>
      </c>
      <c r="C181" s="1" t="str">
        <f t="shared" si="4"/>
        <v>October</v>
      </c>
      <c r="D181" s="1" t="s">
        <v>330</v>
      </c>
      <c r="E181" s="1" t="s">
        <v>690</v>
      </c>
      <c r="F181" s="1" t="s">
        <v>803</v>
      </c>
      <c r="G181" s="1" t="s">
        <v>807</v>
      </c>
      <c r="H181" s="1" t="s">
        <v>808</v>
      </c>
      <c r="I181" s="1" t="s">
        <v>815</v>
      </c>
      <c r="J181" s="1" t="s">
        <v>818</v>
      </c>
      <c r="K181" s="1" t="s">
        <v>821</v>
      </c>
      <c r="L181" s="1" t="s">
        <v>858</v>
      </c>
      <c r="M181" s="1">
        <v>9</v>
      </c>
      <c r="N181" s="1">
        <v>1827.47</v>
      </c>
      <c r="O181" s="1">
        <v>16447.23</v>
      </c>
      <c r="P181" s="1">
        <v>0.05</v>
      </c>
      <c r="Q181" s="1">
        <v>15624.87</v>
      </c>
      <c r="R181" s="1">
        <v>13181.02</v>
      </c>
      <c r="S181" s="1">
        <f t="shared" si="5"/>
        <v>2443.8500000000004</v>
      </c>
      <c r="T181" s="1" t="s">
        <v>874</v>
      </c>
      <c r="U181" s="1" t="s">
        <v>878</v>
      </c>
      <c r="V181" s="5" t="s">
        <v>883</v>
      </c>
    </row>
    <row r="182" spans="1:22" x14ac:dyDescent="0.3">
      <c r="A182" s="4" t="s">
        <v>207</v>
      </c>
      <c r="B182" s="3">
        <v>45362</v>
      </c>
      <c r="C182" s="1" t="str">
        <f t="shared" si="4"/>
        <v>March</v>
      </c>
      <c r="D182" s="1" t="s">
        <v>483</v>
      </c>
      <c r="E182" s="1" t="s">
        <v>691</v>
      </c>
      <c r="F182" s="1" t="s">
        <v>802</v>
      </c>
      <c r="G182" s="1" t="s">
        <v>805</v>
      </c>
      <c r="H182" s="1" t="s">
        <v>809</v>
      </c>
      <c r="I182" s="1" t="s">
        <v>813</v>
      </c>
      <c r="J182" s="1" t="s">
        <v>818</v>
      </c>
      <c r="K182" s="1" t="s">
        <v>821</v>
      </c>
      <c r="L182" s="1" t="s">
        <v>831</v>
      </c>
      <c r="M182" s="1">
        <v>6</v>
      </c>
      <c r="N182" s="1">
        <v>2044.25</v>
      </c>
      <c r="O182" s="1">
        <v>12265.5</v>
      </c>
      <c r="P182" s="1">
        <v>0</v>
      </c>
      <c r="Q182" s="1">
        <v>12265.5</v>
      </c>
      <c r="R182" s="1">
        <v>9959.92</v>
      </c>
      <c r="S182" s="1">
        <f t="shared" si="5"/>
        <v>2305.58</v>
      </c>
      <c r="T182" s="1" t="s">
        <v>873</v>
      </c>
      <c r="U182" s="1" t="s">
        <v>879</v>
      </c>
      <c r="V182" s="5" t="s">
        <v>883</v>
      </c>
    </row>
    <row r="183" spans="1:22" x14ac:dyDescent="0.3">
      <c r="A183" s="4" t="s">
        <v>208</v>
      </c>
      <c r="B183" s="3">
        <v>45415</v>
      </c>
      <c r="C183" s="1" t="str">
        <f t="shared" si="4"/>
        <v>May</v>
      </c>
      <c r="D183" s="1" t="s">
        <v>348</v>
      </c>
      <c r="E183" s="1" t="s">
        <v>692</v>
      </c>
      <c r="F183" s="1" t="s">
        <v>802</v>
      </c>
      <c r="G183" s="1" t="s">
        <v>804</v>
      </c>
      <c r="H183" s="1" t="s">
        <v>810</v>
      </c>
      <c r="I183" s="1" t="s">
        <v>815</v>
      </c>
      <c r="J183" s="1" t="s">
        <v>818</v>
      </c>
      <c r="K183" s="1" t="s">
        <v>820</v>
      </c>
      <c r="L183" s="1" t="s">
        <v>837</v>
      </c>
      <c r="M183" s="1">
        <v>8</v>
      </c>
      <c r="N183" s="1">
        <v>1628.66</v>
      </c>
      <c r="O183" s="1">
        <v>13029.28</v>
      </c>
      <c r="P183" s="1">
        <v>0</v>
      </c>
      <c r="Q183" s="1">
        <v>13029.28</v>
      </c>
      <c r="R183" s="1">
        <v>8557.7800000000007</v>
      </c>
      <c r="S183" s="1">
        <f t="shared" si="5"/>
        <v>4471.5</v>
      </c>
      <c r="T183" s="1" t="s">
        <v>874</v>
      </c>
      <c r="U183" s="1" t="s">
        <v>878</v>
      </c>
      <c r="V183" s="5" t="s">
        <v>882</v>
      </c>
    </row>
    <row r="184" spans="1:22" x14ac:dyDescent="0.3">
      <c r="A184" s="4" t="s">
        <v>209</v>
      </c>
      <c r="B184" s="3">
        <v>45575</v>
      </c>
      <c r="C184" s="1" t="str">
        <f t="shared" si="4"/>
        <v>October</v>
      </c>
      <c r="D184" s="1" t="s">
        <v>444</v>
      </c>
      <c r="E184" s="1" t="s">
        <v>687</v>
      </c>
      <c r="F184" s="1" t="s">
        <v>801</v>
      </c>
      <c r="G184" s="1" t="s">
        <v>804</v>
      </c>
      <c r="H184" s="1" t="s">
        <v>811</v>
      </c>
      <c r="I184" s="1" t="s">
        <v>813</v>
      </c>
      <c r="J184" s="1" t="s">
        <v>818</v>
      </c>
      <c r="K184" s="1" t="s">
        <v>821</v>
      </c>
      <c r="L184" s="1" t="s">
        <v>842</v>
      </c>
      <c r="M184" s="1">
        <v>4</v>
      </c>
      <c r="N184" s="1">
        <v>2077.8000000000002</v>
      </c>
      <c r="O184" s="1">
        <v>8311.2000000000007</v>
      </c>
      <c r="P184" s="1">
        <v>0</v>
      </c>
      <c r="Q184" s="1">
        <v>8311.2000000000007</v>
      </c>
      <c r="R184" s="1">
        <v>6515.12</v>
      </c>
      <c r="S184" s="1">
        <f t="shared" si="5"/>
        <v>1796.0800000000008</v>
      </c>
      <c r="T184" s="1" t="s">
        <v>876</v>
      </c>
      <c r="U184" s="1" t="s">
        <v>881</v>
      </c>
      <c r="V184" s="5" t="s">
        <v>882</v>
      </c>
    </row>
    <row r="185" spans="1:22" x14ac:dyDescent="0.3">
      <c r="A185" s="4" t="s">
        <v>210</v>
      </c>
      <c r="B185" s="3">
        <v>45527</v>
      </c>
      <c r="C185" s="1" t="str">
        <f t="shared" si="4"/>
        <v>August</v>
      </c>
      <c r="D185" s="1" t="s">
        <v>340</v>
      </c>
      <c r="E185" s="1" t="s">
        <v>693</v>
      </c>
      <c r="F185" s="1" t="s">
        <v>802</v>
      </c>
      <c r="G185" s="1" t="s">
        <v>805</v>
      </c>
      <c r="H185" s="1" t="s">
        <v>809</v>
      </c>
      <c r="I185" s="1" t="s">
        <v>813</v>
      </c>
      <c r="J185" s="1" t="s">
        <v>819</v>
      </c>
      <c r="K185" s="1" t="s">
        <v>821</v>
      </c>
      <c r="L185" s="1" t="s">
        <v>865</v>
      </c>
      <c r="M185" s="1">
        <v>11</v>
      </c>
      <c r="N185" s="1">
        <v>1615.08</v>
      </c>
      <c r="O185" s="1">
        <v>17765.88</v>
      </c>
      <c r="P185" s="1">
        <v>0.05</v>
      </c>
      <c r="Q185" s="1">
        <v>16877.59</v>
      </c>
      <c r="R185" s="1">
        <v>14210.76</v>
      </c>
      <c r="S185" s="1">
        <f t="shared" si="5"/>
        <v>2666.83</v>
      </c>
      <c r="T185" s="1" t="s">
        <v>873</v>
      </c>
      <c r="U185" s="1" t="s">
        <v>880</v>
      </c>
      <c r="V185" s="5" t="s">
        <v>882</v>
      </c>
    </row>
    <row r="186" spans="1:22" x14ac:dyDescent="0.3">
      <c r="A186" s="4" t="s">
        <v>211</v>
      </c>
      <c r="B186" s="3">
        <v>45482</v>
      </c>
      <c r="C186" s="1" t="str">
        <f t="shared" si="4"/>
        <v>July</v>
      </c>
      <c r="D186" s="1" t="s">
        <v>484</v>
      </c>
      <c r="E186" s="1" t="s">
        <v>694</v>
      </c>
      <c r="F186" s="1" t="s">
        <v>802</v>
      </c>
      <c r="G186" s="1" t="s">
        <v>806</v>
      </c>
      <c r="H186" s="1" t="s">
        <v>811</v>
      </c>
      <c r="I186" s="1" t="s">
        <v>809</v>
      </c>
      <c r="J186" s="1" t="s">
        <v>818</v>
      </c>
      <c r="K186" s="1" t="s">
        <v>820</v>
      </c>
      <c r="L186" s="1" t="s">
        <v>860</v>
      </c>
      <c r="M186" s="1">
        <v>1</v>
      </c>
      <c r="N186" s="1">
        <v>2575.9899999999998</v>
      </c>
      <c r="O186" s="1">
        <v>2575.9899999999998</v>
      </c>
      <c r="P186" s="1">
        <v>0.05</v>
      </c>
      <c r="Q186" s="1">
        <v>2447.19</v>
      </c>
      <c r="R186" s="1">
        <v>1749.56</v>
      </c>
      <c r="S186" s="1">
        <f t="shared" si="5"/>
        <v>697.63000000000011</v>
      </c>
      <c r="T186" s="1" t="s">
        <v>876</v>
      </c>
      <c r="U186" s="1" t="s">
        <v>879</v>
      </c>
      <c r="V186" s="5" t="s">
        <v>882</v>
      </c>
    </row>
    <row r="187" spans="1:22" x14ac:dyDescent="0.3">
      <c r="A187" s="4" t="s">
        <v>212</v>
      </c>
      <c r="B187" s="3">
        <v>45479</v>
      </c>
      <c r="C187" s="1" t="str">
        <f t="shared" si="4"/>
        <v>July</v>
      </c>
      <c r="D187" s="1" t="s">
        <v>352</v>
      </c>
      <c r="E187" s="1" t="s">
        <v>695</v>
      </c>
      <c r="F187" s="1" t="s">
        <v>803</v>
      </c>
      <c r="G187" s="1" t="s">
        <v>807</v>
      </c>
      <c r="H187" s="1" t="s">
        <v>808</v>
      </c>
      <c r="I187" s="1" t="s">
        <v>814</v>
      </c>
      <c r="J187" s="1" t="s">
        <v>819</v>
      </c>
      <c r="K187" s="1" t="s">
        <v>821</v>
      </c>
      <c r="L187" s="1" t="s">
        <v>826</v>
      </c>
      <c r="M187" s="1">
        <v>6</v>
      </c>
      <c r="N187" s="1">
        <v>2892.74</v>
      </c>
      <c r="O187" s="1">
        <v>17356.439999999999</v>
      </c>
      <c r="P187" s="1">
        <v>0</v>
      </c>
      <c r="Q187" s="1">
        <v>17356.439999999999</v>
      </c>
      <c r="R187" s="1">
        <v>13996.37</v>
      </c>
      <c r="S187" s="1">
        <f t="shared" si="5"/>
        <v>3360.0699999999979</v>
      </c>
      <c r="T187" s="1" t="s">
        <v>876</v>
      </c>
      <c r="U187" s="1" t="s">
        <v>881</v>
      </c>
      <c r="V187" s="5" t="s">
        <v>884</v>
      </c>
    </row>
    <row r="188" spans="1:22" x14ac:dyDescent="0.3">
      <c r="A188" s="4" t="s">
        <v>213</v>
      </c>
      <c r="B188" s="3">
        <v>45343</v>
      </c>
      <c r="C188" s="1" t="str">
        <f t="shared" si="4"/>
        <v>February</v>
      </c>
      <c r="D188" s="1" t="s">
        <v>465</v>
      </c>
      <c r="E188" s="1" t="s">
        <v>696</v>
      </c>
      <c r="F188" s="1" t="s">
        <v>801</v>
      </c>
      <c r="G188" s="1" t="s">
        <v>807</v>
      </c>
      <c r="H188" s="1" t="s">
        <v>810</v>
      </c>
      <c r="I188" s="1" t="s">
        <v>816</v>
      </c>
      <c r="J188" s="1" t="s">
        <v>817</v>
      </c>
      <c r="K188" s="1" t="s">
        <v>821</v>
      </c>
      <c r="L188" s="1" t="s">
        <v>871</v>
      </c>
      <c r="M188" s="1">
        <v>9</v>
      </c>
      <c r="N188" s="1">
        <v>1414.82</v>
      </c>
      <c r="O188" s="1">
        <v>12733.38</v>
      </c>
      <c r="P188" s="1">
        <v>0</v>
      </c>
      <c r="Q188" s="1">
        <v>12733.38</v>
      </c>
      <c r="R188" s="1">
        <v>7748.73</v>
      </c>
      <c r="S188" s="1">
        <f t="shared" si="5"/>
        <v>4984.6499999999996</v>
      </c>
      <c r="T188" s="1" t="s">
        <v>876</v>
      </c>
      <c r="U188" s="1" t="s">
        <v>877</v>
      </c>
      <c r="V188" s="5" t="s">
        <v>884</v>
      </c>
    </row>
    <row r="189" spans="1:22" x14ac:dyDescent="0.3">
      <c r="A189" s="4" t="s">
        <v>214</v>
      </c>
      <c r="B189" s="3">
        <v>45348</v>
      </c>
      <c r="C189" s="1" t="str">
        <f t="shared" si="4"/>
        <v>February</v>
      </c>
      <c r="D189" s="1" t="s">
        <v>485</v>
      </c>
      <c r="E189" s="1" t="s">
        <v>697</v>
      </c>
      <c r="F189" s="1" t="s">
        <v>803</v>
      </c>
      <c r="G189" s="1" t="s">
        <v>807</v>
      </c>
      <c r="H189" s="1" t="s">
        <v>808</v>
      </c>
      <c r="I189" s="1" t="s">
        <v>815</v>
      </c>
      <c r="J189" s="1" t="s">
        <v>819</v>
      </c>
      <c r="K189" s="1" t="s">
        <v>820</v>
      </c>
      <c r="L189" s="1" t="s">
        <v>856</v>
      </c>
      <c r="M189" s="1">
        <v>5</v>
      </c>
      <c r="N189" s="1">
        <v>974.33</v>
      </c>
      <c r="O189" s="1">
        <v>4871.6499999999996</v>
      </c>
      <c r="P189" s="1">
        <v>0.1</v>
      </c>
      <c r="Q189" s="1">
        <v>4384.4799999999996</v>
      </c>
      <c r="R189" s="1">
        <v>3588.42</v>
      </c>
      <c r="S189" s="1">
        <f t="shared" si="5"/>
        <v>796.05999999999949</v>
      </c>
      <c r="T189" s="1" t="s">
        <v>874</v>
      </c>
      <c r="U189" s="1" t="s">
        <v>880</v>
      </c>
      <c r="V189" s="5" t="s">
        <v>884</v>
      </c>
    </row>
    <row r="190" spans="1:22" x14ac:dyDescent="0.3">
      <c r="A190" s="4" t="s">
        <v>215</v>
      </c>
      <c r="B190" s="3">
        <v>45548</v>
      </c>
      <c r="C190" s="1" t="str">
        <f t="shared" si="4"/>
        <v>September</v>
      </c>
      <c r="D190" s="1" t="s">
        <v>333</v>
      </c>
      <c r="E190" s="1" t="s">
        <v>698</v>
      </c>
      <c r="F190" s="1" t="s">
        <v>801</v>
      </c>
      <c r="G190" s="1" t="s">
        <v>806</v>
      </c>
      <c r="H190" s="1" t="s">
        <v>811</v>
      </c>
      <c r="I190" s="1" t="s">
        <v>816</v>
      </c>
      <c r="J190" s="1" t="s">
        <v>817</v>
      </c>
      <c r="K190" s="1" t="s">
        <v>821</v>
      </c>
      <c r="L190" s="1" t="s">
        <v>840</v>
      </c>
      <c r="M190" s="1">
        <v>1</v>
      </c>
      <c r="N190" s="1">
        <v>2881.41</v>
      </c>
      <c r="O190" s="1">
        <v>2881.41</v>
      </c>
      <c r="P190" s="1">
        <v>0</v>
      </c>
      <c r="Q190" s="1">
        <v>2881.41</v>
      </c>
      <c r="R190" s="1">
        <v>1782.59</v>
      </c>
      <c r="S190" s="1">
        <f t="shared" si="5"/>
        <v>1098.82</v>
      </c>
      <c r="T190" s="1" t="s">
        <v>876</v>
      </c>
      <c r="U190" s="1" t="s">
        <v>879</v>
      </c>
      <c r="V190" s="5" t="s">
        <v>884</v>
      </c>
    </row>
    <row r="191" spans="1:22" x14ac:dyDescent="0.3">
      <c r="A191" s="4" t="s">
        <v>216</v>
      </c>
      <c r="B191" s="3">
        <v>45562</v>
      </c>
      <c r="C191" s="1" t="str">
        <f t="shared" si="4"/>
        <v>September</v>
      </c>
      <c r="D191" s="1" t="s">
        <v>321</v>
      </c>
      <c r="E191" s="1" t="s">
        <v>699</v>
      </c>
      <c r="F191" s="1" t="s">
        <v>802</v>
      </c>
      <c r="G191" s="1" t="s">
        <v>805</v>
      </c>
      <c r="H191" s="1" t="s">
        <v>812</v>
      </c>
      <c r="I191" s="1" t="s">
        <v>814</v>
      </c>
      <c r="J191" s="1" t="s">
        <v>819</v>
      </c>
      <c r="K191" s="1" t="s">
        <v>822</v>
      </c>
      <c r="L191" s="1" t="s">
        <v>836</v>
      </c>
      <c r="M191" s="1">
        <v>5</v>
      </c>
      <c r="N191" s="1">
        <v>3171.35</v>
      </c>
      <c r="O191" s="1">
        <v>15856.75</v>
      </c>
      <c r="P191" s="1">
        <v>0</v>
      </c>
      <c r="Q191" s="1">
        <v>15856.75</v>
      </c>
      <c r="R191" s="1">
        <v>10352</v>
      </c>
      <c r="S191" s="1">
        <f t="shared" si="5"/>
        <v>5504.75</v>
      </c>
      <c r="T191" s="1" t="s">
        <v>874</v>
      </c>
      <c r="U191" s="1" t="s">
        <v>877</v>
      </c>
      <c r="V191" s="5" t="s">
        <v>884</v>
      </c>
    </row>
    <row r="192" spans="1:22" x14ac:dyDescent="0.3">
      <c r="A192" s="4" t="s">
        <v>217</v>
      </c>
      <c r="B192" s="3">
        <v>45588</v>
      </c>
      <c r="C192" s="1" t="str">
        <f t="shared" si="4"/>
        <v>October</v>
      </c>
      <c r="D192" s="1" t="s">
        <v>425</v>
      </c>
      <c r="E192" s="1" t="s">
        <v>700</v>
      </c>
      <c r="F192" s="1" t="s">
        <v>802</v>
      </c>
      <c r="G192" s="1" t="s">
        <v>806</v>
      </c>
      <c r="H192" s="1" t="s">
        <v>810</v>
      </c>
      <c r="I192" s="1" t="s">
        <v>815</v>
      </c>
      <c r="J192" s="1" t="s">
        <v>819</v>
      </c>
      <c r="K192" s="1" t="s">
        <v>822</v>
      </c>
      <c r="L192" s="1" t="s">
        <v>863</v>
      </c>
      <c r="M192" s="1">
        <v>6</v>
      </c>
      <c r="N192" s="1">
        <v>1102.51</v>
      </c>
      <c r="O192" s="1">
        <v>6615.06</v>
      </c>
      <c r="P192" s="1">
        <v>0.05</v>
      </c>
      <c r="Q192" s="1">
        <v>6284.31</v>
      </c>
      <c r="R192" s="1">
        <v>4492.3500000000004</v>
      </c>
      <c r="S192" s="1">
        <f t="shared" si="5"/>
        <v>1791.96</v>
      </c>
      <c r="T192" s="1" t="s">
        <v>874</v>
      </c>
      <c r="U192" s="1" t="s">
        <v>879</v>
      </c>
      <c r="V192" s="5" t="s">
        <v>883</v>
      </c>
    </row>
    <row r="193" spans="1:22" x14ac:dyDescent="0.3">
      <c r="A193" s="4" t="s">
        <v>218</v>
      </c>
      <c r="B193" s="3">
        <v>45585</v>
      </c>
      <c r="C193" s="1" t="str">
        <f t="shared" si="4"/>
        <v>October</v>
      </c>
      <c r="D193" s="1" t="s">
        <v>364</v>
      </c>
      <c r="E193" s="1" t="s">
        <v>701</v>
      </c>
      <c r="F193" s="1" t="s">
        <v>803</v>
      </c>
      <c r="G193" s="1" t="s">
        <v>805</v>
      </c>
      <c r="H193" s="1" t="s">
        <v>808</v>
      </c>
      <c r="I193" s="1" t="s">
        <v>809</v>
      </c>
      <c r="J193" s="1" t="s">
        <v>819</v>
      </c>
      <c r="K193" s="1" t="s">
        <v>822</v>
      </c>
      <c r="L193" s="1" t="s">
        <v>829</v>
      </c>
      <c r="M193" s="1">
        <v>10</v>
      </c>
      <c r="N193" s="1">
        <v>3366.58</v>
      </c>
      <c r="O193" s="1">
        <v>33665.800000000003</v>
      </c>
      <c r="P193" s="1">
        <v>0</v>
      </c>
      <c r="Q193" s="1">
        <v>33665.800000000003</v>
      </c>
      <c r="R193" s="1">
        <v>27900.99</v>
      </c>
      <c r="S193" s="1">
        <f t="shared" si="5"/>
        <v>5764.8100000000013</v>
      </c>
      <c r="T193" s="1" t="s">
        <v>875</v>
      </c>
      <c r="U193" s="1" t="s">
        <v>877</v>
      </c>
      <c r="V193" s="5" t="s">
        <v>884</v>
      </c>
    </row>
    <row r="194" spans="1:22" x14ac:dyDescent="0.3">
      <c r="A194" s="4" t="s">
        <v>219</v>
      </c>
      <c r="B194" s="3">
        <v>45466</v>
      </c>
      <c r="C194" s="1" t="str">
        <f t="shared" ref="C194:C257" si="6">TEXT(B194,"MMMM")</f>
        <v>June</v>
      </c>
      <c r="D194" s="1" t="s">
        <v>486</v>
      </c>
      <c r="E194" s="1" t="s">
        <v>702</v>
      </c>
      <c r="F194" s="1" t="s">
        <v>801</v>
      </c>
      <c r="G194" s="1" t="s">
        <v>804</v>
      </c>
      <c r="H194" s="1" t="s">
        <v>812</v>
      </c>
      <c r="I194" s="1" t="s">
        <v>815</v>
      </c>
      <c r="J194" s="1" t="s">
        <v>819</v>
      </c>
      <c r="K194" s="1" t="s">
        <v>821</v>
      </c>
      <c r="L194" s="1" t="s">
        <v>831</v>
      </c>
      <c r="M194" s="1">
        <v>6</v>
      </c>
      <c r="N194" s="1">
        <v>1977.61</v>
      </c>
      <c r="O194" s="1">
        <v>11865.66</v>
      </c>
      <c r="P194" s="1">
        <v>0.05</v>
      </c>
      <c r="Q194" s="1">
        <v>11272.38</v>
      </c>
      <c r="R194" s="1">
        <v>7750.97</v>
      </c>
      <c r="S194" s="1">
        <f t="shared" ref="S194:S257" si="7">Q194-R194</f>
        <v>3521.4099999999989</v>
      </c>
      <c r="T194" s="1" t="s">
        <v>875</v>
      </c>
      <c r="U194" s="1" t="s">
        <v>880</v>
      </c>
      <c r="V194" s="5" t="s">
        <v>884</v>
      </c>
    </row>
    <row r="195" spans="1:22" x14ac:dyDescent="0.3">
      <c r="A195" s="4" t="s">
        <v>220</v>
      </c>
      <c r="B195" s="3">
        <v>45369</v>
      </c>
      <c r="C195" s="1" t="str">
        <f t="shared" si="6"/>
        <v>March</v>
      </c>
      <c r="D195" s="1" t="s">
        <v>400</v>
      </c>
      <c r="E195" s="1" t="s">
        <v>703</v>
      </c>
      <c r="F195" s="1" t="s">
        <v>802</v>
      </c>
      <c r="G195" s="1" t="s">
        <v>807</v>
      </c>
      <c r="H195" s="1" t="s">
        <v>810</v>
      </c>
      <c r="I195" s="1" t="s">
        <v>814</v>
      </c>
      <c r="J195" s="1" t="s">
        <v>817</v>
      </c>
      <c r="K195" s="1" t="s">
        <v>820</v>
      </c>
      <c r="L195" s="1" t="s">
        <v>852</v>
      </c>
      <c r="M195" s="1">
        <v>4</v>
      </c>
      <c r="N195" s="1">
        <v>422.42</v>
      </c>
      <c r="O195" s="1">
        <v>1689.68</v>
      </c>
      <c r="P195" s="1">
        <v>0.15</v>
      </c>
      <c r="Q195" s="1">
        <v>1436.23</v>
      </c>
      <c r="R195" s="1">
        <v>1007.15</v>
      </c>
      <c r="S195" s="1">
        <f t="shared" si="7"/>
        <v>429.08000000000004</v>
      </c>
      <c r="T195" s="1" t="s">
        <v>874</v>
      </c>
      <c r="U195" s="1" t="s">
        <v>879</v>
      </c>
      <c r="V195" s="5" t="s">
        <v>883</v>
      </c>
    </row>
    <row r="196" spans="1:22" x14ac:dyDescent="0.3">
      <c r="A196" s="4" t="s">
        <v>221</v>
      </c>
      <c r="B196" s="3">
        <v>45584</v>
      </c>
      <c r="C196" s="1" t="str">
        <f t="shared" si="6"/>
        <v>October</v>
      </c>
      <c r="D196" s="1" t="s">
        <v>471</v>
      </c>
      <c r="E196" s="1" t="s">
        <v>704</v>
      </c>
      <c r="F196" s="1" t="s">
        <v>802</v>
      </c>
      <c r="G196" s="1" t="s">
        <v>804</v>
      </c>
      <c r="H196" s="1" t="s">
        <v>808</v>
      </c>
      <c r="I196" s="1" t="s">
        <v>813</v>
      </c>
      <c r="J196" s="1" t="s">
        <v>819</v>
      </c>
      <c r="K196" s="1" t="s">
        <v>821</v>
      </c>
      <c r="L196" s="1" t="s">
        <v>836</v>
      </c>
      <c r="M196" s="1">
        <v>11</v>
      </c>
      <c r="N196" s="1">
        <v>3306.03</v>
      </c>
      <c r="O196" s="1">
        <v>36366.33</v>
      </c>
      <c r="P196" s="1">
        <v>0.1</v>
      </c>
      <c r="Q196" s="1">
        <v>32729.7</v>
      </c>
      <c r="R196" s="1">
        <v>20239.23</v>
      </c>
      <c r="S196" s="1">
        <f t="shared" si="7"/>
        <v>12490.470000000001</v>
      </c>
      <c r="T196" s="1" t="s">
        <v>873</v>
      </c>
      <c r="U196" s="1" t="s">
        <v>879</v>
      </c>
      <c r="V196" s="5" t="s">
        <v>883</v>
      </c>
    </row>
    <row r="197" spans="1:22" x14ac:dyDescent="0.3">
      <c r="A197" s="4" t="s">
        <v>222</v>
      </c>
      <c r="B197" s="3">
        <v>45511</v>
      </c>
      <c r="C197" s="1" t="str">
        <f t="shared" si="6"/>
        <v>August</v>
      </c>
      <c r="D197" s="1" t="s">
        <v>482</v>
      </c>
      <c r="E197" s="1" t="s">
        <v>705</v>
      </c>
      <c r="F197" s="1" t="s">
        <v>801</v>
      </c>
      <c r="G197" s="1" t="s">
        <v>804</v>
      </c>
      <c r="H197" s="1" t="s">
        <v>810</v>
      </c>
      <c r="I197" s="1" t="s">
        <v>815</v>
      </c>
      <c r="J197" s="1" t="s">
        <v>817</v>
      </c>
      <c r="K197" s="1" t="s">
        <v>821</v>
      </c>
      <c r="L197" s="1" t="s">
        <v>856</v>
      </c>
      <c r="M197" s="1">
        <v>2</v>
      </c>
      <c r="N197" s="1">
        <v>2999.62</v>
      </c>
      <c r="O197" s="1">
        <v>5999.24</v>
      </c>
      <c r="P197" s="1">
        <v>0.1</v>
      </c>
      <c r="Q197" s="1">
        <v>5399.32</v>
      </c>
      <c r="R197" s="1">
        <v>4453.2299999999996</v>
      </c>
      <c r="S197" s="1">
        <f t="shared" si="7"/>
        <v>946.09000000000015</v>
      </c>
      <c r="T197" s="1" t="s">
        <v>875</v>
      </c>
      <c r="U197" s="1" t="s">
        <v>877</v>
      </c>
      <c r="V197" s="5" t="s">
        <v>884</v>
      </c>
    </row>
    <row r="198" spans="1:22" x14ac:dyDescent="0.3">
      <c r="A198" s="4" t="s">
        <v>223</v>
      </c>
      <c r="B198" s="3">
        <v>45521</v>
      </c>
      <c r="C198" s="1" t="str">
        <f t="shared" si="6"/>
        <v>August</v>
      </c>
      <c r="D198" s="1" t="s">
        <v>384</v>
      </c>
      <c r="E198" s="1" t="s">
        <v>706</v>
      </c>
      <c r="F198" s="1" t="s">
        <v>803</v>
      </c>
      <c r="G198" s="1" t="s">
        <v>804</v>
      </c>
      <c r="H198" s="1" t="s">
        <v>809</v>
      </c>
      <c r="I198" s="1" t="s">
        <v>809</v>
      </c>
      <c r="J198" s="1" t="s">
        <v>818</v>
      </c>
      <c r="K198" s="1" t="s">
        <v>822</v>
      </c>
      <c r="L198" s="1" t="s">
        <v>843</v>
      </c>
      <c r="M198" s="1">
        <v>10</v>
      </c>
      <c r="N198" s="1">
        <v>1276.17</v>
      </c>
      <c r="O198" s="1">
        <v>12761.7</v>
      </c>
      <c r="P198" s="1">
        <v>0</v>
      </c>
      <c r="Q198" s="1">
        <v>12761.7</v>
      </c>
      <c r="R198" s="1">
        <v>8284.61</v>
      </c>
      <c r="S198" s="1">
        <f t="shared" si="7"/>
        <v>4477.09</v>
      </c>
      <c r="T198" s="1" t="s">
        <v>875</v>
      </c>
      <c r="U198" s="1" t="s">
        <v>877</v>
      </c>
      <c r="V198" s="5" t="s">
        <v>882</v>
      </c>
    </row>
    <row r="199" spans="1:22" x14ac:dyDescent="0.3">
      <c r="A199" s="4" t="s">
        <v>224</v>
      </c>
      <c r="B199" s="3">
        <v>45430</v>
      </c>
      <c r="C199" s="1" t="str">
        <f t="shared" si="6"/>
        <v>May</v>
      </c>
      <c r="D199" s="1" t="s">
        <v>477</v>
      </c>
      <c r="E199" s="1" t="s">
        <v>707</v>
      </c>
      <c r="F199" s="1" t="s">
        <v>801</v>
      </c>
      <c r="G199" s="1" t="s">
        <v>807</v>
      </c>
      <c r="H199" s="1" t="s">
        <v>809</v>
      </c>
      <c r="I199" s="1" t="s">
        <v>816</v>
      </c>
      <c r="J199" s="1" t="s">
        <v>819</v>
      </c>
      <c r="K199" s="1" t="s">
        <v>821</v>
      </c>
      <c r="L199" s="1" t="s">
        <v>828</v>
      </c>
      <c r="M199" s="1">
        <v>11</v>
      </c>
      <c r="N199" s="1">
        <v>3113.87</v>
      </c>
      <c r="O199" s="1">
        <v>34252.57</v>
      </c>
      <c r="P199" s="1">
        <v>0.1</v>
      </c>
      <c r="Q199" s="1">
        <v>30827.31</v>
      </c>
      <c r="R199" s="1">
        <v>25608.92</v>
      </c>
      <c r="S199" s="1">
        <f t="shared" si="7"/>
        <v>5218.3900000000031</v>
      </c>
      <c r="T199" s="1" t="s">
        <v>874</v>
      </c>
      <c r="U199" s="1" t="s">
        <v>880</v>
      </c>
      <c r="V199" s="5" t="s">
        <v>882</v>
      </c>
    </row>
    <row r="200" spans="1:22" x14ac:dyDescent="0.3">
      <c r="A200" s="4" t="s">
        <v>225</v>
      </c>
      <c r="B200" s="3">
        <v>45504</v>
      </c>
      <c r="C200" s="1" t="str">
        <f t="shared" si="6"/>
        <v>July</v>
      </c>
      <c r="D200" s="1" t="s">
        <v>409</v>
      </c>
      <c r="E200" s="1" t="s">
        <v>708</v>
      </c>
      <c r="F200" s="1" t="s">
        <v>801</v>
      </c>
      <c r="G200" s="1" t="s">
        <v>805</v>
      </c>
      <c r="H200" s="1" t="s">
        <v>809</v>
      </c>
      <c r="I200" s="1" t="s">
        <v>809</v>
      </c>
      <c r="J200" s="1" t="s">
        <v>819</v>
      </c>
      <c r="K200" s="1" t="s">
        <v>821</v>
      </c>
      <c r="L200" s="1" t="s">
        <v>848</v>
      </c>
      <c r="M200" s="1">
        <v>1</v>
      </c>
      <c r="N200" s="1">
        <v>670.31</v>
      </c>
      <c r="O200" s="1">
        <v>670.31</v>
      </c>
      <c r="P200" s="1">
        <v>0.1</v>
      </c>
      <c r="Q200" s="1">
        <v>603.28</v>
      </c>
      <c r="R200" s="1">
        <v>479</v>
      </c>
      <c r="S200" s="1">
        <f t="shared" si="7"/>
        <v>124.27999999999997</v>
      </c>
      <c r="T200" s="1" t="s">
        <v>874</v>
      </c>
      <c r="U200" s="1" t="s">
        <v>877</v>
      </c>
      <c r="V200" s="5" t="s">
        <v>884</v>
      </c>
    </row>
    <row r="201" spans="1:22" x14ac:dyDescent="0.3">
      <c r="A201" s="4" t="s">
        <v>226</v>
      </c>
      <c r="B201" s="3">
        <v>45606</v>
      </c>
      <c r="C201" s="1" t="str">
        <f t="shared" si="6"/>
        <v>November</v>
      </c>
      <c r="D201" s="1" t="s">
        <v>473</v>
      </c>
      <c r="E201" s="1" t="s">
        <v>709</v>
      </c>
      <c r="F201" s="1" t="s">
        <v>803</v>
      </c>
      <c r="G201" s="1" t="s">
        <v>806</v>
      </c>
      <c r="H201" s="1" t="s">
        <v>808</v>
      </c>
      <c r="I201" s="1" t="s">
        <v>809</v>
      </c>
      <c r="J201" s="1" t="s">
        <v>819</v>
      </c>
      <c r="K201" s="1" t="s">
        <v>822</v>
      </c>
      <c r="L201" s="1" t="s">
        <v>823</v>
      </c>
      <c r="M201" s="1">
        <v>12</v>
      </c>
      <c r="N201" s="1">
        <v>2988.26</v>
      </c>
      <c r="O201" s="1">
        <v>35859.120000000003</v>
      </c>
      <c r="P201" s="1">
        <v>0.05</v>
      </c>
      <c r="Q201" s="1">
        <v>34066.160000000003</v>
      </c>
      <c r="R201" s="1">
        <v>21235.56</v>
      </c>
      <c r="S201" s="1">
        <f t="shared" si="7"/>
        <v>12830.600000000002</v>
      </c>
      <c r="T201" s="1" t="s">
        <v>874</v>
      </c>
      <c r="U201" s="1" t="s">
        <v>881</v>
      </c>
      <c r="V201" s="5" t="s">
        <v>883</v>
      </c>
    </row>
    <row r="202" spans="1:22" x14ac:dyDescent="0.3">
      <c r="A202" s="4" t="s">
        <v>227</v>
      </c>
      <c r="B202" s="3">
        <v>45593</v>
      </c>
      <c r="C202" s="1" t="str">
        <f t="shared" si="6"/>
        <v>October</v>
      </c>
      <c r="D202" s="1" t="s">
        <v>487</v>
      </c>
      <c r="E202" s="1" t="s">
        <v>710</v>
      </c>
      <c r="F202" s="1" t="s">
        <v>802</v>
      </c>
      <c r="G202" s="1" t="s">
        <v>805</v>
      </c>
      <c r="H202" s="1" t="s">
        <v>809</v>
      </c>
      <c r="I202" s="1" t="s">
        <v>815</v>
      </c>
      <c r="J202" s="1" t="s">
        <v>818</v>
      </c>
      <c r="K202" s="1" t="s">
        <v>821</v>
      </c>
      <c r="L202" s="1" t="s">
        <v>850</v>
      </c>
      <c r="M202" s="1">
        <v>9</v>
      </c>
      <c r="N202" s="1">
        <v>875.57</v>
      </c>
      <c r="O202" s="1">
        <v>7880.13</v>
      </c>
      <c r="P202" s="1">
        <v>0.1</v>
      </c>
      <c r="Q202" s="1">
        <v>7092.12</v>
      </c>
      <c r="R202" s="1">
        <v>4663.07</v>
      </c>
      <c r="S202" s="1">
        <f t="shared" si="7"/>
        <v>2429.0500000000002</v>
      </c>
      <c r="T202" s="1" t="s">
        <v>873</v>
      </c>
      <c r="U202" s="1" t="s">
        <v>881</v>
      </c>
      <c r="V202" s="5" t="s">
        <v>884</v>
      </c>
    </row>
    <row r="203" spans="1:22" x14ac:dyDescent="0.3">
      <c r="A203" s="4" t="s">
        <v>228</v>
      </c>
      <c r="B203" s="3">
        <v>45477</v>
      </c>
      <c r="C203" s="1" t="str">
        <f t="shared" si="6"/>
        <v>July</v>
      </c>
      <c r="D203" s="1" t="s">
        <v>404</v>
      </c>
      <c r="E203" s="1" t="s">
        <v>711</v>
      </c>
      <c r="F203" s="1" t="s">
        <v>803</v>
      </c>
      <c r="G203" s="1" t="s">
        <v>807</v>
      </c>
      <c r="H203" s="1" t="s">
        <v>810</v>
      </c>
      <c r="I203" s="1" t="s">
        <v>813</v>
      </c>
      <c r="J203" s="1" t="s">
        <v>819</v>
      </c>
      <c r="K203" s="1" t="s">
        <v>820</v>
      </c>
      <c r="L203" s="1" t="s">
        <v>856</v>
      </c>
      <c r="M203" s="1">
        <v>9</v>
      </c>
      <c r="N203" s="1">
        <v>3316.91</v>
      </c>
      <c r="O203" s="1">
        <v>29852.19</v>
      </c>
      <c r="P203" s="1">
        <v>0.05</v>
      </c>
      <c r="Q203" s="1">
        <v>28359.58</v>
      </c>
      <c r="R203" s="1">
        <v>18808.89</v>
      </c>
      <c r="S203" s="1">
        <f t="shared" si="7"/>
        <v>9550.6900000000023</v>
      </c>
      <c r="T203" s="1" t="s">
        <v>875</v>
      </c>
      <c r="U203" s="1" t="s">
        <v>877</v>
      </c>
      <c r="V203" s="5" t="s">
        <v>882</v>
      </c>
    </row>
    <row r="204" spans="1:22" x14ac:dyDescent="0.3">
      <c r="A204" s="4" t="s">
        <v>229</v>
      </c>
      <c r="B204" s="3">
        <v>45570</v>
      </c>
      <c r="C204" s="1" t="str">
        <f t="shared" si="6"/>
        <v>October</v>
      </c>
      <c r="D204" s="1" t="s">
        <v>335</v>
      </c>
      <c r="E204" s="1" t="s">
        <v>712</v>
      </c>
      <c r="F204" s="1" t="s">
        <v>802</v>
      </c>
      <c r="G204" s="1" t="s">
        <v>806</v>
      </c>
      <c r="H204" s="1" t="s">
        <v>810</v>
      </c>
      <c r="I204" s="1" t="s">
        <v>813</v>
      </c>
      <c r="J204" s="1" t="s">
        <v>818</v>
      </c>
      <c r="K204" s="1" t="s">
        <v>820</v>
      </c>
      <c r="L204" s="1" t="s">
        <v>836</v>
      </c>
      <c r="M204" s="1">
        <v>4</v>
      </c>
      <c r="N204" s="1">
        <v>2121.27</v>
      </c>
      <c r="O204" s="1">
        <v>8485.08</v>
      </c>
      <c r="P204" s="1">
        <v>0.05</v>
      </c>
      <c r="Q204" s="1">
        <v>8060.83</v>
      </c>
      <c r="R204" s="1">
        <v>5358.66</v>
      </c>
      <c r="S204" s="1">
        <f t="shared" si="7"/>
        <v>2702.17</v>
      </c>
      <c r="T204" s="1" t="s">
        <v>875</v>
      </c>
      <c r="U204" s="1" t="s">
        <v>878</v>
      </c>
      <c r="V204" s="5" t="s">
        <v>884</v>
      </c>
    </row>
    <row r="205" spans="1:22" x14ac:dyDescent="0.3">
      <c r="A205" s="4" t="s">
        <v>230</v>
      </c>
      <c r="B205" s="3">
        <v>45401</v>
      </c>
      <c r="C205" s="1" t="str">
        <f t="shared" si="6"/>
        <v>April</v>
      </c>
      <c r="D205" s="1" t="s">
        <v>488</v>
      </c>
      <c r="E205" s="1" t="s">
        <v>713</v>
      </c>
      <c r="F205" s="1" t="s">
        <v>803</v>
      </c>
      <c r="G205" s="1" t="s">
        <v>804</v>
      </c>
      <c r="H205" s="1" t="s">
        <v>809</v>
      </c>
      <c r="I205" s="1" t="s">
        <v>809</v>
      </c>
      <c r="J205" s="1" t="s">
        <v>818</v>
      </c>
      <c r="K205" s="1" t="s">
        <v>822</v>
      </c>
      <c r="L205" s="1" t="s">
        <v>828</v>
      </c>
      <c r="M205" s="1">
        <v>6</v>
      </c>
      <c r="N205" s="1">
        <v>3193.19</v>
      </c>
      <c r="O205" s="1">
        <v>19159.14</v>
      </c>
      <c r="P205" s="1">
        <v>0.15</v>
      </c>
      <c r="Q205" s="1">
        <v>16285.27</v>
      </c>
      <c r="R205" s="1">
        <v>11644.37</v>
      </c>
      <c r="S205" s="1">
        <f t="shared" si="7"/>
        <v>4640.8999999999996</v>
      </c>
      <c r="T205" s="1" t="s">
        <v>874</v>
      </c>
      <c r="U205" s="1" t="s">
        <v>877</v>
      </c>
      <c r="V205" s="5" t="s">
        <v>882</v>
      </c>
    </row>
    <row r="206" spans="1:22" x14ac:dyDescent="0.3">
      <c r="A206" s="4" t="s">
        <v>231</v>
      </c>
      <c r="B206" s="3">
        <v>45580</v>
      </c>
      <c r="C206" s="1" t="str">
        <f t="shared" si="6"/>
        <v>October</v>
      </c>
      <c r="D206" s="1" t="s">
        <v>408</v>
      </c>
      <c r="E206" s="1" t="s">
        <v>714</v>
      </c>
      <c r="F206" s="1" t="s">
        <v>803</v>
      </c>
      <c r="G206" s="1" t="s">
        <v>807</v>
      </c>
      <c r="H206" s="1" t="s">
        <v>809</v>
      </c>
      <c r="I206" s="1" t="s">
        <v>815</v>
      </c>
      <c r="J206" s="1" t="s">
        <v>818</v>
      </c>
      <c r="K206" s="1" t="s">
        <v>822</v>
      </c>
      <c r="L206" s="1" t="s">
        <v>829</v>
      </c>
      <c r="M206" s="1">
        <v>7</v>
      </c>
      <c r="N206" s="1">
        <v>3211.76</v>
      </c>
      <c r="O206" s="1">
        <v>22482.32</v>
      </c>
      <c r="P206" s="1">
        <v>0.15</v>
      </c>
      <c r="Q206" s="1">
        <v>19109.97</v>
      </c>
      <c r="R206" s="1">
        <v>15980.48</v>
      </c>
      <c r="S206" s="1">
        <f t="shared" si="7"/>
        <v>3129.4900000000016</v>
      </c>
      <c r="T206" s="1" t="s">
        <v>875</v>
      </c>
      <c r="U206" s="1" t="s">
        <v>879</v>
      </c>
      <c r="V206" s="5" t="s">
        <v>882</v>
      </c>
    </row>
    <row r="207" spans="1:22" x14ac:dyDescent="0.3">
      <c r="A207" s="4" t="s">
        <v>232</v>
      </c>
      <c r="B207" s="3">
        <v>45458</v>
      </c>
      <c r="C207" s="1" t="str">
        <f t="shared" si="6"/>
        <v>June</v>
      </c>
      <c r="D207" s="1" t="s">
        <v>489</v>
      </c>
      <c r="E207" s="1" t="s">
        <v>715</v>
      </c>
      <c r="F207" s="1" t="s">
        <v>803</v>
      </c>
      <c r="G207" s="1" t="s">
        <v>806</v>
      </c>
      <c r="H207" s="1" t="s">
        <v>811</v>
      </c>
      <c r="I207" s="1" t="s">
        <v>815</v>
      </c>
      <c r="J207" s="1" t="s">
        <v>817</v>
      </c>
      <c r="K207" s="1" t="s">
        <v>822</v>
      </c>
      <c r="L207" s="1" t="s">
        <v>839</v>
      </c>
      <c r="M207" s="1">
        <v>7</v>
      </c>
      <c r="N207" s="1">
        <v>2392.4</v>
      </c>
      <c r="O207" s="1">
        <v>16746.8</v>
      </c>
      <c r="P207" s="1">
        <v>0.1</v>
      </c>
      <c r="Q207" s="1">
        <v>15072.12</v>
      </c>
      <c r="R207" s="1">
        <v>12356.95</v>
      </c>
      <c r="S207" s="1">
        <f t="shared" si="7"/>
        <v>2715.17</v>
      </c>
      <c r="T207" s="1" t="s">
        <v>876</v>
      </c>
      <c r="U207" s="1" t="s">
        <v>879</v>
      </c>
      <c r="V207" s="5" t="s">
        <v>882</v>
      </c>
    </row>
    <row r="208" spans="1:22" x14ac:dyDescent="0.3">
      <c r="A208" s="4" t="s">
        <v>233</v>
      </c>
      <c r="B208" s="3">
        <v>45540</v>
      </c>
      <c r="C208" s="1" t="str">
        <f t="shared" si="6"/>
        <v>September</v>
      </c>
      <c r="D208" s="1" t="s">
        <v>350</v>
      </c>
      <c r="E208" s="1" t="s">
        <v>716</v>
      </c>
      <c r="F208" s="1" t="s">
        <v>803</v>
      </c>
      <c r="G208" s="1" t="s">
        <v>807</v>
      </c>
      <c r="H208" s="1" t="s">
        <v>809</v>
      </c>
      <c r="I208" s="1" t="s">
        <v>816</v>
      </c>
      <c r="J208" s="1" t="s">
        <v>817</v>
      </c>
      <c r="K208" s="1" t="s">
        <v>822</v>
      </c>
      <c r="L208" s="1" t="s">
        <v>824</v>
      </c>
      <c r="M208" s="1">
        <v>4</v>
      </c>
      <c r="N208" s="1">
        <v>900.95</v>
      </c>
      <c r="O208" s="1">
        <v>3603.8</v>
      </c>
      <c r="P208" s="1">
        <v>0.15</v>
      </c>
      <c r="Q208" s="1">
        <v>3063.23</v>
      </c>
      <c r="R208" s="1">
        <v>2000.34</v>
      </c>
      <c r="S208" s="1">
        <f t="shared" si="7"/>
        <v>1062.8900000000001</v>
      </c>
      <c r="T208" s="1" t="s">
        <v>874</v>
      </c>
      <c r="U208" s="1" t="s">
        <v>877</v>
      </c>
      <c r="V208" s="5" t="s">
        <v>882</v>
      </c>
    </row>
    <row r="209" spans="1:22" x14ac:dyDescent="0.3">
      <c r="A209" s="4" t="s">
        <v>234</v>
      </c>
      <c r="B209" s="3">
        <v>45369</v>
      </c>
      <c r="C209" s="1" t="str">
        <f t="shared" si="6"/>
        <v>March</v>
      </c>
      <c r="D209" s="1" t="s">
        <v>416</v>
      </c>
      <c r="E209" s="1" t="s">
        <v>717</v>
      </c>
      <c r="F209" s="1" t="s">
        <v>803</v>
      </c>
      <c r="G209" s="1" t="s">
        <v>806</v>
      </c>
      <c r="H209" s="1" t="s">
        <v>811</v>
      </c>
      <c r="I209" s="1" t="s">
        <v>816</v>
      </c>
      <c r="J209" s="1" t="s">
        <v>817</v>
      </c>
      <c r="K209" s="1" t="s">
        <v>822</v>
      </c>
      <c r="L209" s="1" t="s">
        <v>868</v>
      </c>
      <c r="M209" s="1">
        <v>3</v>
      </c>
      <c r="N209" s="1">
        <v>3225.98</v>
      </c>
      <c r="O209" s="1">
        <v>9677.94</v>
      </c>
      <c r="P209" s="1">
        <v>0.05</v>
      </c>
      <c r="Q209" s="1">
        <v>9194.0400000000009</v>
      </c>
      <c r="R209" s="1">
        <v>6671.72</v>
      </c>
      <c r="S209" s="1">
        <f t="shared" si="7"/>
        <v>2522.3200000000006</v>
      </c>
      <c r="T209" s="1" t="s">
        <v>873</v>
      </c>
      <c r="U209" s="1" t="s">
        <v>879</v>
      </c>
      <c r="V209" s="5" t="s">
        <v>882</v>
      </c>
    </row>
    <row r="210" spans="1:22" x14ac:dyDescent="0.3">
      <c r="A210" s="4" t="s">
        <v>235</v>
      </c>
      <c r="B210" s="3">
        <v>45591</v>
      </c>
      <c r="C210" s="1" t="str">
        <f t="shared" si="6"/>
        <v>October</v>
      </c>
      <c r="D210" s="1" t="s">
        <v>410</v>
      </c>
      <c r="E210" s="1" t="s">
        <v>718</v>
      </c>
      <c r="F210" s="1" t="s">
        <v>802</v>
      </c>
      <c r="G210" s="1" t="s">
        <v>806</v>
      </c>
      <c r="H210" s="1" t="s">
        <v>808</v>
      </c>
      <c r="I210" s="1" t="s">
        <v>816</v>
      </c>
      <c r="J210" s="1" t="s">
        <v>818</v>
      </c>
      <c r="K210" s="1" t="s">
        <v>820</v>
      </c>
      <c r="L210" s="1" t="s">
        <v>843</v>
      </c>
      <c r="M210" s="1">
        <v>4</v>
      </c>
      <c r="N210" s="1">
        <v>2855.55</v>
      </c>
      <c r="O210" s="1">
        <v>11422.2</v>
      </c>
      <c r="P210" s="1">
        <v>0</v>
      </c>
      <c r="Q210" s="1">
        <v>11422.2</v>
      </c>
      <c r="R210" s="1">
        <v>6961.47</v>
      </c>
      <c r="S210" s="1">
        <f t="shared" si="7"/>
        <v>4460.7300000000005</v>
      </c>
      <c r="T210" s="1" t="s">
        <v>876</v>
      </c>
      <c r="U210" s="1" t="s">
        <v>877</v>
      </c>
      <c r="V210" s="5" t="s">
        <v>884</v>
      </c>
    </row>
    <row r="211" spans="1:22" x14ac:dyDescent="0.3">
      <c r="A211" s="4" t="s">
        <v>236</v>
      </c>
      <c r="B211" s="3">
        <v>45325</v>
      </c>
      <c r="C211" s="1" t="str">
        <f t="shared" si="6"/>
        <v>February</v>
      </c>
      <c r="D211" s="1" t="s">
        <v>396</v>
      </c>
      <c r="E211" s="1" t="s">
        <v>719</v>
      </c>
      <c r="F211" s="1" t="s">
        <v>803</v>
      </c>
      <c r="G211" s="1" t="s">
        <v>806</v>
      </c>
      <c r="H211" s="1" t="s">
        <v>808</v>
      </c>
      <c r="I211" s="1" t="s">
        <v>813</v>
      </c>
      <c r="J211" s="1" t="s">
        <v>818</v>
      </c>
      <c r="K211" s="1" t="s">
        <v>821</v>
      </c>
      <c r="L211" s="1" t="s">
        <v>869</v>
      </c>
      <c r="M211" s="1">
        <v>2</v>
      </c>
      <c r="N211" s="1">
        <v>3367.21</v>
      </c>
      <c r="O211" s="1">
        <v>6734.42</v>
      </c>
      <c r="P211" s="1">
        <v>0.05</v>
      </c>
      <c r="Q211" s="1">
        <v>6397.7</v>
      </c>
      <c r="R211" s="1">
        <v>4678.9799999999996</v>
      </c>
      <c r="S211" s="1">
        <f t="shared" si="7"/>
        <v>1718.7200000000003</v>
      </c>
      <c r="T211" s="1" t="s">
        <v>876</v>
      </c>
      <c r="U211" s="1" t="s">
        <v>881</v>
      </c>
      <c r="V211" s="5" t="s">
        <v>884</v>
      </c>
    </row>
    <row r="212" spans="1:22" x14ac:dyDescent="0.3">
      <c r="A212" s="4" t="s">
        <v>237</v>
      </c>
      <c r="B212" s="3">
        <v>45546</v>
      </c>
      <c r="C212" s="1" t="str">
        <f t="shared" si="6"/>
        <v>September</v>
      </c>
      <c r="D212" s="1" t="s">
        <v>350</v>
      </c>
      <c r="E212" s="1" t="s">
        <v>720</v>
      </c>
      <c r="F212" s="1" t="s">
        <v>802</v>
      </c>
      <c r="G212" s="1" t="s">
        <v>806</v>
      </c>
      <c r="H212" s="1" t="s">
        <v>809</v>
      </c>
      <c r="I212" s="1" t="s">
        <v>815</v>
      </c>
      <c r="J212" s="1" t="s">
        <v>819</v>
      </c>
      <c r="K212" s="1" t="s">
        <v>820</v>
      </c>
      <c r="L212" s="1" t="s">
        <v>847</v>
      </c>
      <c r="M212" s="1">
        <v>6</v>
      </c>
      <c r="N212" s="1">
        <v>3408.52</v>
      </c>
      <c r="O212" s="1">
        <v>20451.12</v>
      </c>
      <c r="P212" s="1">
        <v>0.05</v>
      </c>
      <c r="Q212" s="1">
        <v>19428.560000000001</v>
      </c>
      <c r="R212" s="1">
        <v>15209.64</v>
      </c>
      <c r="S212" s="1">
        <f t="shared" si="7"/>
        <v>4218.9200000000019</v>
      </c>
      <c r="T212" s="1" t="s">
        <v>875</v>
      </c>
      <c r="U212" s="1" t="s">
        <v>881</v>
      </c>
      <c r="V212" s="5" t="s">
        <v>882</v>
      </c>
    </row>
    <row r="213" spans="1:22" x14ac:dyDescent="0.3">
      <c r="A213" s="4" t="s">
        <v>238</v>
      </c>
      <c r="B213" s="3">
        <v>45500</v>
      </c>
      <c r="C213" s="1" t="str">
        <f t="shared" si="6"/>
        <v>July</v>
      </c>
      <c r="D213" s="1" t="s">
        <v>357</v>
      </c>
      <c r="E213" s="1" t="s">
        <v>721</v>
      </c>
      <c r="F213" s="1" t="s">
        <v>802</v>
      </c>
      <c r="G213" s="1" t="s">
        <v>805</v>
      </c>
      <c r="H213" s="1" t="s">
        <v>808</v>
      </c>
      <c r="I213" s="1" t="s">
        <v>815</v>
      </c>
      <c r="J213" s="1" t="s">
        <v>818</v>
      </c>
      <c r="K213" s="1" t="s">
        <v>822</v>
      </c>
      <c r="L213" s="1" t="s">
        <v>845</v>
      </c>
      <c r="M213" s="1">
        <v>9</v>
      </c>
      <c r="N213" s="1">
        <v>3350.98</v>
      </c>
      <c r="O213" s="1">
        <v>30158.82</v>
      </c>
      <c r="P213" s="1">
        <v>0.1</v>
      </c>
      <c r="Q213" s="1">
        <v>27142.94</v>
      </c>
      <c r="R213" s="1">
        <v>16357.63</v>
      </c>
      <c r="S213" s="1">
        <f t="shared" si="7"/>
        <v>10785.31</v>
      </c>
      <c r="T213" s="1" t="s">
        <v>873</v>
      </c>
      <c r="U213" s="1" t="s">
        <v>879</v>
      </c>
      <c r="V213" s="5" t="s">
        <v>884</v>
      </c>
    </row>
    <row r="214" spans="1:22" x14ac:dyDescent="0.3">
      <c r="A214" s="4" t="s">
        <v>239</v>
      </c>
      <c r="B214" s="3">
        <v>45508</v>
      </c>
      <c r="C214" s="1" t="str">
        <f t="shared" si="6"/>
        <v>August</v>
      </c>
      <c r="D214" s="1" t="s">
        <v>409</v>
      </c>
      <c r="E214" s="1" t="s">
        <v>722</v>
      </c>
      <c r="F214" s="1" t="s">
        <v>801</v>
      </c>
      <c r="G214" s="1" t="s">
        <v>806</v>
      </c>
      <c r="H214" s="1" t="s">
        <v>809</v>
      </c>
      <c r="I214" s="1" t="s">
        <v>813</v>
      </c>
      <c r="J214" s="1" t="s">
        <v>818</v>
      </c>
      <c r="K214" s="1" t="s">
        <v>821</v>
      </c>
      <c r="L214" s="1" t="s">
        <v>844</v>
      </c>
      <c r="M214" s="1">
        <v>9</v>
      </c>
      <c r="N214" s="1">
        <v>1699.36</v>
      </c>
      <c r="O214" s="1">
        <v>15294.24</v>
      </c>
      <c r="P214" s="1">
        <v>0.05</v>
      </c>
      <c r="Q214" s="1">
        <v>14529.53</v>
      </c>
      <c r="R214" s="1">
        <v>10123.73</v>
      </c>
      <c r="S214" s="1">
        <f t="shared" si="7"/>
        <v>4405.8000000000011</v>
      </c>
      <c r="T214" s="1" t="s">
        <v>873</v>
      </c>
      <c r="U214" s="1" t="s">
        <v>880</v>
      </c>
      <c r="V214" s="5" t="s">
        <v>882</v>
      </c>
    </row>
    <row r="215" spans="1:22" x14ac:dyDescent="0.3">
      <c r="A215" s="4" t="s">
        <v>240</v>
      </c>
      <c r="B215" s="3">
        <v>45351</v>
      </c>
      <c r="C215" s="1" t="str">
        <f t="shared" si="6"/>
        <v>February</v>
      </c>
      <c r="D215" s="1" t="s">
        <v>432</v>
      </c>
      <c r="E215" s="1" t="s">
        <v>723</v>
      </c>
      <c r="F215" s="1" t="s">
        <v>802</v>
      </c>
      <c r="G215" s="1" t="s">
        <v>805</v>
      </c>
      <c r="H215" s="1" t="s">
        <v>808</v>
      </c>
      <c r="I215" s="1" t="s">
        <v>815</v>
      </c>
      <c r="J215" s="1" t="s">
        <v>819</v>
      </c>
      <c r="K215" s="1" t="s">
        <v>821</v>
      </c>
      <c r="L215" s="1" t="s">
        <v>851</v>
      </c>
      <c r="M215" s="1">
        <v>10</v>
      </c>
      <c r="N215" s="1">
        <v>2830.3</v>
      </c>
      <c r="O215" s="1">
        <v>28303</v>
      </c>
      <c r="P215" s="1">
        <v>0</v>
      </c>
      <c r="Q215" s="1">
        <v>28303</v>
      </c>
      <c r="R215" s="1">
        <v>19853.28</v>
      </c>
      <c r="S215" s="1">
        <f t="shared" si="7"/>
        <v>8449.7200000000012</v>
      </c>
      <c r="T215" s="1" t="s">
        <v>873</v>
      </c>
      <c r="U215" s="1" t="s">
        <v>878</v>
      </c>
      <c r="V215" s="5" t="s">
        <v>883</v>
      </c>
    </row>
    <row r="216" spans="1:22" x14ac:dyDescent="0.3">
      <c r="A216" s="4" t="s">
        <v>241</v>
      </c>
      <c r="B216" s="3">
        <v>45467</v>
      </c>
      <c r="C216" s="1" t="str">
        <f t="shared" si="6"/>
        <v>June</v>
      </c>
      <c r="D216" s="1" t="s">
        <v>486</v>
      </c>
      <c r="E216" s="1" t="s">
        <v>724</v>
      </c>
      <c r="F216" s="1" t="s">
        <v>801</v>
      </c>
      <c r="G216" s="1" t="s">
        <v>804</v>
      </c>
      <c r="H216" s="1" t="s">
        <v>811</v>
      </c>
      <c r="I216" s="1" t="s">
        <v>814</v>
      </c>
      <c r="J216" s="1" t="s">
        <v>819</v>
      </c>
      <c r="K216" s="1" t="s">
        <v>821</v>
      </c>
      <c r="L216" s="1" t="s">
        <v>864</v>
      </c>
      <c r="M216" s="1">
        <v>9</v>
      </c>
      <c r="N216" s="1">
        <v>3483.72</v>
      </c>
      <c r="O216" s="1">
        <v>31353.48</v>
      </c>
      <c r="P216" s="1">
        <v>0.05</v>
      </c>
      <c r="Q216" s="1">
        <v>29785.81</v>
      </c>
      <c r="R216" s="1">
        <v>24014.74</v>
      </c>
      <c r="S216" s="1">
        <f t="shared" si="7"/>
        <v>5771.07</v>
      </c>
      <c r="T216" s="1" t="s">
        <v>874</v>
      </c>
      <c r="U216" s="1" t="s">
        <v>877</v>
      </c>
      <c r="V216" s="5" t="s">
        <v>883</v>
      </c>
    </row>
    <row r="217" spans="1:22" x14ac:dyDescent="0.3">
      <c r="A217" s="4" t="s">
        <v>243</v>
      </c>
      <c r="B217" s="3">
        <v>45478</v>
      </c>
      <c r="C217" s="1" t="str">
        <f t="shared" si="6"/>
        <v>July</v>
      </c>
      <c r="D217" s="1" t="s">
        <v>484</v>
      </c>
      <c r="E217" s="1" t="s">
        <v>726</v>
      </c>
      <c r="F217" s="1" t="s">
        <v>803</v>
      </c>
      <c r="G217" s="1" t="s">
        <v>805</v>
      </c>
      <c r="H217" s="1" t="s">
        <v>810</v>
      </c>
      <c r="I217" s="1" t="s">
        <v>809</v>
      </c>
      <c r="J217" s="1" t="s">
        <v>819</v>
      </c>
      <c r="K217" s="1" t="s">
        <v>822</v>
      </c>
      <c r="L217" s="1" t="s">
        <v>831</v>
      </c>
      <c r="M217" s="1">
        <v>4</v>
      </c>
      <c r="N217" s="1">
        <v>2035.17</v>
      </c>
      <c r="O217" s="1">
        <v>8140.68</v>
      </c>
      <c r="P217" s="1">
        <v>0.1</v>
      </c>
      <c r="Q217" s="1">
        <v>7326.61</v>
      </c>
      <c r="R217" s="1">
        <v>4833.08</v>
      </c>
      <c r="S217" s="1">
        <f t="shared" si="7"/>
        <v>2493.5299999999997</v>
      </c>
      <c r="T217" s="1" t="s">
        <v>873</v>
      </c>
      <c r="U217" s="1" t="s">
        <v>877</v>
      </c>
      <c r="V217" s="5" t="s">
        <v>884</v>
      </c>
    </row>
    <row r="218" spans="1:22" x14ac:dyDescent="0.3">
      <c r="A218" s="4" t="s">
        <v>244</v>
      </c>
      <c r="B218" s="3">
        <v>45370</v>
      </c>
      <c r="C218" s="1" t="str">
        <f t="shared" si="6"/>
        <v>March</v>
      </c>
      <c r="D218" s="1" t="s">
        <v>379</v>
      </c>
      <c r="E218" s="1" t="s">
        <v>727</v>
      </c>
      <c r="F218" s="1" t="s">
        <v>802</v>
      </c>
      <c r="G218" s="1" t="s">
        <v>807</v>
      </c>
      <c r="H218" s="1" t="s">
        <v>811</v>
      </c>
      <c r="I218" s="1" t="s">
        <v>809</v>
      </c>
      <c r="J218" s="1" t="s">
        <v>819</v>
      </c>
      <c r="K218" s="1" t="s">
        <v>822</v>
      </c>
      <c r="L218" s="1" t="s">
        <v>839</v>
      </c>
      <c r="M218" s="1">
        <v>5</v>
      </c>
      <c r="N218" s="1">
        <v>1562.96</v>
      </c>
      <c r="O218" s="1">
        <v>7814.8</v>
      </c>
      <c r="P218" s="1">
        <v>0.1</v>
      </c>
      <c r="Q218" s="1">
        <v>7033.32</v>
      </c>
      <c r="R218" s="1">
        <v>4847.09</v>
      </c>
      <c r="S218" s="1">
        <f t="shared" si="7"/>
        <v>2186.2299999999996</v>
      </c>
      <c r="T218" s="1" t="s">
        <v>873</v>
      </c>
      <c r="U218" s="1" t="s">
        <v>877</v>
      </c>
      <c r="V218" s="5" t="s">
        <v>884</v>
      </c>
    </row>
    <row r="219" spans="1:22" x14ac:dyDescent="0.3">
      <c r="A219" s="4" t="s">
        <v>245</v>
      </c>
      <c r="B219" s="3">
        <v>45616</v>
      </c>
      <c r="C219" s="1" t="str">
        <f t="shared" si="6"/>
        <v>November</v>
      </c>
      <c r="D219" s="1" t="s">
        <v>438</v>
      </c>
      <c r="E219" s="1" t="s">
        <v>728</v>
      </c>
      <c r="F219" s="1" t="s">
        <v>801</v>
      </c>
      <c r="G219" s="1" t="s">
        <v>805</v>
      </c>
      <c r="H219" s="1" t="s">
        <v>808</v>
      </c>
      <c r="I219" s="1" t="s">
        <v>813</v>
      </c>
      <c r="J219" s="1" t="s">
        <v>818</v>
      </c>
      <c r="K219" s="1" t="s">
        <v>822</v>
      </c>
      <c r="L219" s="1" t="s">
        <v>840</v>
      </c>
      <c r="M219" s="1">
        <v>12</v>
      </c>
      <c r="N219" s="1">
        <v>2874.67</v>
      </c>
      <c r="O219" s="1">
        <v>34496.04</v>
      </c>
      <c r="P219" s="1">
        <v>0.05</v>
      </c>
      <c r="Q219" s="1">
        <v>32771.24</v>
      </c>
      <c r="R219" s="1">
        <v>19711.240000000002</v>
      </c>
      <c r="S219" s="1">
        <f t="shared" si="7"/>
        <v>13059.999999999996</v>
      </c>
      <c r="T219" s="1" t="s">
        <v>874</v>
      </c>
      <c r="U219" s="1" t="s">
        <v>878</v>
      </c>
      <c r="V219" s="5" t="s">
        <v>884</v>
      </c>
    </row>
    <row r="220" spans="1:22" x14ac:dyDescent="0.3">
      <c r="A220" s="4" t="s">
        <v>246</v>
      </c>
      <c r="B220" s="3">
        <v>45301</v>
      </c>
      <c r="C220" s="1" t="str">
        <f t="shared" si="6"/>
        <v>January</v>
      </c>
      <c r="D220" s="1" t="s">
        <v>345</v>
      </c>
      <c r="E220" s="1" t="s">
        <v>729</v>
      </c>
      <c r="F220" s="1" t="s">
        <v>801</v>
      </c>
      <c r="G220" s="1" t="s">
        <v>807</v>
      </c>
      <c r="H220" s="1" t="s">
        <v>812</v>
      </c>
      <c r="I220" s="1" t="s">
        <v>815</v>
      </c>
      <c r="J220" s="1" t="s">
        <v>817</v>
      </c>
      <c r="K220" s="1" t="s">
        <v>822</v>
      </c>
      <c r="L220" s="1" t="s">
        <v>871</v>
      </c>
      <c r="M220" s="1">
        <v>4</v>
      </c>
      <c r="N220" s="1">
        <v>402.5</v>
      </c>
      <c r="O220" s="1">
        <v>1610</v>
      </c>
      <c r="P220" s="1">
        <v>0.1</v>
      </c>
      <c r="Q220" s="1">
        <v>1449</v>
      </c>
      <c r="R220" s="1">
        <v>890.31</v>
      </c>
      <c r="S220" s="1">
        <f t="shared" si="7"/>
        <v>558.69000000000005</v>
      </c>
      <c r="T220" s="1" t="s">
        <v>876</v>
      </c>
      <c r="U220" s="1" t="s">
        <v>881</v>
      </c>
      <c r="V220" s="5" t="s">
        <v>883</v>
      </c>
    </row>
    <row r="221" spans="1:22" x14ac:dyDescent="0.3">
      <c r="A221" s="4" t="s">
        <v>247</v>
      </c>
      <c r="B221" s="3">
        <v>45544</v>
      </c>
      <c r="C221" s="1" t="str">
        <f t="shared" si="6"/>
        <v>September</v>
      </c>
      <c r="D221" s="1" t="s">
        <v>433</v>
      </c>
      <c r="E221" s="1" t="s">
        <v>730</v>
      </c>
      <c r="F221" s="1" t="s">
        <v>802</v>
      </c>
      <c r="G221" s="1" t="s">
        <v>807</v>
      </c>
      <c r="H221" s="1" t="s">
        <v>809</v>
      </c>
      <c r="I221" s="1" t="s">
        <v>816</v>
      </c>
      <c r="J221" s="1" t="s">
        <v>819</v>
      </c>
      <c r="K221" s="1" t="s">
        <v>822</v>
      </c>
      <c r="L221" s="1" t="s">
        <v>847</v>
      </c>
      <c r="M221" s="1">
        <v>2</v>
      </c>
      <c r="N221" s="1">
        <v>1025.22</v>
      </c>
      <c r="O221" s="1">
        <v>2050.44</v>
      </c>
      <c r="P221" s="1">
        <v>0.15</v>
      </c>
      <c r="Q221" s="1">
        <v>1742.87</v>
      </c>
      <c r="R221" s="1">
        <v>1463.3</v>
      </c>
      <c r="S221" s="1">
        <f t="shared" si="7"/>
        <v>279.56999999999994</v>
      </c>
      <c r="T221" s="1" t="s">
        <v>874</v>
      </c>
      <c r="U221" s="1" t="s">
        <v>878</v>
      </c>
      <c r="V221" s="5" t="s">
        <v>884</v>
      </c>
    </row>
    <row r="222" spans="1:22" x14ac:dyDescent="0.3">
      <c r="A222" s="4" t="s">
        <v>248</v>
      </c>
      <c r="B222" s="3">
        <v>45603</v>
      </c>
      <c r="C222" s="1" t="str">
        <f t="shared" si="6"/>
        <v>November</v>
      </c>
      <c r="D222" s="1" t="s">
        <v>490</v>
      </c>
      <c r="E222" s="1" t="s">
        <v>731</v>
      </c>
      <c r="F222" s="1" t="s">
        <v>802</v>
      </c>
      <c r="G222" s="1" t="s">
        <v>806</v>
      </c>
      <c r="H222" s="1" t="s">
        <v>808</v>
      </c>
      <c r="I222" s="1" t="s">
        <v>815</v>
      </c>
      <c r="J222" s="1" t="s">
        <v>817</v>
      </c>
      <c r="K222" s="1" t="s">
        <v>821</v>
      </c>
      <c r="L222" s="1" t="s">
        <v>833</v>
      </c>
      <c r="M222" s="1">
        <v>5</v>
      </c>
      <c r="N222" s="1">
        <v>1492.29</v>
      </c>
      <c r="O222" s="1">
        <v>7461.45</v>
      </c>
      <c r="P222" s="1">
        <v>0.15</v>
      </c>
      <c r="Q222" s="1">
        <v>6342.23</v>
      </c>
      <c r="R222" s="1">
        <v>5152.58</v>
      </c>
      <c r="S222" s="1">
        <f t="shared" si="7"/>
        <v>1189.6499999999996</v>
      </c>
      <c r="T222" s="1" t="s">
        <v>874</v>
      </c>
      <c r="U222" s="1" t="s">
        <v>877</v>
      </c>
      <c r="V222" s="5" t="s">
        <v>882</v>
      </c>
    </row>
    <row r="223" spans="1:22" x14ac:dyDescent="0.3">
      <c r="A223" s="4" t="s">
        <v>249</v>
      </c>
      <c r="B223" s="3">
        <v>45520</v>
      </c>
      <c r="C223" s="1" t="str">
        <f t="shared" si="6"/>
        <v>August</v>
      </c>
      <c r="D223" s="1" t="s">
        <v>491</v>
      </c>
      <c r="E223" s="1" t="s">
        <v>732</v>
      </c>
      <c r="F223" s="1" t="s">
        <v>803</v>
      </c>
      <c r="G223" s="1" t="s">
        <v>805</v>
      </c>
      <c r="H223" s="1" t="s">
        <v>811</v>
      </c>
      <c r="I223" s="1" t="s">
        <v>816</v>
      </c>
      <c r="J223" s="1" t="s">
        <v>819</v>
      </c>
      <c r="K223" s="1" t="s">
        <v>822</v>
      </c>
      <c r="L223" s="1" t="s">
        <v>872</v>
      </c>
      <c r="M223" s="1">
        <v>7</v>
      </c>
      <c r="N223" s="1">
        <v>2030.03</v>
      </c>
      <c r="O223" s="1">
        <v>14210.21</v>
      </c>
      <c r="P223" s="1">
        <v>0.15</v>
      </c>
      <c r="Q223" s="1">
        <v>12078.68</v>
      </c>
      <c r="R223" s="1">
        <v>10072.85</v>
      </c>
      <c r="S223" s="1">
        <f t="shared" si="7"/>
        <v>2005.83</v>
      </c>
      <c r="T223" s="1" t="s">
        <v>876</v>
      </c>
      <c r="U223" s="1" t="s">
        <v>878</v>
      </c>
      <c r="V223" s="5" t="s">
        <v>884</v>
      </c>
    </row>
    <row r="224" spans="1:22" x14ac:dyDescent="0.3">
      <c r="A224" s="4" t="s">
        <v>251</v>
      </c>
      <c r="B224" s="3">
        <v>45405</v>
      </c>
      <c r="C224" s="1" t="str">
        <f t="shared" si="6"/>
        <v>April</v>
      </c>
      <c r="D224" s="1" t="s">
        <v>492</v>
      </c>
      <c r="E224" s="1" t="s">
        <v>734</v>
      </c>
      <c r="F224" s="1" t="s">
        <v>803</v>
      </c>
      <c r="G224" s="1" t="s">
        <v>805</v>
      </c>
      <c r="H224" s="1" t="s">
        <v>809</v>
      </c>
      <c r="I224" s="1" t="s">
        <v>813</v>
      </c>
      <c r="J224" s="1" t="s">
        <v>818</v>
      </c>
      <c r="K224" s="1" t="s">
        <v>822</v>
      </c>
      <c r="L224" s="1" t="s">
        <v>841</v>
      </c>
      <c r="M224" s="1">
        <v>2</v>
      </c>
      <c r="N224" s="1">
        <v>2170.1799999999998</v>
      </c>
      <c r="O224" s="1">
        <v>4340.3599999999997</v>
      </c>
      <c r="P224" s="1">
        <v>0</v>
      </c>
      <c r="Q224" s="1">
        <v>4340.3599999999997</v>
      </c>
      <c r="R224" s="1">
        <v>2714.58</v>
      </c>
      <c r="S224" s="1">
        <f t="shared" si="7"/>
        <v>1625.7799999999997</v>
      </c>
      <c r="T224" s="1" t="s">
        <v>876</v>
      </c>
      <c r="U224" s="1" t="s">
        <v>881</v>
      </c>
      <c r="V224" s="5" t="s">
        <v>883</v>
      </c>
    </row>
    <row r="225" spans="1:22" x14ac:dyDescent="0.3">
      <c r="A225" s="4" t="s">
        <v>252</v>
      </c>
      <c r="B225" s="3">
        <v>45505</v>
      </c>
      <c r="C225" s="1" t="str">
        <f t="shared" si="6"/>
        <v>August</v>
      </c>
      <c r="D225" s="1" t="s">
        <v>493</v>
      </c>
      <c r="E225" s="1" t="s">
        <v>735</v>
      </c>
      <c r="F225" s="1" t="s">
        <v>801</v>
      </c>
      <c r="G225" s="1" t="s">
        <v>807</v>
      </c>
      <c r="H225" s="1" t="s">
        <v>810</v>
      </c>
      <c r="I225" s="1" t="s">
        <v>814</v>
      </c>
      <c r="J225" s="1" t="s">
        <v>817</v>
      </c>
      <c r="K225" s="1" t="s">
        <v>820</v>
      </c>
      <c r="L225" s="1" t="s">
        <v>869</v>
      </c>
      <c r="M225" s="1">
        <v>10</v>
      </c>
      <c r="N225" s="1">
        <v>834.68</v>
      </c>
      <c r="O225" s="1">
        <v>8346.7999999999993</v>
      </c>
      <c r="P225" s="1">
        <v>0.15</v>
      </c>
      <c r="Q225" s="1">
        <v>7094.78</v>
      </c>
      <c r="R225" s="1">
        <v>5705.71</v>
      </c>
      <c r="S225" s="1">
        <f t="shared" si="7"/>
        <v>1389.0699999999997</v>
      </c>
      <c r="T225" s="1" t="s">
        <v>874</v>
      </c>
      <c r="U225" s="1" t="s">
        <v>881</v>
      </c>
      <c r="V225" s="5" t="s">
        <v>884</v>
      </c>
    </row>
    <row r="226" spans="1:22" x14ac:dyDescent="0.3">
      <c r="A226" s="4" t="s">
        <v>253</v>
      </c>
      <c r="B226" s="3">
        <v>45336</v>
      </c>
      <c r="C226" s="1" t="str">
        <f t="shared" si="6"/>
        <v>February</v>
      </c>
      <c r="D226" s="1" t="s">
        <v>397</v>
      </c>
      <c r="E226" s="1" t="s">
        <v>736</v>
      </c>
      <c r="F226" s="1" t="s">
        <v>801</v>
      </c>
      <c r="G226" s="1" t="s">
        <v>804</v>
      </c>
      <c r="H226" s="1" t="s">
        <v>812</v>
      </c>
      <c r="I226" s="1" t="s">
        <v>815</v>
      </c>
      <c r="J226" s="1" t="s">
        <v>817</v>
      </c>
      <c r="K226" s="1" t="s">
        <v>822</v>
      </c>
      <c r="L226" s="1" t="s">
        <v>823</v>
      </c>
      <c r="M226" s="1">
        <v>7</v>
      </c>
      <c r="N226" s="1">
        <v>1190.57</v>
      </c>
      <c r="O226" s="1">
        <v>8333.99</v>
      </c>
      <c r="P226" s="1">
        <v>0.1</v>
      </c>
      <c r="Q226" s="1">
        <v>7500.59</v>
      </c>
      <c r="R226" s="1">
        <v>5542.36</v>
      </c>
      <c r="S226" s="1">
        <f t="shared" si="7"/>
        <v>1958.2300000000005</v>
      </c>
      <c r="T226" s="1" t="s">
        <v>874</v>
      </c>
      <c r="U226" s="1" t="s">
        <v>879</v>
      </c>
      <c r="V226" s="5" t="s">
        <v>882</v>
      </c>
    </row>
    <row r="227" spans="1:22" x14ac:dyDescent="0.3">
      <c r="A227" s="4" t="s">
        <v>254</v>
      </c>
      <c r="B227" s="3">
        <v>45359</v>
      </c>
      <c r="C227" s="1" t="str">
        <f t="shared" si="6"/>
        <v>March</v>
      </c>
      <c r="D227" s="1" t="s">
        <v>435</v>
      </c>
      <c r="E227" s="1" t="s">
        <v>737</v>
      </c>
      <c r="F227" s="1" t="s">
        <v>802</v>
      </c>
      <c r="G227" s="1" t="s">
        <v>806</v>
      </c>
      <c r="H227" s="1" t="s">
        <v>812</v>
      </c>
      <c r="I227" s="1" t="s">
        <v>815</v>
      </c>
      <c r="J227" s="1" t="s">
        <v>817</v>
      </c>
      <c r="K227" s="1" t="s">
        <v>822</v>
      </c>
      <c r="L227" s="1" t="s">
        <v>850</v>
      </c>
      <c r="M227" s="1">
        <v>4</v>
      </c>
      <c r="N227" s="1">
        <v>2064.23</v>
      </c>
      <c r="O227" s="1">
        <v>8256.92</v>
      </c>
      <c r="P227" s="1">
        <v>0.1</v>
      </c>
      <c r="Q227" s="1">
        <v>7431.23</v>
      </c>
      <c r="R227" s="1">
        <v>6191.05</v>
      </c>
      <c r="S227" s="1">
        <f t="shared" si="7"/>
        <v>1240.1799999999994</v>
      </c>
      <c r="T227" s="1" t="s">
        <v>876</v>
      </c>
      <c r="U227" s="1" t="s">
        <v>879</v>
      </c>
      <c r="V227" s="5" t="s">
        <v>882</v>
      </c>
    </row>
    <row r="228" spans="1:22" x14ac:dyDescent="0.3">
      <c r="A228" s="4" t="s">
        <v>255</v>
      </c>
      <c r="B228" s="3">
        <v>45564</v>
      </c>
      <c r="C228" s="1" t="str">
        <f t="shared" si="6"/>
        <v>September</v>
      </c>
      <c r="D228" s="1" t="s">
        <v>472</v>
      </c>
      <c r="E228" s="1" t="s">
        <v>738</v>
      </c>
      <c r="F228" s="1" t="s">
        <v>801</v>
      </c>
      <c r="G228" s="1" t="s">
        <v>807</v>
      </c>
      <c r="H228" s="1" t="s">
        <v>810</v>
      </c>
      <c r="I228" s="1" t="s">
        <v>813</v>
      </c>
      <c r="J228" s="1" t="s">
        <v>818</v>
      </c>
      <c r="K228" s="1" t="s">
        <v>821</v>
      </c>
      <c r="L228" s="1" t="s">
        <v>861</v>
      </c>
      <c r="M228" s="1">
        <v>7</v>
      </c>
      <c r="N228" s="1">
        <v>3349.39</v>
      </c>
      <c r="O228" s="1">
        <v>23445.73</v>
      </c>
      <c r="P228" s="1">
        <v>0.1</v>
      </c>
      <c r="Q228" s="1">
        <v>21101.16</v>
      </c>
      <c r="R228" s="1">
        <v>12846.99</v>
      </c>
      <c r="S228" s="1">
        <f t="shared" si="7"/>
        <v>8254.17</v>
      </c>
      <c r="T228" s="1" t="s">
        <v>873</v>
      </c>
      <c r="U228" s="1" t="s">
        <v>878</v>
      </c>
      <c r="V228" s="5" t="s">
        <v>882</v>
      </c>
    </row>
    <row r="229" spans="1:22" x14ac:dyDescent="0.3">
      <c r="A229" s="4" t="s">
        <v>256</v>
      </c>
      <c r="B229" s="3">
        <v>45396</v>
      </c>
      <c r="C229" s="1" t="str">
        <f t="shared" si="6"/>
        <v>April</v>
      </c>
      <c r="D229" s="1" t="s">
        <v>372</v>
      </c>
      <c r="E229" s="1" t="s">
        <v>739</v>
      </c>
      <c r="F229" s="1" t="s">
        <v>802</v>
      </c>
      <c r="G229" s="1" t="s">
        <v>805</v>
      </c>
      <c r="H229" s="1" t="s">
        <v>810</v>
      </c>
      <c r="I229" s="1" t="s">
        <v>809</v>
      </c>
      <c r="J229" s="1" t="s">
        <v>818</v>
      </c>
      <c r="K229" s="1" t="s">
        <v>821</v>
      </c>
      <c r="L229" s="1" t="s">
        <v>855</v>
      </c>
      <c r="M229" s="1">
        <v>3</v>
      </c>
      <c r="N229" s="1">
        <v>1744.53</v>
      </c>
      <c r="O229" s="1">
        <v>5233.59</v>
      </c>
      <c r="P229" s="1">
        <v>0</v>
      </c>
      <c r="Q229" s="1">
        <v>5233.59</v>
      </c>
      <c r="R229" s="1">
        <v>3204.22</v>
      </c>
      <c r="S229" s="1">
        <f t="shared" si="7"/>
        <v>2029.3700000000003</v>
      </c>
      <c r="T229" s="1" t="s">
        <v>875</v>
      </c>
      <c r="U229" s="1" t="s">
        <v>878</v>
      </c>
      <c r="V229" s="5" t="s">
        <v>882</v>
      </c>
    </row>
    <row r="230" spans="1:22" x14ac:dyDescent="0.3">
      <c r="A230" s="4" t="s">
        <v>257</v>
      </c>
      <c r="B230" s="3">
        <v>45442</v>
      </c>
      <c r="C230" s="1" t="str">
        <f t="shared" si="6"/>
        <v>May</v>
      </c>
      <c r="D230" s="1" t="s">
        <v>467</v>
      </c>
      <c r="E230" s="1" t="s">
        <v>740</v>
      </c>
      <c r="F230" s="1" t="s">
        <v>802</v>
      </c>
      <c r="G230" s="1" t="s">
        <v>804</v>
      </c>
      <c r="H230" s="1" t="s">
        <v>811</v>
      </c>
      <c r="I230" s="1" t="s">
        <v>809</v>
      </c>
      <c r="J230" s="1" t="s">
        <v>817</v>
      </c>
      <c r="K230" s="1" t="s">
        <v>820</v>
      </c>
      <c r="L230" s="1" t="s">
        <v>865</v>
      </c>
      <c r="M230" s="1">
        <v>4</v>
      </c>
      <c r="N230" s="1">
        <v>2056.79</v>
      </c>
      <c r="O230" s="1">
        <v>8227.16</v>
      </c>
      <c r="P230" s="1">
        <v>0.05</v>
      </c>
      <c r="Q230" s="1">
        <v>7815.8</v>
      </c>
      <c r="R230" s="1">
        <v>4974.32</v>
      </c>
      <c r="S230" s="1">
        <f t="shared" si="7"/>
        <v>2841.4800000000005</v>
      </c>
      <c r="T230" s="1" t="s">
        <v>873</v>
      </c>
      <c r="U230" s="1" t="s">
        <v>880</v>
      </c>
      <c r="V230" s="5" t="s">
        <v>883</v>
      </c>
    </row>
    <row r="231" spans="1:22" x14ac:dyDescent="0.3">
      <c r="A231" s="4" t="s">
        <v>258</v>
      </c>
      <c r="B231" s="3">
        <v>45423</v>
      </c>
      <c r="C231" s="1" t="str">
        <f t="shared" si="6"/>
        <v>May</v>
      </c>
      <c r="D231" s="1" t="s">
        <v>337</v>
      </c>
      <c r="E231" s="1" t="s">
        <v>741</v>
      </c>
      <c r="F231" s="1" t="s">
        <v>803</v>
      </c>
      <c r="G231" s="1" t="s">
        <v>806</v>
      </c>
      <c r="H231" s="1" t="s">
        <v>811</v>
      </c>
      <c r="I231" s="1" t="s">
        <v>815</v>
      </c>
      <c r="J231" s="1" t="s">
        <v>817</v>
      </c>
      <c r="K231" s="1" t="s">
        <v>821</v>
      </c>
      <c r="L231" s="1" t="s">
        <v>827</v>
      </c>
      <c r="M231" s="1">
        <v>8</v>
      </c>
      <c r="N231" s="1">
        <v>2526.33</v>
      </c>
      <c r="O231" s="1">
        <v>20210.64</v>
      </c>
      <c r="P231" s="1">
        <v>0.05</v>
      </c>
      <c r="Q231" s="1">
        <v>19200.11</v>
      </c>
      <c r="R231" s="1">
        <v>15687.33</v>
      </c>
      <c r="S231" s="1">
        <f t="shared" si="7"/>
        <v>3512.7800000000007</v>
      </c>
      <c r="T231" s="1" t="s">
        <v>875</v>
      </c>
      <c r="U231" s="1" t="s">
        <v>879</v>
      </c>
      <c r="V231" s="5" t="s">
        <v>884</v>
      </c>
    </row>
    <row r="232" spans="1:22" x14ac:dyDescent="0.3">
      <c r="A232" s="4" t="s">
        <v>259</v>
      </c>
      <c r="B232" s="3">
        <v>45458</v>
      </c>
      <c r="C232" s="1" t="str">
        <f t="shared" si="6"/>
        <v>June</v>
      </c>
      <c r="D232" s="1" t="s">
        <v>437</v>
      </c>
      <c r="E232" s="1" t="s">
        <v>742</v>
      </c>
      <c r="F232" s="1" t="s">
        <v>801</v>
      </c>
      <c r="G232" s="1" t="s">
        <v>805</v>
      </c>
      <c r="H232" s="1" t="s">
        <v>810</v>
      </c>
      <c r="I232" s="1" t="s">
        <v>815</v>
      </c>
      <c r="J232" s="1" t="s">
        <v>817</v>
      </c>
      <c r="K232" s="1" t="s">
        <v>821</v>
      </c>
      <c r="L232" s="1" t="s">
        <v>869</v>
      </c>
      <c r="M232" s="1">
        <v>4</v>
      </c>
      <c r="N232" s="1">
        <v>870.88</v>
      </c>
      <c r="O232" s="1">
        <v>3483.52</v>
      </c>
      <c r="P232" s="1">
        <v>0.05</v>
      </c>
      <c r="Q232" s="1">
        <v>3309.34</v>
      </c>
      <c r="R232" s="1">
        <v>2309.5100000000002</v>
      </c>
      <c r="S232" s="1">
        <f t="shared" si="7"/>
        <v>999.82999999999993</v>
      </c>
      <c r="T232" s="1" t="s">
        <v>876</v>
      </c>
      <c r="U232" s="1" t="s">
        <v>880</v>
      </c>
      <c r="V232" s="5" t="s">
        <v>884</v>
      </c>
    </row>
    <row r="233" spans="1:22" x14ac:dyDescent="0.3">
      <c r="A233" s="4" t="s">
        <v>260</v>
      </c>
      <c r="B233" s="3">
        <v>45368</v>
      </c>
      <c r="C233" s="1" t="str">
        <f t="shared" si="6"/>
        <v>March</v>
      </c>
      <c r="D233" s="1" t="s">
        <v>327</v>
      </c>
      <c r="E233" s="1" t="s">
        <v>743</v>
      </c>
      <c r="F233" s="1" t="s">
        <v>803</v>
      </c>
      <c r="G233" s="1" t="s">
        <v>806</v>
      </c>
      <c r="H233" s="1" t="s">
        <v>808</v>
      </c>
      <c r="I233" s="1" t="s">
        <v>814</v>
      </c>
      <c r="J233" s="1" t="s">
        <v>817</v>
      </c>
      <c r="K233" s="1" t="s">
        <v>822</v>
      </c>
      <c r="L233" s="1" t="s">
        <v>826</v>
      </c>
      <c r="M233" s="1">
        <v>3</v>
      </c>
      <c r="N233" s="1">
        <v>1732.56</v>
      </c>
      <c r="O233" s="1">
        <v>5197.68</v>
      </c>
      <c r="P233" s="1">
        <v>0.15</v>
      </c>
      <c r="Q233" s="1">
        <v>4418.03</v>
      </c>
      <c r="R233" s="1">
        <v>2777.14</v>
      </c>
      <c r="S233" s="1">
        <f t="shared" si="7"/>
        <v>1640.8899999999999</v>
      </c>
      <c r="T233" s="1" t="s">
        <v>874</v>
      </c>
      <c r="U233" s="1" t="s">
        <v>877</v>
      </c>
      <c r="V233" s="5" t="s">
        <v>884</v>
      </c>
    </row>
    <row r="234" spans="1:22" x14ac:dyDescent="0.3">
      <c r="A234" s="4" t="s">
        <v>261</v>
      </c>
      <c r="B234" s="3">
        <v>45339</v>
      </c>
      <c r="C234" s="1" t="str">
        <f t="shared" si="6"/>
        <v>February</v>
      </c>
      <c r="D234" s="1" t="s">
        <v>387</v>
      </c>
      <c r="E234" s="1" t="s">
        <v>744</v>
      </c>
      <c r="F234" s="1" t="s">
        <v>803</v>
      </c>
      <c r="G234" s="1" t="s">
        <v>806</v>
      </c>
      <c r="H234" s="1" t="s">
        <v>810</v>
      </c>
      <c r="I234" s="1" t="s">
        <v>816</v>
      </c>
      <c r="J234" s="1" t="s">
        <v>819</v>
      </c>
      <c r="K234" s="1" t="s">
        <v>820</v>
      </c>
      <c r="L234" s="1" t="s">
        <v>870</v>
      </c>
      <c r="M234" s="1">
        <v>8</v>
      </c>
      <c r="N234" s="1">
        <v>1268</v>
      </c>
      <c r="O234" s="1">
        <v>10144</v>
      </c>
      <c r="P234" s="1">
        <v>0.1</v>
      </c>
      <c r="Q234" s="1">
        <v>9129.6</v>
      </c>
      <c r="R234" s="1">
        <v>6842.13</v>
      </c>
      <c r="S234" s="1">
        <f t="shared" si="7"/>
        <v>2287.4700000000003</v>
      </c>
      <c r="T234" s="1" t="s">
        <v>874</v>
      </c>
      <c r="U234" s="1" t="s">
        <v>877</v>
      </c>
      <c r="V234" s="5" t="s">
        <v>883</v>
      </c>
    </row>
    <row r="235" spans="1:22" x14ac:dyDescent="0.3">
      <c r="A235" s="4" t="s">
        <v>262</v>
      </c>
      <c r="B235" s="3">
        <v>45598</v>
      </c>
      <c r="C235" s="1" t="str">
        <f t="shared" si="6"/>
        <v>November</v>
      </c>
      <c r="D235" s="1" t="s">
        <v>494</v>
      </c>
      <c r="E235" s="1" t="s">
        <v>745</v>
      </c>
      <c r="F235" s="1" t="s">
        <v>803</v>
      </c>
      <c r="G235" s="1" t="s">
        <v>807</v>
      </c>
      <c r="H235" s="1" t="s">
        <v>812</v>
      </c>
      <c r="I235" s="1" t="s">
        <v>816</v>
      </c>
      <c r="J235" s="1" t="s">
        <v>819</v>
      </c>
      <c r="K235" s="1" t="s">
        <v>820</v>
      </c>
      <c r="L235" s="1" t="s">
        <v>868</v>
      </c>
      <c r="M235" s="1">
        <v>1</v>
      </c>
      <c r="N235" s="1">
        <v>1467.33</v>
      </c>
      <c r="O235" s="1">
        <v>1467.33</v>
      </c>
      <c r="P235" s="1">
        <v>0.05</v>
      </c>
      <c r="Q235" s="1">
        <v>1393.96</v>
      </c>
      <c r="R235" s="1">
        <v>1065.17</v>
      </c>
      <c r="S235" s="1">
        <f t="shared" si="7"/>
        <v>328.78999999999996</v>
      </c>
      <c r="T235" s="1" t="s">
        <v>874</v>
      </c>
      <c r="U235" s="1" t="s">
        <v>880</v>
      </c>
      <c r="V235" s="5" t="s">
        <v>882</v>
      </c>
    </row>
    <row r="236" spans="1:22" x14ac:dyDescent="0.3">
      <c r="A236" s="4" t="s">
        <v>263</v>
      </c>
      <c r="B236" s="3">
        <v>45444</v>
      </c>
      <c r="C236" s="1" t="str">
        <f t="shared" si="6"/>
        <v>June</v>
      </c>
      <c r="D236" s="1" t="s">
        <v>391</v>
      </c>
      <c r="E236" s="1" t="s">
        <v>746</v>
      </c>
      <c r="F236" s="1" t="s">
        <v>803</v>
      </c>
      <c r="G236" s="1" t="s">
        <v>805</v>
      </c>
      <c r="H236" s="1" t="s">
        <v>811</v>
      </c>
      <c r="I236" s="1" t="s">
        <v>809</v>
      </c>
      <c r="J236" s="1" t="s">
        <v>817</v>
      </c>
      <c r="K236" s="1" t="s">
        <v>820</v>
      </c>
      <c r="L236" s="1" t="s">
        <v>842</v>
      </c>
      <c r="M236" s="1">
        <v>2</v>
      </c>
      <c r="N236" s="1">
        <v>2643.41</v>
      </c>
      <c r="O236" s="1">
        <v>5286.82</v>
      </c>
      <c r="P236" s="1">
        <v>0.15</v>
      </c>
      <c r="Q236" s="1">
        <v>4493.8</v>
      </c>
      <c r="R236" s="1">
        <v>2803.76</v>
      </c>
      <c r="S236" s="1">
        <f t="shared" si="7"/>
        <v>1690.04</v>
      </c>
      <c r="T236" s="1" t="s">
        <v>876</v>
      </c>
      <c r="U236" s="1" t="s">
        <v>878</v>
      </c>
      <c r="V236" s="5" t="s">
        <v>883</v>
      </c>
    </row>
    <row r="237" spans="1:22" x14ac:dyDescent="0.3">
      <c r="A237" s="4" t="s">
        <v>264</v>
      </c>
      <c r="B237" s="3">
        <v>45359</v>
      </c>
      <c r="C237" s="1" t="str">
        <f t="shared" si="6"/>
        <v>March</v>
      </c>
      <c r="D237" s="1" t="s">
        <v>381</v>
      </c>
      <c r="E237" s="1" t="s">
        <v>747</v>
      </c>
      <c r="F237" s="1" t="s">
        <v>801</v>
      </c>
      <c r="G237" s="1" t="s">
        <v>806</v>
      </c>
      <c r="H237" s="1" t="s">
        <v>809</v>
      </c>
      <c r="I237" s="1" t="s">
        <v>815</v>
      </c>
      <c r="J237" s="1" t="s">
        <v>817</v>
      </c>
      <c r="K237" s="1" t="s">
        <v>821</v>
      </c>
      <c r="L237" s="1" t="s">
        <v>841</v>
      </c>
      <c r="M237" s="1">
        <v>10</v>
      </c>
      <c r="N237" s="1">
        <v>2995.29</v>
      </c>
      <c r="O237" s="1">
        <v>29952.9</v>
      </c>
      <c r="P237" s="1">
        <v>0</v>
      </c>
      <c r="Q237" s="1">
        <v>29952.9</v>
      </c>
      <c r="R237" s="1">
        <v>20777.669999999998</v>
      </c>
      <c r="S237" s="1">
        <f t="shared" si="7"/>
        <v>9175.2300000000032</v>
      </c>
      <c r="T237" s="1" t="s">
        <v>874</v>
      </c>
      <c r="U237" s="1" t="s">
        <v>880</v>
      </c>
      <c r="V237" s="5" t="s">
        <v>884</v>
      </c>
    </row>
    <row r="238" spans="1:22" x14ac:dyDescent="0.3">
      <c r="A238" s="4" t="s">
        <v>265</v>
      </c>
      <c r="B238" s="3">
        <v>45340</v>
      </c>
      <c r="C238" s="1" t="str">
        <f t="shared" si="6"/>
        <v>February</v>
      </c>
      <c r="D238" s="1" t="s">
        <v>387</v>
      </c>
      <c r="E238" s="1" t="s">
        <v>748</v>
      </c>
      <c r="F238" s="1" t="s">
        <v>803</v>
      </c>
      <c r="G238" s="1" t="s">
        <v>807</v>
      </c>
      <c r="H238" s="1" t="s">
        <v>811</v>
      </c>
      <c r="I238" s="1" t="s">
        <v>813</v>
      </c>
      <c r="J238" s="1" t="s">
        <v>817</v>
      </c>
      <c r="K238" s="1" t="s">
        <v>821</v>
      </c>
      <c r="L238" s="1" t="s">
        <v>869</v>
      </c>
      <c r="M238" s="1">
        <v>4</v>
      </c>
      <c r="N238" s="1">
        <v>762.92</v>
      </c>
      <c r="O238" s="1">
        <v>3051.68</v>
      </c>
      <c r="P238" s="1">
        <v>0.15</v>
      </c>
      <c r="Q238" s="1">
        <v>2593.9299999999998</v>
      </c>
      <c r="R238" s="1">
        <v>1731.75</v>
      </c>
      <c r="S238" s="1">
        <f t="shared" si="7"/>
        <v>862.17999999999984</v>
      </c>
      <c r="T238" s="1" t="s">
        <v>876</v>
      </c>
      <c r="U238" s="1" t="s">
        <v>881</v>
      </c>
      <c r="V238" s="5" t="s">
        <v>884</v>
      </c>
    </row>
    <row r="239" spans="1:22" x14ac:dyDescent="0.3">
      <c r="A239" s="4" t="s">
        <v>266</v>
      </c>
      <c r="B239" s="3">
        <v>45479</v>
      </c>
      <c r="C239" s="1" t="str">
        <f t="shared" si="6"/>
        <v>July</v>
      </c>
      <c r="D239" s="1" t="s">
        <v>495</v>
      </c>
      <c r="E239" s="1" t="s">
        <v>749</v>
      </c>
      <c r="F239" s="1" t="s">
        <v>802</v>
      </c>
      <c r="G239" s="1" t="s">
        <v>806</v>
      </c>
      <c r="H239" s="1" t="s">
        <v>809</v>
      </c>
      <c r="I239" s="1" t="s">
        <v>809</v>
      </c>
      <c r="J239" s="1" t="s">
        <v>817</v>
      </c>
      <c r="K239" s="1" t="s">
        <v>820</v>
      </c>
      <c r="L239" s="1" t="s">
        <v>826</v>
      </c>
      <c r="M239" s="1">
        <v>5</v>
      </c>
      <c r="N239" s="1">
        <v>1651.53</v>
      </c>
      <c r="O239" s="1">
        <v>8257.65</v>
      </c>
      <c r="P239" s="1">
        <v>0.05</v>
      </c>
      <c r="Q239" s="1">
        <v>7844.77</v>
      </c>
      <c r="R239" s="1">
        <v>6644.6</v>
      </c>
      <c r="S239" s="1">
        <f t="shared" si="7"/>
        <v>1200.17</v>
      </c>
      <c r="T239" s="1" t="s">
        <v>875</v>
      </c>
      <c r="U239" s="1" t="s">
        <v>880</v>
      </c>
      <c r="V239" s="5" t="s">
        <v>882</v>
      </c>
    </row>
    <row r="240" spans="1:22" x14ac:dyDescent="0.3">
      <c r="A240" s="4" t="s">
        <v>267</v>
      </c>
      <c r="B240" s="3">
        <v>45379</v>
      </c>
      <c r="C240" s="1" t="str">
        <f t="shared" si="6"/>
        <v>March</v>
      </c>
      <c r="D240" s="1" t="s">
        <v>431</v>
      </c>
      <c r="E240" s="1" t="s">
        <v>750</v>
      </c>
      <c r="F240" s="1" t="s">
        <v>803</v>
      </c>
      <c r="G240" s="1" t="s">
        <v>807</v>
      </c>
      <c r="H240" s="1" t="s">
        <v>808</v>
      </c>
      <c r="I240" s="1" t="s">
        <v>809</v>
      </c>
      <c r="J240" s="1" t="s">
        <v>817</v>
      </c>
      <c r="K240" s="1" t="s">
        <v>821</v>
      </c>
      <c r="L240" s="1" t="s">
        <v>870</v>
      </c>
      <c r="M240" s="1">
        <v>5</v>
      </c>
      <c r="N240" s="1">
        <v>3494.29</v>
      </c>
      <c r="O240" s="1">
        <v>17471.45</v>
      </c>
      <c r="P240" s="1">
        <v>0.15</v>
      </c>
      <c r="Q240" s="1">
        <v>14850.73</v>
      </c>
      <c r="R240" s="1">
        <v>10370.52</v>
      </c>
      <c r="S240" s="1">
        <f t="shared" si="7"/>
        <v>4480.2099999999991</v>
      </c>
      <c r="T240" s="1" t="s">
        <v>875</v>
      </c>
      <c r="U240" s="1" t="s">
        <v>880</v>
      </c>
      <c r="V240" s="5" t="s">
        <v>882</v>
      </c>
    </row>
    <row r="241" spans="1:22" x14ac:dyDescent="0.3">
      <c r="A241" s="4" t="s">
        <v>268</v>
      </c>
      <c r="B241" s="3">
        <v>45596</v>
      </c>
      <c r="C241" s="1" t="str">
        <f t="shared" si="6"/>
        <v>October</v>
      </c>
      <c r="D241" s="1" t="s">
        <v>322</v>
      </c>
      <c r="E241" s="1" t="s">
        <v>751</v>
      </c>
      <c r="F241" s="1" t="s">
        <v>802</v>
      </c>
      <c r="G241" s="1" t="s">
        <v>807</v>
      </c>
      <c r="H241" s="1" t="s">
        <v>809</v>
      </c>
      <c r="I241" s="1" t="s">
        <v>809</v>
      </c>
      <c r="J241" s="1" t="s">
        <v>817</v>
      </c>
      <c r="K241" s="1" t="s">
        <v>821</v>
      </c>
      <c r="L241" s="1" t="s">
        <v>857</v>
      </c>
      <c r="M241" s="1">
        <v>9</v>
      </c>
      <c r="N241" s="1">
        <v>2603.4499999999998</v>
      </c>
      <c r="O241" s="1">
        <v>23431.05</v>
      </c>
      <c r="P241" s="1">
        <v>0</v>
      </c>
      <c r="Q241" s="1">
        <v>23431.05</v>
      </c>
      <c r="R241" s="1">
        <v>18870</v>
      </c>
      <c r="S241" s="1">
        <f t="shared" si="7"/>
        <v>4561.0499999999993</v>
      </c>
      <c r="T241" s="1" t="s">
        <v>875</v>
      </c>
      <c r="U241" s="1" t="s">
        <v>879</v>
      </c>
      <c r="V241" s="5" t="s">
        <v>884</v>
      </c>
    </row>
    <row r="242" spans="1:22" x14ac:dyDescent="0.3">
      <c r="A242" s="4" t="s">
        <v>269</v>
      </c>
      <c r="B242" s="3">
        <v>45335</v>
      </c>
      <c r="C242" s="1" t="str">
        <f t="shared" si="6"/>
        <v>February</v>
      </c>
      <c r="D242" s="1" t="s">
        <v>373</v>
      </c>
      <c r="E242" s="1" t="s">
        <v>752</v>
      </c>
      <c r="F242" s="1" t="s">
        <v>801</v>
      </c>
      <c r="G242" s="1" t="s">
        <v>804</v>
      </c>
      <c r="H242" s="1" t="s">
        <v>809</v>
      </c>
      <c r="I242" s="1" t="s">
        <v>813</v>
      </c>
      <c r="J242" s="1" t="s">
        <v>817</v>
      </c>
      <c r="K242" s="1" t="s">
        <v>821</v>
      </c>
      <c r="L242" s="1" t="s">
        <v>842</v>
      </c>
      <c r="M242" s="1">
        <v>8</v>
      </c>
      <c r="N242" s="1">
        <v>2234.7800000000002</v>
      </c>
      <c r="O242" s="1">
        <v>17878.240000000002</v>
      </c>
      <c r="P242" s="1">
        <v>0.05</v>
      </c>
      <c r="Q242" s="1">
        <v>16984.330000000002</v>
      </c>
      <c r="R242" s="1">
        <v>10236.31</v>
      </c>
      <c r="S242" s="1">
        <f t="shared" si="7"/>
        <v>6748.0200000000023</v>
      </c>
      <c r="T242" s="1" t="s">
        <v>875</v>
      </c>
      <c r="U242" s="1" t="s">
        <v>880</v>
      </c>
      <c r="V242" s="5" t="s">
        <v>884</v>
      </c>
    </row>
    <row r="243" spans="1:22" x14ac:dyDescent="0.3">
      <c r="A243" s="4" t="s">
        <v>270</v>
      </c>
      <c r="B243" s="3">
        <v>45363</v>
      </c>
      <c r="C243" s="1" t="str">
        <f t="shared" si="6"/>
        <v>March</v>
      </c>
      <c r="D243" s="1" t="s">
        <v>483</v>
      </c>
      <c r="E243" s="1" t="s">
        <v>753</v>
      </c>
      <c r="F243" s="1" t="s">
        <v>803</v>
      </c>
      <c r="G243" s="1" t="s">
        <v>805</v>
      </c>
      <c r="H243" s="1" t="s">
        <v>809</v>
      </c>
      <c r="I243" s="1" t="s">
        <v>816</v>
      </c>
      <c r="J243" s="1" t="s">
        <v>818</v>
      </c>
      <c r="K243" s="1" t="s">
        <v>822</v>
      </c>
      <c r="L243" s="1" t="s">
        <v>863</v>
      </c>
      <c r="M243" s="1">
        <v>4</v>
      </c>
      <c r="N243" s="1">
        <v>3267.19</v>
      </c>
      <c r="O243" s="1">
        <v>13068.76</v>
      </c>
      <c r="P243" s="1">
        <v>0.1</v>
      </c>
      <c r="Q243" s="1">
        <v>11761.88</v>
      </c>
      <c r="R243" s="1">
        <v>9140.74</v>
      </c>
      <c r="S243" s="1">
        <f t="shared" si="7"/>
        <v>2621.1399999999994</v>
      </c>
      <c r="T243" s="1" t="s">
        <v>876</v>
      </c>
      <c r="U243" s="1" t="s">
        <v>880</v>
      </c>
      <c r="V243" s="5" t="s">
        <v>883</v>
      </c>
    </row>
    <row r="244" spans="1:22" x14ac:dyDescent="0.3">
      <c r="A244" s="4" t="s">
        <v>271</v>
      </c>
      <c r="B244" s="3">
        <v>45317</v>
      </c>
      <c r="C244" s="1" t="str">
        <f t="shared" si="6"/>
        <v>January</v>
      </c>
      <c r="D244" s="1" t="s">
        <v>453</v>
      </c>
      <c r="E244" s="1" t="s">
        <v>754</v>
      </c>
      <c r="F244" s="1" t="s">
        <v>802</v>
      </c>
      <c r="G244" s="1" t="s">
        <v>806</v>
      </c>
      <c r="H244" s="1" t="s">
        <v>811</v>
      </c>
      <c r="I244" s="1" t="s">
        <v>816</v>
      </c>
      <c r="J244" s="1" t="s">
        <v>817</v>
      </c>
      <c r="K244" s="1" t="s">
        <v>822</v>
      </c>
      <c r="L244" s="1" t="s">
        <v>845</v>
      </c>
      <c r="M244" s="1">
        <v>6</v>
      </c>
      <c r="N244" s="1">
        <v>2838.51</v>
      </c>
      <c r="O244" s="1">
        <v>17031.060000000001</v>
      </c>
      <c r="P244" s="1">
        <v>0</v>
      </c>
      <c r="Q244" s="1">
        <v>17031.060000000001</v>
      </c>
      <c r="R244" s="1">
        <v>12990.21</v>
      </c>
      <c r="S244" s="1">
        <f t="shared" si="7"/>
        <v>4040.8500000000022</v>
      </c>
      <c r="T244" s="1" t="s">
        <v>874</v>
      </c>
      <c r="U244" s="1" t="s">
        <v>877</v>
      </c>
      <c r="V244" s="5" t="s">
        <v>883</v>
      </c>
    </row>
    <row r="245" spans="1:22" x14ac:dyDescent="0.3">
      <c r="A245" s="4" t="s">
        <v>272</v>
      </c>
      <c r="B245" s="3">
        <v>45530</v>
      </c>
      <c r="C245" s="1" t="str">
        <f t="shared" si="6"/>
        <v>August</v>
      </c>
      <c r="D245" s="1" t="s">
        <v>366</v>
      </c>
      <c r="E245" s="1" t="s">
        <v>755</v>
      </c>
      <c r="F245" s="1" t="s">
        <v>801</v>
      </c>
      <c r="G245" s="1" t="s">
        <v>804</v>
      </c>
      <c r="H245" s="1" t="s">
        <v>809</v>
      </c>
      <c r="I245" s="1" t="s">
        <v>815</v>
      </c>
      <c r="J245" s="1" t="s">
        <v>817</v>
      </c>
      <c r="K245" s="1" t="s">
        <v>820</v>
      </c>
      <c r="L245" s="1" t="s">
        <v>837</v>
      </c>
      <c r="M245" s="1">
        <v>11</v>
      </c>
      <c r="N245" s="1">
        <v>2230.1799999999998</v>
      </c>
      <c r="O245" s="1">
        <v>24531.98</v>
      </c>
      <c r="P245" s="1">
        <v>0.15</v>
      </c>
      <c r="Q245" s="1">
        <v>20852.18</v>
      </c>
      <c r="R245" s="1">
        <v>14522.63</v>
      </c>
      <c r="S245" s="1">
        <f t="shared" si="7"/>
        <v>6329.5500000000011</v>
      </c>
      <c r="T245" s="1" t="s">
        <v>873</v>
      </c>
      <c r="U245" s="1" t="s">
        <v>881</v>
      </c>
      <c r="V245" s="5" t="s">
        <v>882</v>
      </c>
    </row>
    <row r="246" spans="1:22" x14ac:dyDescent="0.3">
      <c r="A246" s="4" t="s">
        <v>273</v>
      </c>
      <c r="B246" s="3">
        <v>45544</v>
      </c>
      <c r="C246" s="1" t="str">
        <f t="shared" si="6"/>
        <v>September</v>
      </c>
      <c r="D246" s="1" t="s">
        <v>475</v>
      </c>
      <c r="E246" s="1" t="s">
        <v>756</v>
      </c>
      <c r="F246" s="1" t="s">
        <v>802</v>
      </c>
      <c r="G246" s="1" t="s">
        <v>807</v>
      </c>
      <c r="H246" s="1" t="s">
        <v>811</v>
      </c>
      <c r="I246" s="1" t="s">
        <v>816</v>
      </c>
      <c r="J246" s="1" t="s">
        <v>817</v>
      </c>
      <c r="K246" s="1" t="s">
        <v>820</v>
      </c>
      <c r="L246" s="1" t="s">
        <v>848</v>
      </c>
      <c r="M246" s="1">
        <v>11</v>
      </c>
      <c r="N246" s="1">
        <v>3157.56</v>
      </c>
      <c r="O246" s="1">
        <v>34733.160000000003</v>
      </c>
      <c r="P246" s="1">
        <v>0</v>
      </c>
      <c r="Q246" s="1">
        <v>34733.160000000003</v>
      </c>
      <c r="R246" s="1">
        <v>24243.86</v>
      </c>
      <c r="S246" s="1">
        <f t="shared" si="7"/>
        <v>10489.300000000003</v>
      </c>
      <c r="T246" s="1" t="s">
        <v>874</v>
      </c>
      <c r="U246" s="1" t="s">
        <v>881</v>
      </c>
      <c r="V246" s="5" t="s">
        <v>884</v>
      </c>
    </row>
    <row r="247" spans="1:22" x14ac:dyDescent="0.3">
      <c r="A247" s="4" t="s">
        <v>274</v>
      </c>
      <c r="B247" s="3">
        <v>45448</v>
      </c>
      <c r="C247" s="1" t="str">
        <f t="shared" si="6"/>
        <v>June</v>
      </c>
      <c r="D247" s="1" t="s">
        <v>467</v>
      </c>
      <c r="E247" s="1" t="s">
        <v>757</v>
      </c>
      <c r="F247" s="1" t="s">
        <v>801</v>
      </c>
      <c r="G247" s="1" t="s">
        <v>805</v>
      </c>
      <c r="H247" s="1" t="s">
        <v>808</v>
      </c>
      <c r="I247" s="1" t="s">
        <v>815</v>
      </c>
      <c r="J247" s="1" t="s">
        <v>819</v>
      </c>
      <c r="K247" s="1" t="s">
        <v>820</v>
      </c>
      <c r="L247" s="1" t="s">
        <v>868</v>
      </c>
      <c r="M247" s="1">
        <v>5</v>
      </c>
      <c r="N247" s="1">
        <v>1916.06</v>
      </c>
      <c r="O247" s="1">
        <v>9580.2999999999993</v>
      </c>
      <c r="P247" s="1">
        <v>0</v>
      </c>
      <c r="Q247" s="1">
        <v>9580.2999999999993</v>
      </c>
      <c r="R247" s="1">
        <v>8025.88</v>
      </c>
      <c r="S247" s="1">
        <f t="shared" si="7"/>
        <v>1554.4199999999992</v>
      </c>
      <c r="T247" s="1" t="s">
        <v>875</v>
      </c>
      <c r="U247" s="1" t="s">
        <v>877</v>
      </c>
      <c r="V247" s="5" t="s">
        <v>884</v>
      </c>
    </row>
    <row r="248" spans="1:22" x14ac:dyDescent="0.3">
      <c r="A248" s="4" t="s">
        <v>275</v>
      </c>
      <c r="B248" s="3">
        <v>45493</v>
      </c>
      <c r="C248" s="1" t="str">
        <f t="shared" si="6"/>
        <v>July</v>
      </c>
      <c r="D248" s="1" t="s">
        <v>415</v>
      </c>
      <c r="E248" s="1" t="s">
        <v>758</v>
      </c>
      <c r="F248" s="1" t="s">
        <v>803</v>
      </c>
      <c r="G248" s="1" t="s">
        <v>805</v>
      </c>
      <c r="H248" s="1" t="s">
        <v>811</v>
      </c>
      <c r="I248" s="1" t="s">
        <v>814</v>
      </c>
      <c r="J248" s="1" t="s">
        <v>817</v>
      </c>
      <c r="K248" s="1" t="s">
        <v>820</v>
      </c>
      <c r="L248" s="1" t="s">
        <v>833</v>
      </c>
      <c r="M248" s="1">
        <v>8</v>
      </c>
      <c r="N248" s="1">
        <v>2319.7600000000002</v>
      </c>
      <c r="O248" s="1">
        <v>18558.080000000002</v>
      </c>
      <c r="P248" s="1">
        <v>0.1</v>
      </c>
      <c r="Q248" s="1">
        <v>16702.27</v>
      </c>
      <c r="R248" s="1">
        <v>11423.61</v>
      </c>
      <c r="S248" s="1">
        <f t="shared" si="7"/>
        <v>5278.66</v>
      </c>
      <c r="T248" s="1" t="s">
        <v>876</v>
      </c>
      <c r="U248" s="1" t="s">
        <v>878</v>
      </c>
      <c r="V248" s="5" t="s">
        <v>882</v>
      </c>
    </row>
    <row r="249" spans="1:22" x14ac:dyDescent="0.3">
      <c r="A249" s="4" t="s">
        <v>276</v>
      </c>
      <c r="B249" s="3">
        <v>45491</v>
      </c>
      <c r="C249" s="1" t="str">
        <f t="shared" si="6"/>
        <v>July</v>
      </c>
      <c r="D249" s="1" t="s">
        <v>329</v>
      </c>
      <c r="E249" s="1" t="s">
        <v>759</v>
      </c>
      <c r="F249" s="1" t="s">
        <v>802</v>
      </c>
      <c r="G249" s="1" t="s">
        <v>805</v>
      </c>
      <c r="H249" s="1" t="s">
        <v>812</v>
      </c>
      <c r="I249" s="1" t="s">
        <v>816</v>
      </c>
      <c r="J249" s="1" t="s">
        <v>819</v>
      </c>
      <c r="K249" s="1" t="s">
        <v>821</v>
      </c>
      <c r="L249" s="1" t="s">
        <v>854</v>
      </c>
      <c r="M249" s="1">
        <v>6</v>
      </c>
      <c r="N249" s="1">
        <v>3368.89</v>
      </c>
      <c r="O249" s="1">
        <v>20213.34</v>
      </c>
      <c r="P249" s="1">
        <v>0.1</v>
      </c>
      <c r="Q249" s="1">
        <v>18192.009999999998</v>
      </c>
      <c r="R249" s="1">
        <v>11676.61</v>
      </c>
      <c r="S249" s="1">
        <f t="shared" si="7"/>
        <v>6515.3999999999978</v>
      </c>
      <c r="T249" s="1" t="s">
        <v>875</v>
      </c>
      <c r="U249" s="1" t="s">
        <v>880</v>
      </c>
      <c r="V249" s="5" t="s">
        <v>884</v>
      </c>
    </row>
    <row r="250" spans="1:22" x14ac:dyDescent="0.3">
      <c r="A250" s="4" t="s">
        <v>277</v>
      </c>
      <c r="B250" s="3">
        <v>45561</v>
      </c>
      <c r="C250" s="1" t="str">
        <f t="shared" si="6"/>
        <v>September</v>
      </c>
      <c r="D250" s="1" t="s">
        <v>406</v>
      </c>
      <c r="E250" s="1" t="s">
        <v>760</v>
      </c>
      <c r="F250" s="1" t="s">
        <v>802</v>
      </c>
      <c r="G250" s="1" t="s">
        <v>807</v>
      </c>
      <c r="H250" s="1" t="s">
        <v>812</v>
      </c>
      <c r="I250" s="1" t="s">
        <v>809</v>
      </c>
      <c r="J250" s="1" t="s">
        <v>818</v>
      </c>
      <c r="K250" s="1" t="s">
        <v>821</v>
      </c>
      <c r="L250" s="1" t="s">
        <v>853</v>
      </c>
      <c r="M250" s="1">
        <v>1</v>
      </c>
      <c r="N250" s="1">
        <v>3045.82</v>
      </c>
      <c r="O250" s="1">
        <v>3045.82</v>
      </c>
      <c r="P250" s="1">
        <v>0</v>
      </c>
      <c r="Q250" s="1">
        <v>3045.82</v>
      </c>
      <c r="R250" s="1">
        <v>2547.0700000000002</v>
      </c>
      <c r="S250" s="1">
        <f t="shared" si="7"/>
        <v>498.75</v>
      </c>
      <c r="T250" s="1" t="s">
        <v>873</v>
      </c>
      <c r="U250" s="1" t="s">
        <v>880</v>
      </c>
      <c r="V250" s="5" t="s">
        <v>884</v>
      </c>
    </row>
    <row r="251" spans="1:22" x14ac:dyDescent="0.3">
      <c r="A251" s="4" t="s">
        <v>278</v>
      </c>
      <c r="B251" s="3">
        <v>45505</v>
      </c>
      <c r="C251" s="1" t="str">
        <f t="shared" si="6"/>
        <v>August</v>
      </c>
      <c r="D251" s="1" t="s">
        <v>480</v>
      </c>
      <c r="E251" s="1" t="s">
        <v>761</v>
      </c>
      <c r="F251" s="1" t="s">
        <v>801</v>
      </c>
      <c r="G251" s="1" t="s">
        <v>807</v>
      </c>
      <c r="H251" s="1" t="s">
        <v>811</v>
      </c>
      <c r="I251" s="1" t="s">
        <v>814</v>
      </c>
      <c r="J251" s="1" t="s">
        <v>818</v>
      </c>
      <c r="K251" s="1" t="s">
        <v>820</v>
      </c>
      <c r="L251" s="1" t="s">
        <v>848</v>
      </c>
      <c r="M251" s="1">
        <v>9</v>
      </c>
      <c r="N251" s="1">
        <v>2334.4499999999998</v>
      </c>
      <c r="O251" s="1">
        <v>21010.05</v>
      </c>
      <c r="P251" s="1">
        <v>0.15</v>
      </c>
      <c r="Q251" s="1">
        <v>17858.54</v>
      </c>
      <c r="R251" s="1">
        <v>11904.25</v>
      </c>
      <c r="S251" s="1">
        <f t="shared" si="7"/>
        <v>5954.2900000000009</v>
      </c>
      <c r="T251" s="1" t="s">
        <v>873</v>
      </c>
      <c r="U251" s="1" t="s">
        <v>878</v>
      </c>
      <c r="V251" s="5" t="s">
        <v>884</v>
      </c>
    </row>
    <row r="252" spans="1:22" x14ac:dyDescent="0.3">
      <c r="A252" s="4" t="s">
        <v>279</v>
      </c>
      <c r="B252" s="3">
        <v>45301</v>
      </c>
      <c r="C252" s="1" t="str">
        <f t="shared" si="6"/>
        <v>January</v>
      </c>
      <c r="D252" s="1" t="s">
        <v>496</v>
      </c>
      <c r="E252" s="1" t="s">
        <v>762</v>
      </c>
      <c r="F252" s="1" t="s">
        <v>803</v>
      </c>
      <c r="G252" s="1" t="s">
        <v>805</v>
      </c>
      <c r="H252" s="1" t="s">
        <v>809</v>
      </c>
      <c r="I252" s="1" t="s">
        <v>815</v>
      </c>
      <c r="J252" s="1" t="s">
        <v>819</v>
      </c>
      <c r="K252" s="1" t="s">
        <v>820</v>
      </c>
      <c r="L252" s="1" t="s">
        <v>851</v>
      </c>
      <c r="M252" s="1">
        <v>11</v>
      </c>
      <c r="N252" s="1">
        <v>769.07</v>
      </c>
      <c r="O252" s="1">
        <v>8459.77</v>
      </c>
      <c r="P252" s="1">
        <v>0.15</v>
      </c>
      <c r="Q252" s="1">
        <v>7190.8</v>
      </c>
      <c r="R252" s="1">
        <v>5119.37</v>
      </c>
      <c r="S252" s="1">
        <f t="shared" si="7"/>
        <v>2071.4300000000003</v>
      </c>
      <c r="T252" s="1" t="s">
        <v>874</v>
      </c>
      <c r="U252" s="1" t="s">
        <v>880</v>
      </c>
      <c r="V252" s="5" t="s">
        <v>882</v>
      </c>
    </row>
    <row r="253" spans="1:22" x14ac:dyDescent="0.3">
      <c r="A253" s="4" t="s">
        <v>280</v>
      </c>
      <c r="B253" s="3">
        <v>45592</v>
      </c>
      <c r="C253" s="1" t="str">
        <f t="shared" si="6"/>
        <v>October</v>
      </c>
      <c r="D253" s="1" t="s">
        <v>497</v>
      </c>
      <c r="E253" s="1" t="s">
        <v>763</v>
      </c>
      <c r="F253" s="1" t="s">
        <v>802</v>
      </c>
      <c r="G253" s="1" t="s">
        <v>806</v>
      </c>
      <c r="H253" s="1" t="s">
        <v>812</v>
      </c>
      <c r="I253" s="1" t="s">
        <v>814</v>
      </c>
      <c r="J253" s="1" t="s">
        <v>817</v>
      </c>
      <c r="K253" s="1" t="s">
        <v>822</v>
      </c>
      <c r="L253" s="1" t="s">
        <v>846</v>
      </c>
      <c r="M253" s="1">
        <v>9</v>
      </c>
      <c r="N253" s="1">
        <v>544.67999999999995</v>
      </c>
      <c r="O253" s="1">
        <v>4902.12</v>
      </c>
      <c r="P253" s="1">
        <v>0.15</v>
      </c>
      <c r="Q253" s="1">
        <v>4166.8</v>
      </c>
      <c r="R253" s="1">
        <v>2680.9</v>
      </c>
      <c r="S253" s="1">
        <f t="shared" si="7"/>
        <v>1485.9</v>
      </c>
      <c r="T253" s="1" t="s">
        <v>873</v>
      </c>
      <c r="U253" s="1" t="s">
        <v>877</v>
      </c>
      <c r="V253" s="5" t="s">
        <v>883</v>
      </c>
    </row>
    <row r="254" spans="1:22" x14ac:dyDescent="0.3">
      <c r="A254" s="4" t="s">
        <v>281</v>
      </c>
      <c r="B254" s="3">
        <v>45619</v>
      </c>
      <c r="C254" s="1" t="str">
        <f t="shared" si="6"/>
        <v>November</v>
      </c>
      <c r="D254" s="1" t="s">
        <v>498</v>
      </c>
      <c r="E254" s="1" t="s">
        <v>764</v>
      </c>
      <c r="F254" s="1" t="s">
        <v>801</v>
      </c>
      <c r="G254" s="1" t="s">
        <v>806</v>
      </c>
      <c r="H254" s="1" t="s">
        <v>808</v>
      </c>
      <c r="I254" s="1" t="s">
        <v>816</v>
      </c>
      <c r="J254" s="1" t="s">
        <v>817</v>
      </c>
      <c r="K254" s="1" t="s">
        <v>821</v>
      </c>
      <c r="L254" s="1" t="s">
        <v>836</v>
      </c>
      <c r="M254" s="1">
        <v>8</v>
      </c>
      <c r="N254" s="1">
        <v>3385.37</v>
      </c>
      <c r="O254" s="1">
        <v>27082.959999999999</v>
      </c>
      <c r="P254" s="1">
        <v>0.1</v>
      </c>
      <c r="Q254" s="1">
        <v>24374.66</v>
      </c>
      <c r="R254" s="1">
        <v>18834.61</v>
      </c>
      <c r="S254" s="1">
        <f t="shared" si="7"/>
        <v>5540.0499999999993</v>
      </c>
      <c r="T254" s="1" t="s">
        <v>875</v>
      </c>
      <c r="U254" s="1" t="s">
        <v>880</v>
      </c>
      <c r="V254" s="5" t="s">
        <v>883</v>
      </c>
    </row>
    <row r="255" spans="1:22" x14ac:dyDescent="0.3">
      <c r="A255" s="4" t="s">
        <v>282</v>
      </c>
      <c r="B255" s="3">
        <v>45323</v>
      </c>
      <c r="C255" s="1" t="str">
        <f t="shared" si="6"/>
        <v>February</v>
      </c>
      <c r="D255" s="1" t="s">
        <v>414</v>
      </c>
      <c r="E255" s="1" t="s">
        <v>765</v>
      </c>
      <c r="F255" s="1" t="s">
        <v>802</v>
      </c>
      <c r="G255" s="1" t="s">
        <v>807</v>
      </c>
      <c r="H255" s="1" t="s">
        <v>811</v>
      </c>
      <c r="I255" s="1" t="s">
        <v>815</v>
      </c>
      <c r="J255" s="1" t="s">
        <v>818</v>
      </c>
      <c r="K255" s="1" t="s">
        <v>820</v>
      </c>
      <c r="L255" s="1" t="s">
        <v>849</v>
      </c>
      <c r="M255" s="1">
        <v>5</v>
      </c>
      <c r="N255" s="1">
        <v>2688.87</v>
      </c>
      <c r="O255" s="1">
        <v>13444.35</v>
      </c>
      <c r="P255" s="1">
        <v>0.05</v>
      </c>
      <c r="Q255" s="1">
        <v>12772.13</v>
      </c>
      <c r="R255" s="1">
        <v>9839.0400000000009</v>
      </c>
      <c r="S255" s="1">
        <f t="shared" si="7"/>
        <v>2933.0899999999983</v>
      </c>
      <c r="T255" s="1" t="s">
        <v>874</v>
      </c>
      <c r="U255" s="1" t="s">
        <v>878</v>
      </c>
      <c r="V255" s="5" t="s">
        <v>882</v>
      </c>
    </row>
    <row r="256" spans="1:22" x14ac:dyDescent="0.3">
      <c r="A256" s="4" t="s">
        <v>283</v>
      </c>
      <c r="B256" s="3">
        <v>45609</v>
      </c>
      <c r="C256" s="1" t="str">
        <f t="shared" si="6"/>
        <v>November</v>
      </c>
      <c r="D256" s="1" t="s">
        <v>473</v>
      </c>
      <c r="E256" s="1" t="s">
        <v>766</v>
      </c>
      <c r="F256" s="1" t="s">
        <v>801</v>
      </c>
      <c r="G256" s="1" t="s">
        <v>805</v>
      </c>
      <c r="H256" s="1" t="s">
        <v>812</v>
      </c>
      <c r="I256" s="1" t="s">
        <v>809</v>
      </c>
      <c r="J256" s="1" t="s">
        <v>817</v>
      </c>
      <c r="K256" s="1" t="s">
        <v>821</v>
      </c>
      <c r="L256" s="1" t="s">
        <v>871</v>
      </c>
      <c r="M256" s="1">
        <v>8</v>
      </c>
      <c r="N256" s="1">
        <v>1649.54</v>
      </c>
      <c r="O256" s="1">
        <v>13196.32</v>
      </c>
      <c r="P256" s="1">
        <v>0.1</v>
      </c>
      <c r="Q256" s="1">
        <v>11876.69</v>
      </c>
      <c r="R256" s="1">
        <v>8200.24</v>
      </c>
      <c r="S256" s="1">
        <f t="shared" si="7"/>
        <v>3676.4500000000007</v>
      </c>
      <c r="T256" s="1" t="s">
        <v>873</v>
      </c>
      <c r="U256" s="1" t="s">
        <v>880</v>
      </c>
      <c r="V256" s="5" t="s">
        <v>884</v>
      </c>
    </row>
    <row r="257" spans="1:22" x14ac:dyDescent="0.3">
      <c r="A257" s="4" t="s">
        <v>284</v>
      </c>
      <c r="B257" s="3">
        <v>45314</v>
      </c>
      <c r="C257" s="1" t="str">
        <f t="shared" si="6"/>
        <v>January</v>
      </c>
      <c r="D257" s="1" t="s">
        <v>455</v>
      </c>
      <c r="E257" s="1" t="s">
        <v>767</v>
      </c>
      <c r="F257" s="1" t="s">
        <v>803</v>
      </c>
      <c r="G257" s="1" t="s">
        <v>807</v>
      </c>
      <c r="H257" s="1" t="s">
        <v>811</v>
      </c>
      <c r="I257" s="1" t="s">
        <v>815</v>
      </c>
      <c r="J257" s="1" t="s">
        <v>818</v>
      </c>
      <c r="K257" s="1" t="s">
        <v>822</v>
      </c>
      <c r="L257" s="1" t="s">
        <v>840</v>
      </c>
      <c r="M257" s="1">
        <v>5</v>
      </c>
      <c r="N257" s="1">
        <v>2746.94</v>
      </c>
      <c r="O257" s="1">
        <v>13734.7</v>
      </c>
      <c r="P257" s="1">
        <v>0.15</v>
      </c>
      <c r="Q257" s="1">
        <v>11674.5</v>
      </c>
      <c r="R257" s="1">
        <v>8934.9599999999991</v>
      </c>
      <c r="S257" s="1">
        <f t="shared" si="7"/>
        <v>2739.5400000000009</v>
      </c>
      <c r="T257" s="1" t="s">
        <v>874</v>
      </c>
      <c r="U257" s="1" t="s">
        <v>877</v>
      </c>
      <c r="V257" s="5" t="s">
        <v>884</v>
      </c>
    </row>
    <row r="258" spans="1:22" x14ac:dyDescent="0.3">
      <c r="A258" s="4" t="s">
        <v>285</v>
      </c>
      <c r="B258" s="3">
        <v>45522</v>
      </c>
      <c r="C258" s="1" t="str">
        <f t="shared" ref="C258:C321" si="8">TEXT(B258,"MMMM")</f>
        <v>August</v>
      </c>
      <c r="D258" s="1" t="s">
        <v>359</v>
      </c>
      <c r="E258" s="1" t="s">
        <v>768</v>
      </c>
      <c r="F258" s="1" t="s">
        <v>801</v>
      </c>
      <c r="G258" s="1" t="s">
        <v>806</v>
      </c>
      <c r="H258" s="1" t="s">
        <v>809</v>
      </c>
      <c r="I258" s="1" t="s">
        <v>814</v>
      </c>
      <c r="J258" s="1" t="s">
        <v>817</v>
      </c>
      <c r="K258" s="1" t="s">
        <v>821</v>
      </c>
      <c r="L258" s="1" t="s">
        <v>828</v>
      </c>
      <c r="M258" s="1">
        <v>1</v>
      </c>
      <c r="N258" s="1">
        <v>528.12</v>
      </c>
      <c r="O258" s="1">
        <v>528.12</v>
      </c>
      <c r="P258" s="1">
        <v>0.1</v>
      </c>
      <c r="Q258" s="1">
        <v>475.31</v>
      </c>
      <c r="R258" s="1">
        <v>327.20999999999998</v>
      </c>
      <c r="S258" s="1">
        <f t="shared" ref="S258:S321" si="9">Q258-R258</f>
        <v>148.10000000000002</v>
      </c>
      <c r="T258" s="1" t="s">
        <v>873</v>
      </c>
      <c r="U258" s="1" t="s">
        <v>877</v>
      </c>
      <c r="V258" s="5" t="s">
        <v>884</v>
      </c>
    </row>
    <row r="259" spans="1:22" x14ac:dyDescent="0.3">
      <c r="A259" s="4" t="s">
        <v>286</v>
      </c>
      <c r="B259" s="3">
        <v>45376</v>
      </c>
      <c r="C259" s="1" t="str">
        <f t="shared" si="8"/>
        <v>March</v>
      </c>
      <c r="D259" s="1" t="s">
        <v>499</v>
      </c>
      <c r="E259" s="1" t="s">
        <v>769</v>
      </c>
      <c r="F259" s="1" t="s">
        <v>802</v>
      </c>
      <c r="G259" s="1" t="s">
        <v>807</v>
      </c>
      <c r="H259" s="1" t="s">
        <v>811</v>
      </c>
      <c r="I259" s="1" t="s">
        <v>816</v>
      </c>
      <c r="J259" s="1" t="s">
        <v>819</v>
      </c>
      <c r="K259" s="1" t="s">
        <v>822</v>
      </c>
      <c r="L259" s="1" t="s">
        <v>836</v>
      </c>
      <c r="M259" s="1">
        <v>3</v>
      </c>
      <c r="N259" s="1">
        <v>3398.61</v>
      </c>
      <c r="O259" s="1">
        <v>10195.83</v>
      </c>
      <c r="P259" s="1">
        <v>0</v>
      </c>
      <c r="Q259" s="1">
        <v>10195.83</v>
      </c>
      <c r="R259" s="1">
        <v>8091.95</v>
      </c>
      <c r="S259" s="1">
        <f t="shared" si="9"/>
        <v>2103.88</v>
      </c>
      <c r="T259" s="1" t="s">
        <v>875</v>
      </c>
      <c r="U259" s="1" t="s">
        <v>880</v>
      </c>
      <c r="V259" s="5" t="s">
        <v>883</v>
      </c>
    </row>
    <row r="260" spans="1:22" x14ac:dyDescent="0.3">
      <c r="A260" s="4" t="s">
        <v>287</v>
      </c>
      <c r="B260" s="3">
        <v>45558</v>
      </c>
      <c r="C260" s="1" t="str">
        <f t="shared" si="8"/>
        <v>September</v>
      </c>
      <c r="D260" s="1" t="s">
        <v>406</v>
      </c>
      <c r="E260" s="1" t="s">
        <v>770</v>
      </c>
      <c r="F260" s="1" t="s">
        <v>802</v>
      </c>
      <c r="G260" s="1" t="s">
        <v>804</v>
      </c>
      <c r="H260" s="1" t="s">
        <v>811</v>
      </c>
      <c r="I260" s="1" t="s">
        <v>809</v>
      </c>
      <c r="J260" s="1" t="s">
        <v>818</v>
      </c>
      <c r="K260" s="1" t="s">
        <v>820</v>
      </c>
      <c r="L260" s="1" t="s">
        <v>860</v>
      </c>
      <c r="M260" s="1">
        <v>11</v>
      </c>
      <c r="N260" s="1">
        <v>3274.48</v>
      </c>
      <c r="O260" s="1">
        <v>36019.279999999999</v>
      </c>
      <c r="P260" s="1">
        <v>0.1</v>
      </c>
      <c r="Q260" s="1">
        <v>32417.35</v>
      </c>
      <c r="R260" s="1">
        <v>20532.86</v>
      </c>
      <c r="S260" s="1">
        <f t="shared" si="9"/>
        <v>11884.489999999998</v>
      </c>
      <c r="T260" s="1" t="s">
        <v>875</v>
      </c>
      <c r="U260" s="1" t="s">
        <v>881</v>
      </c>
      <c r="V260" s="5" t="s">
        <v>884</v>
      </c>
    </row>
    <row r="261" spans="1:22" x14ac:dyDescent="0.3">
      <c r="A261" s="4" t="s">
        <v>288</v>
      </c>
      <c r="B261" s="3">
        <v>45498</v>
      </c>
      <c r="C261" s="1" t="str">
        <f t="shared" si="8"/>
        <v>July</v>
      </c>
      <c r="D261" s="1" t="s">
        <v>415</v>
      </c>
      <c r="E261" s="1" t="s">
        <v>771</v>
      </c>
      <c r="F261" s="1" t="s">
        <v>802</v>
      </c>
      <c r="G261" s="1" t="s">
        <v>804</v>
      </c>
      <c r="H261" s="1" t="s">
        <v>812</v>
      </c>
      <c r="I261" s="1" t="s">
        <v>809</v>
      </c>
      <c r="J261" s="1" t="s">
        <v>818</v>
      </c>
      <c r="K261" s="1" t="s">
        <v>821</v>
      </c>
      <c r="L261" s="1" t="s">
        <v>867</v>
      </c>
      <c r="M261" s="1">
        <v>10</v>
      </c>
      <c r="N261" s="1">
        <v>2659.14</v>
      </c>
      <c r="O261" s="1">
        <v>26591.4</v>
      </c>
      <c r="P261" s="1">
        <v>0.05</v>
      </c>
      <c r="Q261" s="1">
        <v>25261.83</v>
      </c>
      <c r="R261" s="1">
        <v>16111.72</v>
      </c>
      <c r="S261" s="1">
        <f t="shared" si="9"/>
        <v>9150.1100000000024</v>
      </c>
      <c r="T261" s="1" t="s">
        <v>874</v>
      </c>
      <c r="U261" s="1" t="s">
        <v>880</v>
      </c>
      <c r="V261" s="5" t="s">
        <v>883</v>
      </c>
    </row>
    <row r="262" spans="1:22" x14ac:dyDescent="0.3">
      <c r="A262" s="4" t="s">
        <v>289</v>
      </c>
      <c r="B262" s="3">
        <v>45488</v>
      </c>
      <c r="C262" s="1" t="str">
        <f t="shared" si="8"/>
        <v>July</v>
      </c>
      <c r="D262" s="1" t="s">
        <v>401</v>
      </c>
      <c r="E262" s="1" t="s">
        <v>772</v>
      </c>
      <c r="F262" s="1" t="s">
        <v>801</v>
      </c>
      <c r="G262" s="1" t="s">
        <v>804</v>
      </c>
      <c r="H262" s="1" t="s">
        <v>812</v>
      </c>
      <c r="I262" s="1" t="s">
        <v>814</v>
      </c>
      <c r="J262" s="1" t="s">
        <v>817</v>
      </c>
      <c r="K262" s="1" t="s">
        <v>822</v>
      </c>
      <c r="L262" s="1" t="s">
        <v>856</v>
      </c>
      <c r="M262" s="1">
        <v>5</v>
      </c>
      <c r="N262" s="1">
        <v>2607.2600000000002</v>
      </c>
      <c r="O262" s="1">
        <v>13036.3</v>
      </c>
      <c r="P262" s="1">
        <v>0.1</v>
      </c>
      <c r="Q262" s="1">
        <v>11732.67</v>
      </c>
      <c r="R262" s="1">
        <v>8822.0300000000007</v>
      </c>
      <c r="S262" s="1">
        <f t="shared" si="9"/>
        <v>2910.6399999999994</v>
      </c>
      <c r="T262" s="1" t="s">
        <v>876</v>
      </c>
      <c r="U262" s="1" t="s">
        <v>877</v>
      </c>
      <c r="V262" s="5" t="s">
        <v>884</v>
      </c>
    </row>
    <row r="263" spans="1:22" x14ac:dyDescent="0.3">
      <c r="A263" s="4" t="s">
        <v>290</v>
      </c>
      <c r="B263" s="3">
        <v>45403</v>
      </c>
      <c r="C263" s="1" t="str">
        <f t="shared" si="8"/>
        <v>April</v>
      </c>
      <c r="D263" s="1" t="s">
        <v>378</v>
      </c>
      <c r="E263" s="1" t="s">
        <v>553</v>
      </c>
      <c r="F263" s="1" t="s">
        <v>803</v>
      </c>
      <c r="G263" s="1" t="s">
        <v>805</v>
      </c>
      <c r="H263" s="1" t="s">
        <v>808</v>
      </c>
      <c r="I263" s="1" t="s">
        <v>814</v>
      </c>
      <c r="J263" s="1" t="s">
        <v>818</v>
      </c>
      <c r="K263" s="1" t="s">
        <v>820</v>
      </c>
      <c r="L263" s="1" t="s">
        <v>847</v>
      </c>
      <c r="M263" s="1">
        <v>8</v>
      </c>
      <c r="N263" s="1">
        <v>2350.65</v>
      </c>
      <c r="O263" s="1">
        <v>18805.2</v>
      </c>
      <c r="P263" s="1">
        <v>0.05</v>
      </c>
      <c r="Q263" s="1">
        <v>17864.939999999999</v>
      </c>
      <c r="R263" s="1">
        <v>12714.8</v>
      </c>
      <c r="S263" s="1">
        <f t="shared" si="9"/>
        <v>5150.1399999999994</v>
      </c>
      <c r="T263" s="1" t="s">
        <v>873</v>
      </c>
      <c r="U263" s="1" t="s">
        <v>877</v>
      </c>
      <c r="V263" s="5" t="s">
        <v>884</v>
      </c>
    </row>
    <row r="264" spans="1:22" x14ac:dyDescent="0.3">
      <c r="A264" s="4" t="s">
        <v>291</v>
      </c>
      <c r="B264" s="3">
        <v>45406</v>
      </c>
      <c r="C264" s="1" t="str">
        <f t="shared" si="8"/>
        <v>April</v>
      </c>
      <c r="D264" s="1" t="s">
        <v>500</v>
      </c>
      <c r="E264" s="1" t="s">
        <v>773</v>
      </c>
      <c r="F264" s="1" t="s">
        <v>803</v>
      </c>
      <c r="G264" s="1" t="s">
        <v>806</v>
      </c>
      <c r="H264" s="1" t="s">
        <v>812</v>
      </c>
      <c r="I264" s="1" t="s">
        <v>814</v>
      </c>
      <c r="J264" s="1" t="s">
        <v>818</v>
      </c>
      <c r="K264" s="1" t="s">
        <v>821</v>
      </c>
      <c r="L264" s="1" t="s">
        <v>856</v>
      </c>
      <c r="M264" s="1">
        <v>11</v>
      </c>
      <c r="N264" s="1">
        <v>3302.44</v>
      </c>
      <c r="O264" s="1">
        <v>36326.839999999997</v>
      </c>
      <c r="P264" s="1">
        <v>0.1</v>
      </c>
      <c r="Q264" s="1">
        <v>32694.16</v>
      </c>
      <c r="R264" s="1">
        <v>23954.13</v>
      </c>
      <c r="S264" s="1">
        <f t="shared" si="9"/>
        <v>8740.0299999999988</v>
      </c>
      <c r="T264" s="1" t="s">
        <v>875</v>
      </c>
      <c r="U264" s="1" t="s">
        <v>880</v>
      </c>
      <c r="V264" s="5" t="s">
        <v>882</v>
      </c>
    </row>
    <row r="265" spans="1:22" x14ac:dyDescent="0.3">
      <c r="A265" s="4" t="s">
        <v>293</v>
      </c>
      <c r="B265" s="3">
        <v>45460</v>
      </c>
      <c r="C265" s="1" t="str">
        <f t="shared" si="8"/>
        <v>June</v>
      </c>
      <c r="D265" s="1" t="s">
        <v>407</v>
      </c>
      <c r="E265" s="1" t="s">
        <v>775</v>
      </c>
      <c r="F265" s="1" t="s">
        <v>801</v>
      </c>
      <c r="G265" s="1" t="s">
        <v>805</v>
      </c>
      <c r="H265" s="1" t="s">
        <v>810</v>
      </c>
      <c r="I265" s="1" t="s">
        <v>815</v>
      </c>
      <c r="J265" s="1" t="s">
        <v>818</v>
      </c>
      <c r="K265" s="1" t="s">
        <v>820</v>
      </c>
      <c r="L265" s="1" t="s">
        <v>866</v>
      </c>
      <c r="M265" s="1">
        <v>5</v>
      </c>
      <c r="N265" s="1">
        <v>621.28</v>
      </c>
      <c r="O265" s="1">
        <v>3106.4</v>
      </c>
      <c r="P265" s="1">
        <v>0.15</v>
      </c>
      <c r="Q265" s="1">
        <v>2640.44</v>
      </c>
      <c r="R265" s="1">
        <v>1964.23</v>
      </c>
      <c r="S265" s="1">
        <f t="shared" si="9"/>
        <v>676.21</v>
      </c>
      <c r="T265" s="1" t="s">
        <v>873</v>
      </c>
      <c r="U265" s="1" t="s">
        <v>880</v>
      </c>
      <c r="V265" s="5" t="s">
        <v>884</v>
      </c>
    </row>
    <row r="266" spans="1:22" x14ac:dyDescent="0.3">
      <c r="A266" s="4" t="s">
        <v>294</v>
      </c>
      <c r="B266" s="3">
        <v>45391</v>
      </c>
      <c r="C266" s="1" t="str">
        <f t="shared" si="8"/>
        <v>April</v>
      </c>
      <c r="D266" s="1" t="s">
        <v>501</v>
      </c>
      <c r="E266" s="1" t="s">
        <v>776</v>
      </c>
      <c r="F266" s="1" t="s">
        <v>802</v>
      </c>
      <c r="G266" s="1" t="s">
        <v>806</v>
      </c>
      <c r="H266" s="1" t="s">
        <v>812</v>
      </c>
      <c r="I266" s="1" t="s">
        <v>813</v>
      </c>
      <c r="J266" s="1" t="s">
        <v>818</v>
      </c>
      <c r="K266" s="1" t="s">
        <v>821</v>
      </c>
      <c r="L266" s="1" t="s">
        <v>839</v>
      </c>
      <c r="M266" s="1">
        <v>12</v>
      </c>
      <c r="N266" s="1">
        <v>3181.98</v>
      </c>
      <c r="O266" s="1">
        <v>38183.760000000002</v>
      </c>
      <c r="P266" s="1">
        <v>0</v>
      </c>
      <c r="Q266" s="1">
        <v>38183.760000000002</v>
      </c>
      <c r="R266" s="1">
        <v>27097.24</v>
      </c>
      <c r="S266" s="1">
        <f t="shared" si="9"/>
        <v>11086.52</v>
      </c>
      <c r="T266" s="1" t="s">
        <v>876</v>
      </c>
      <c r="U266" s="1" t="s">
        <v>881</v>
      </c>
      <c r="V266" s="5" t="s">
        <v>883</v>
      </c>
    </row>
    <row r="267" spans="1:22" x14ac:dyDescent="0.3">
      <c r="A267" s="4" t="s">
        <v>296</v>
      </c>
      <c r="B267" s="3">
        <v>45381</v>
      </c>
      <c r="C267" s="1" t="str">
        <f t="shared" si="8"/>
        <v>March</v>
      </c>
      <c r="D267" s="1" t="s">
        <v>502</v>
      </c>
      <c r="E267" s="1" t="s">
        <v>778</v>
      </c>
      <c r="F267" s="1" t="s">
        <v>803</v>
      </c>
      <c r="G267" s="1" t="s">
        <v>807</v>
      </c>
      <c r="H267" s="1" t="s">
        <v>809</v>
      </c>
      <c r="I267" s="1" t="s">
        <v>813</v>
      </c>
      <c r="J267" s="1" t="s">
        <v>819</v>
      </c>
      <c r="K267" s="1" t="s">
        <v>822</v>
      </c>
      <c r="L267" s="1" t="s">
        <v>826</v>
      </c>
      <c r="M267" s="1">
        <v>6</v>
      </c>
      <c r="N267" s="1">
        <v>1705.16</v>
      </c>
      <c r="O267" s="1">
        <v>10230.959999999999</v>
      </c>
      <c r="P267" s="1">
        <v>0</v>
      </c>
      <c r="Q267" s="1">
        <v>10230.959999999999</v>
      </c>
      <c r="R267" s="1">
        <v>8196.24</v>
      </c>
      <c r="S267" s="1">
        <f t="shared" si="9"/>
        <v>2034.7199999999993</v>
      </c>
      <c r="T267" s="1" t="s">
        <v>876</v>
      </c>
      <c r="U267" s="1" t="s">
        <v>879</v>
      </c>
      <c r="V267" s="5" t="s">
        <v>884</v>
      </c>
    </row>
    <row r="268" spans="1:22" x14ac:dyDescent="0.3">
      <c r="A268" s="4" t="s">
        <v>298</v>
      </c>
      <c r="B268" s="3">
        <v>45515</v>
      </c>
      <c r="C268" s="1" t="str">
        <f t="shared" si="8"/>
        <v>August</v>
      </c>
      <c r="D268" s="1" t="s">
        <v>482</v>
      </c>
      <c r="E268" s="1" t="s">
        <v>780</v>
      </c>
      <c r="F268" s="1" t="s">
        <v>801</v>
      </c>
      <c r="G268" s="1" t="s">
        <v>804</v>
      </c>
      <c r="H268" s="1" t="s">
        <v>809</v>
      </c>
      <c r="I268" s="1" t="s">
        <v>809</v>
      </c>
      <c r="J268" s="1" t="s">
        <v>819</v>
      </c>
      <c r="K268" s="1" t="s">
        <v>820</v>
      </c>
      <c r="L268" s="1" t="s">
        <v>833</v>
      </c>
      <c r="M268" s="1">
        <v>3</v>
      </c>
      <c r="N268" s="1">
        <v>439.91</v>
      </c>
      <c r="O268" s="1">
        <v>1319.73</v>
      </c>
      <c r="P268" s="1">
        <v>0.05</v>
      </c>
      <c r="Q268" s="1">
        <v>1253.74</v>
      </c>
      <c r="R268" s="1">
        <v>980.39</v>
      </c>
      <c r="S268" s="1">
        <f t="shared" si="9"/>
        <v>273.35000000000002</v>
      </c>
      <c r="T268" s="1" t="s">
        <v>876</v>
      </c>
      <c r="U268" s="1" t="s">
        <v>879</v>
      </c>
      <c r="V268" s="5" t="s">
        <v>884</v>
      </c>
    </row>
    <row r="269" spans="1:22" x14ac:dyDescent="0.3">
      <c r="A269" s="4" t="s">
        <v>299</v>
      </c>
      <c r="B269" s="3">
        <v>45611</v>
      </c>
      <c r="C269" s="1" t="str">
        <f t="shared" si="8"/>
        <v>November</v>
      </c>
      <c r="D269" s="1" t="s">
        <v>417</v>
      </c>
      <c r="E269" s="1" t="s">
        <v>781</v>
      </c>
      <c r="F269" s="1" t="s">
        <v>801</v>
      </c>
      <c r="G269" s="1" t="s">
        <v>805</v>
      </c>
      <c r="H269" s="1" t="s">
        <v>809</v>
      </c>
      <c r="I269" s="1" t="s">
        <v>809</v>
      </c>
      <c r="J269" s="1" t="s">
        <v>818</v>
      </c>
      <c r="K269" s="1" t="s">
        <v>820</v>
      </c>
      <c r="L269" s="1" t="s">
        <v>837</v>
      </c>
      <c r="M269" s="1">
        <v>8</v>
      </c>
      <c r="N269" s="1">
        <v>1902.04</v>
      </c>
      <c r="O269" s="1">
        <v>15216.32</v>
      </c>
      <c r="P269" s="1">
        <v>0.05</v>
      </c>
      <c r="Q269" s="1">
        <v>14455.5</v>
      </c>
      <c r="R269" s="1">
        <v>8699.81</v>
      </c>
      <c r="S269" s="1">
        <f t="shared" si="9"/>
        <v>5755.6900000000005</v>
      </c>
      <c r="T269" s="1" t="s">
        <v>873</v>
      </c>
      <c r="U269" s="1" t="s">
        <v>878</v>
      </c>
      <c r="V269" s="5" t="s">
        <v>883</v>
      </c>
    </row>
    <row r="270" spans="1:22" x14ac:dyDescent="0.3">
      <c r="A270" s="4" t="s">
        <v>300</v>
      </c>
      <c r="B270" s="3">
        <v>45591</v>
      </c>
      <c r="C270" s="1" t="str">
        <f t="shared" si="8"/>
        <v>October</v>
      </c>
      <c r="D270" s="1" t="s">
        <v>497</v>
      </c>
      <c r="E270" s="1" t="s">
        <v>782</v>
      </c>
      <c r="F270" s="1" t="s">
        <v>801</v>
      </c>
      <c r="G270" s="1" t="s">
        <v>806</v>
      </c>
      <c r="H270" s="1" t="s">
        <v>811</v>
      </c>
      <c r="I270" s="1" t="s">
        <v>813</v>
      </c>
      <c r="J270" s="1" t="s">
        <v>818</v>
      </c>
      <c r="K270" s="1" t="s">
        <v>821</v>
      </c>
      <c r="L270" s="1" t="s">
        <v>841</v>
      </c>
      <c r="M270" s="1">
        <v>11</v>
      </c>
      <c r="N270" s="1">
        <v>2591.66</v>
      </c>
      <c r="O270" s="1">
        <v>28508.26</v>
      </c>
      <c r="P270" s="1">
        <v>0.15</v>
      </c>
      <c r="Q270" s="1">
        <v>24232.02</v>
      </c>
      <c r="R270" s="1">
        <v>19153.54</v>
      </c>
      <c r="S270" s="1">
        <f t="shared" si="9"/>
        <v>5078.4799999999996</v>
      </c>
      <c r="T270" s="1" t="s">
        <v>873</v>
      </c>
      <c r="U270" s="1" t="s">
        <v>881</v>
      </c>
      <c r="V270" s="5" t="s">
        <v>882</v>
      </c>
    </row>
    <row r="271" spans="1:22" x14ac:dyDescent="0.3">
      <c r="A271" s="4" t="s">
        <v>301</v>
      </c>
      <c r="B271" s="3">
        <v>45352</v>
      </c>
      <c r="C271" s="1" t="str">
        <f t="shared" si="8"/>
        <v>March</v>
      </c>
      <c r="D271" s="1" t="s">
        <v>503</v>
      </c>
      <c r="E271" s="1" t="s">
        <v>783</v>
      </c>
      <c r="F271" s="1" t="s">
        <v>803</v>
      </c>
      <c r="G271" s="1" t="s">
        <v>805</v>
      </c>
      <c r="H271" s="1" t="s">
        <v>808</v>
      </c>
      <c r="I271" s="1" t="s">
        <v>813</v>
      </c>
      <c r="J271" s="1" t="s">
        <v>818</v>
      </c>
      <c r="K271" s="1" t="s">
        <v>821</v>
      </c>
      <c r="L271" s="1" t="s">
        <v>855</v>
      </c>
      <c r="M271" s="1">
        <v>10</v>
      </c>
      <c r="N271" s="1">
        <v>1583.25</v>
      </c>
      <c r="O271" s="1">
        <v>15832.5</v>
      </c>
      <c r="P271" s="1">
        <v>0.05</v>
      </c>
      <c r="Q271" s="1">
        <v>15040.88</v>
      </c>
      <c r="R271" s="1">
        <v>12032.62</v>
      </c>
      <c r="S271" s="1">
        <f t="shared" si="9"/>
        <v>3008.2599999999984</v>
      </c>
      <c r="T271" s="1" t="s">
        <v>876</v>
      </c>
      <c r="U271" s="1" t="s">
        <v>880</v>
      </c>
      <c r="V271" s="5" t="s">
        <v>882</v>
      </c>
    </row>
    <row r="272" spans="1:22" x14ac:dyDescent="0.3">
      <c r="A272" s="4" t="s">
        <v>302</v>
      </c>
      <c r="B272" s="3">
        <v>45394</v>
      </c>
      <c r="C272" s="1" t="str">
        <f t="shared" si="8"/>
        <v>April</v>
      </c>
      <c r="D272" s="1" t="s">
        <v>412</v>
      </c>
      <c r="E272" s="1" t="s">
        <v>784</v>
      </c>
      <c r="F272" s="1" t="s">
        <v>802</v>
      </c>
      <c r="G272" s="1" t="s">
        <v>804</v>
      </c>
      <c r="H272" s="1" t="s">
        <v>808</v>
      </c>
      <c r="I272" s="1" t="s">
        <v>814</v>
      </c>
      <c r="J272" s="1" t="s">
        <v>819</v>
      </c>
      <c r="K272" s="1" t="s">
        <v>822</v>
      </c>
      <c r="L272" s="1" t="s">
        <v>847</v>
      </c>
      <c r="M272" s="1">
        <v>1</v>
      </c>
      <c r="N272" s="1">
        <v>518</v>
      </c>
      <c r="O272" s="1">
        <v>518</v>
      </c>
      <c r="P272" s="1">
        <v>0</v>
      </c>
      <c r="Q272" s="1">
        <v>518</v>
      </c>
      <c r="R272" s="1">
        <v>362.86</v>
      </c>
      <c r="S272" s="1">
        <f t="shared" si="9"/>
        <v>155.13999999999999</v>
      </c>
      <c r="T272" s="1" t="s">
        <v>875</v>
      </c>
      <c r="U272" s="1" t="s">
        <v>878</v>
      </c>
      <c r="V272" s="5" t="s">
        <v>882</v>
      </c>
    </row>
    <row r="273" spans="1:22" x14ac:dyDescent="0.3">
      <c r="A273" s="4" t="s">
        <v>303</v>
      </c>
      <c r="B273" s="3">
        <v>45537</v>
      </c>
      <c r="C273" s="1" t="str">
        <f t="shared" si="8"/>
        <v>September</v>
      </c>
      <c r="D273" s="1" t="s">
        <v>355</v>
      </c>
      <c r="E273" s="1" t="s">
        <v>785</v>
      </c>
      <c r="F273" s="1" t="s">
        <v>803</v>
      </c>
      <c r="G273" s="1" t="s">
        <v>807</v>
      </c>
      <c r="H273" s="1" t="s">
        <v>809</v>
      </c>
      <c r="I273" s="1" t="s">
        <v>814</v>
      </c>
      <c r="J273" s="1" t="s">
        <v>819</v>
      </c>
      <c r="K273" s="1" t="s">
        <v>820</v>
      </c>
      <c r="L273" s="1" t="s">
        <v>863</v>
      </c>
      <c r="M273" s="1">
        <v>2</v>
      </c>
      <c r="N273" s="1">
        <v>2754.49</v>
      </c>
      <c r="O273" s="1">
        <v>5508.98</v>
      </c>
      <c r="P273" s="1">
        <v>0</v>
      </c>
      <c r="Q273" s="1">
        <v>5508.98</v>
      </c>
      <c r="R273" s="1">
        <v>3562.85</v>
      </c>
      <c r="S273" s="1">
        <f t="shared" si="9"/>
        <v>1946.1299999999997</v>
      </c>
      <c r="T273" s="1" t="s">
        <v>876</v>
      </c>
      <c r="U273" s="1" t="s">
        <v>881</v>
      </c>
      <c r="V273" s="5" t="s">
        <v>883</v>
      </c>
    </row>
    <row r="274" spans="1:22" x14ac:dyDescent="0.3">
      <c r="A274" s="4" t="s">
        <v>304</v>
      </c>
      <c r="B274" s="3">
        <v>45335</v>
      </c>
      <c r="C274" s="1" t="str">
        <f t="shared" si="8"/>
        <v>February</v>
      </c>
      <c r="D274" s="1" t="s">
        <v>380</v>
      </c>
      <c r="E274" s="1" t="s">
        <v>786</v>
      </c>
      <c r="F274" s="1" t="s">
        <v>802</v>
      </c>
      <c r="G274" s="1" t="s">
        <v>807</v>
      </c>
      <c r="H274" s="1" t="s">
        <v>811</v>
      </c>
      <c r="I274" s="1" t="s">
        <v>816</v>
      </c>
      <c r="J274" s="1" t="s">
        <v>818</v>
      </c>
      <c r="K274" s="1" t="s">
        <v>820</v>
      </c>
      <c r="L274" s="1" t="s">
        <v>846</v>
      </c>
      <c r="M274" s="1">
        <v>9</v>
      </c>
      <c r="N274" s="1">
        <v>2321.52</v>
      </c>
      <c r="O274" s="1">
        <v>20893.68</v>
      </c>
      <c r="P274" s="1">
        <v>0</v>
      </c>
      <c r="Q274" s="1">
        <v>20893.68</v>
      </c>
      <c r="R274" s="1">
        <v>16223.58</v>
      </c>
      <c r="S274" s="1">
        <f t="shared" si="9"/>
        <v>4670.1000000000004</v>
      </c>
      <c r="T274" s="1" t="s">
        <v>875</v>
      </c>
      <c r="U274" s="1" t="s">
        <v>877</v>
      </c>
      <c r="V274" s="5" t="s">
        <v>882</v>
      </c>
    </row>
    <row r="275" spans="1:22" x14ac:dyDescent="0.3">
      <c r="A275" s="4" t="s">
        <v>305</v>
      </c>
      <c r="B275" s="3">
        <v>45551</v>
      </c>
      <c r="C275" s="1" t="str">
        <f t="shared" si="8"/>
        <v>September</v>
      </c>
      <c r="D275" s="1" t="s">
        <v>390</v>
      </c>
      <c r="E275" s="1" t="s">
        <v>787</v>
      </c>
      <c r="F275" s="1" t="s">
        <v>802</v>
      </c>
      <c r="G275" s="1" t="s">
        <v>804</v>
      </c>
      <c r="H275" s="1" t="s">
        <v>808</v>
      </c>
      <c r="I275" s="1" t="s">
        <v>814</v>
      </c>
      <c r="J275" s="1" t="s">
        <v>819</v>
      </c>
      <c r="K275" s="1" t="s">
        <v>821</v>
      </c>
      <c r="L275" s="1" t="s">
        <v>834</v>
      </c>
      <c r="M275" s="1">
        <v>8</v>
      </c>
      <c r="N275" s="1">
        <v>1047.1500000000001</v>
      </c>
      <c r="O275" s="1">
        <v>8377.2000000000007</v>
      </c>
      <c r="P275" s="1">
        <v>0.05</v>
      </c>
      <c r="Q275" s="1">
        <v>7958.34</v>
      </c>
      <c r="R275" s="1">
        <v>6111.47</v>
      </c>
      <c r="S275" s="1">
        <f t="shared" si="9"/>
        <v>1846.87</v>
      </c>
      <c r="T275" s="1" t="s">
        <v>876</v>
      </c>
      <c r="U275" s="1" t="s">
        <v>880</v>
      </c>
      <c r="V275" s="5" t="s">
        <v>882</v>
      </c>
    </row>
    <row r="276" spans="1:22" x14ac:dyDescent="0.3">
      <c r="A276" s="4" t="s">
        <v>306</v>
      </c>
      <c r="B276" s="3">
        <v>45337</v>
      </c>
      <c r="C276" s="1" t="str">
        <f t="shared" si="8"/>
        <v>February</v>
      </c>
      <c r="D276" s="1" t="s">
        <v>380</v>
      </c>
      <c r="E276" s="1" t="s">
        <v>788</v>
      </c>
      <c r="F276" s="1" t="s">
        <v>803</v>
      </c>
      <c r="G276" s="1" t="s">
        <v>804</v>
      </c>
      <c r="H276" s="1" t="s">
        <v>809</v>
      </c>
      <c r="I276" s="1" t="s">
        <v>809</v>
      </c>
      <c r="J276" s="1" t="s">
        <v>817</v>
      </c>
      <c r="K276" s="1" t="s">
        <v>820</v>
      </c>
      <c r="L276" s="1" t="s">
        <v>828</v>
      </c>
      <c r="M276" s="1">
        <v>5</v>
      </c>
      <c r="N276" s="1">
        <v>1338.44</v>
      </c>
      <c r="O276" s="1">
        <v>6692.2</v>
      </c>
      <c r="P276" s="1">
        <v>0.1</v>
      </c>
      <c r="Q276" s="1">
        <v>6022.98</v>
      </c>
      <c r="R276" s="1">
        <v>3836.37</v>
      </c>
      <c r="S276" s="1">
        <f t="shared" si="9"/>
        <v>2186.6099999999997</v>
      </c>
      <c r="T276" s="1" t="s">
        <v>875</v>
      </c>
      <c r="U276" s="1" t="s">
        <v>881</v>
      </c>
      <c r="V276" s="5" t="s">
        <v>884</v>
      </c>
    </row>
    <row r="277" spans="1:22" x14ac:dyDescent="0.3">
      <c r="A277" s="4" t="s">
        <v>307</v>
      </c>
      <c r="B277" s="3">
        <v>45525</v>
      </c>
      <c r="C277" s="1" t="str">
        <f t="shared" si="8"/>
        <v>August</v>
      </c>
      <c r="D277" s="1" t="s">
        <v>359</v>
      </c>
      <c r="E277" s="1" t="s">
        <v>789</v>
      </c>
      <c r="F277" s="1" t="s">
        <v>803</v>
      </c>
      <c r="G277" s="1" t="s">
        <v>804</v>
      </c>
      <c r="H277" s="1" t="s">
        <v>809</v>
      </c>
      <c r="I277" s="1" t="s">
        <v>813</v>
      </c>
      <c r="J277" s="1" t="s">
        <v>819</v>
      </c>
      <c r="K277" s="1" t="s">
        <v>820</v>
      </c>
      <c r="L277" s="1" t="s">
        <v>872</v>
      </c>
      <c r="M277" s="1">
        <v>10</v>
      </c>
      <c r="N277" s="1">
        <v>2180.9899999999998</v>
      </c>
      <c r="O277" s="1">
        <v>21809.9</v>
      </c>
      <c r="P277" s="1">
        <v>0.05</v>
      </c>
      <c r="Q277" s="1">
        <v>20719.400000000001</v>
      </c>
      <c r="R277" s="1">
        <v>17178.47</v>
      </c>
      <c r="S277" s="1">
        <f t="shared" si="9"/>
        <v>3540.9300000000003</v>
      </c>
      <c r="T277" s="1" t="s">
        <v>874</v>
      </c>
      <c r="U277" s="1" t="s">
        <v>878</v>
      </c>
      <c r="V277" s="5" t="s">
        <v>884</v>
      </c>
    </row>
    <row r="278" spans="1:22" x14ac:dyDescent="0.3">
      <c r="A278" s="4" t="s">
        <v>308</v>
      </c>
      <c r="B278" s="3">
        <v>45360</v>
      </c>
      <c r="C278" s="1" t="str">
        <f t="shared" si="8"/>
        <v>March</v>
      </c>
      <c r="D278" s="1" t="s">
        <v>381</v>
      </c>
      <c r="E278" s="1" t="s">
        <v>790</v>
      </c>
      <c r="F278" s="1" t="s">
        <v>803</v>
      </c>
      <c r="G278" s="1" t="s">
        <v>805</v>
      </c>
      <c r="H278" s="1" t="s">
        <v>810</v>
      </c>
      <c r="I278" s="1" t="s">
        <v>816</v>
      </c>
      <c r="J278" s="1" t="s">
        <v>818</v>
      </c>
      <c r="K278" s="1" t="s">
        <v>822</v>
      </c>
      <c r="L278" s="1" t="s">
        <v>849</v>
      </c>
      <c r="M278" s="1">
        <v>5</v>
      </c>
      <c r="N278" s="1">
        <v>3023.51</v>
      </c>
      <c r="O278" s="1">
        <v>15117.55</v>
      </c>
      <c r="P278" s="1">
        <v>0</v>
      </c>
      <c r="Q278" s="1">
        <v>15117.55</v>
      </c>
      <c r="R278" s="1">
        <v>10296.620000000001</v>
      </c>
      <c r="S278" s="1">
        <f t="shared" si="9"/>
        <v>4820.9299999999985</v>
      </c>
      <c r="T278" s="1" t="s">
        <v>875</v>
      </c>
      <c r="U278" s="1" t="s">
        <v>877</v>
      </c>
      <c r="V278" s="5" t="s">
        <v>884</v>
      </c>
    </row>
    <row r="279" spans="1:22" x14ac:dyDescent="0.3">
      <c r="A279" s="4" t="s">
        <v>309</v>
      </c>
      <c r="B279" s="3">
        <v>45567</v>
      </c>
      <c r="C279" s="1" t="str">
        <f t="shared" si="8"/>
        <v>October</v>
      </c>
      <c r="D279" s="1" t="s">
        <v>320</v>
      </c>
      <c r="E279" s="1" t="s">
        <v>791</v>
      </c>
      <c r="F279" s="1" t="s">
        <v>803</v>
      </c>
      <c r="G279" s="1" t="s">
        <v>806</v>
      </c>
      <c r="H279" s="1" t="s">
        <v>812</v>
      </c>
      <c r="I279" s="1" t="s">
        <v>809</v>
      </c>
      <c r="J279" s="1" t="s">
        <v>818</v>
      </c>
      <c r="K279" s="1" t="s">
        <v>820</v>
      </c>
      <c r="L279" s="1" t="s">
        <v>834</v>
      </c>
      <c r="M279" s="1">
        <v>6</v>
      </c>
      <c r="N279" s="1">
        <v>1115.42</v>
      </c>
      <c r="O279" s="1">
        <v>6692.52</v>
      </c>
      <c r="P279" s="1">
        <v>0.1</v>
      </c>
      <c r="Q279" s="1">
        <v>6023.27</v>
      </c>
      <c r="R279" s="1">
        <v>5000.67</v>
      </c>
      <c r="S279" s="1">
        <f t="shared" si="9"/>
        <v>1022.6000000000004</v>
      </c>
      <c r="T279" s="1" t="s">
        <v>876</v>
      </c>
      <c r="U279" s="1" t="s">
        <v>879</v>
      </c>
      <c r="V279" s="5" t="s">
        <v>884</v>
      </c>
    </row>
    <row r="280" spans="1:22" x14ac:dyDescent="0.3">
      <c r="A280" s="4" t="s">
        <v>310</v>
      </c>
      <c r="B280" s="3">
        <v>45613</v>
      </c>
      <c r="C280" s="1" t="str">
        <f t="shared" si="8"/>
        <v>November</v>
      </c>
      <c r="D280" s="1" t="s">
        <v>417</v>
      </c>
      <c r="E280" s="1" t="s">
        <v>792</v>
      </c>
      <c r="F280" s="1" t="s">
        <v>803</v>
      </c>
      <c r="G280" s="1" t="s">
        <v>804</v>
      </c>
      <c r="H280" s="1" t="s">
        <v>808</v>
      </c>
      <c r="I280" s="1" t="s">
        <v>813</v>
      </c>
      <c r="J280" s="1" t="s">
        <v>819</v>
      </c>
      <c r="K280" s="1" t="s">
        <v>821</v>
      </c>
      <c r="L280" s="1" t="s">
        <v>845</v>
      </c>
      <c r="M280" s="1">
        <v>6</v>
      </c>
      <c r="N280" s="1">
        <v>599.19000000000005</v>
      </c>
      <c r="O280" s="1">
        <v>3595.14</v>
      </c>
      <c r="P280" s="1">
        <v>0</v>
      </c>
      <c r="Q280" s="1">
        <v>3595.14</v>
      </c>
      <c r="R280" s="1">
        <v>3024.99</v>
      </c>
      <c r="S280" s="1">
        <f t="shared" si="9"/>
        <v>570.15000000000009</v>
      </c>
      <c r="T280" s="1" t="s">
        <v>876</v>
      </c>
      <c r="U280" s="1" t="s">
        <v>880</v>
      </c>
      <c r="V280" s="5" t="s">
        <v>882</v>
      </c>
    </row>
    <row r="281" spans="1:22" x14ac:dyDescent="0.3">
      <c r="A281" s="4" t="s">
        <v>311</v>
      </c>
      <c r="B281" s="3">
        <v>45439</v>
      </c>
      <c r="C281" s="1" t="str">
        <f t="shared" si="8"/>
        <v>May</v>
      </c>
      <c r="D281" s="1" t="s">
        <v>504</v>
      </c>
      <c r="E281" s="1" t="s">
        <v>793</v>
      </c>
      <c r="F281" s="1" t="s">
        <v>802</v>
      </c>
      <c r="G281" s="1" t="s">
        <v>805</v>
      </c>
      <c r="H281" s="1" t="s">
        <v>808</v>
      </c>
      <c r="I281" s="1" t="s">
        <v>813</v>
      </c>
      <c r="J281" s="1" t="s">
        <v>818</v>
      </c>
      <c r="K281" s="1" t="s">
        <v>821</v>
      </c>
      <c r="L281" s="1" t="s">
        <v>839</v>
      </c>
      <c r="M281" s="1">
        <v>1</v>
      </c>
      <c r="N281" s="1">
        <v>2614.3200000000002</v>
      </c>
      <c r="O281" s="1">
        <v>2614.3200000000002</v>
      </c>
      <c r="P281" s="1">
        <v>0.15</v>
      </c>
      <c r="Q281" s="1">
        <v>2222.17</v>
      </c>
      <c r="R281" s="1">
        <v>1730.96</v>
      </c>
      <c r="S281" s="1">
        <f t="shared" si="9"/>
        <v>491.21000000000004</v>
      </c>
      <c r="T281" s="1" t="s">
        <v>873</v>
      </c>
      <c r="U281" s="1" t="s">
        <v>880</v>
      </c>
      <c r="V281" s="5" t="s">
        <v>884</v>
      </c>
    </row>
    <row r="282" spans="1:22" x14ac:dyDescent="0.3">
      <c r="A282" s="4" t="s">
        <v>312</v>
      </c>
      <c r="B282" s="3">
        <v>45423</v>
      </c>
      <c r="C282" s="1" t="str">
        <f t="shared" si="8"/>
        <v>May</v>
      </c>
      <c r="D282" s="1" t="s">
        <v>331</v>
      </c>
      <c r="E282" s="1" t="s">
        <v>794</v>
      </c>
      <c r="F282" s="1" t="s">
        <v>802</v>
      </c>
      <c r="G282" s="1" t="s">
        <v>804</v>
      </c>
      <c r="H282" s="1" t="s">
        <v>808</v>
      </c>
      <c r="I282" s="1" t="s">
        <v>809</v>
      </c>
      <c r="J282" s="1" t="s">
        <v>818</v>
      </c>
      <c r="K282" s="1" t="s">
        <v>822</v>
      </c>
      <c r="L282" s="1" t="s">
        <v>852</v>
      </c>
      <c r="M282" s="1">
        <v>2</v>
      </c>
      <c r="N282" s="1">
        <v>2542.56</v>
      </c>
      <c r="O282" s="1">
        <v>5085.12</v>
      </c>
      <c r="P282" s="1">
        <v>0.05</v>
      </c>
      <c r="Q282" s="1">
        <v>4830.8599999999997</v>
      </c>
      <c r="R282" s="1">
        <v>3672.83</v>
      </c>
      <c r="S282" s="1">
        <f t="shared" si="9"/>
        <v>1158.0299999999997</v>
      </c>
      <c r="T282" s="1" t="s">
        <v>876</v>
      </c>
      <c r="U282" s="1" t="s">
        <v>877</v>
      </c>
      <c r="V282" s="5" t="s">
        <v>883</v>
      </c>
    </row>
    <row r="283" spans="1:22" x14ac:dyDescent="0.3">
      <c r="A283" s="4" t="s">
        <v>313</v>
      </c>
      <c r="B283" s="3">
        <v>45326</v>
      </c>
      <c r="C283" s="1" t="str">
        <f t="shared" si="8"/>
        <v>February</v>
      </c>
      <c r="D283" s="1" t="s">
        <v>476</v>
      </c>
      <c r="E283" s="1" t="s">
        <v>795</v>
      </c>
      <c r="F283" s="1" t="s">
        <v>802</v>
      </c>
      <c r="G283" s="1" t="s">
        <v>805</v>
      </c>
      <c r="H283" s="1" t="s">
        <v>808</v>
      </c>
      <c r="I283" s="1" t="s">
        <v>815</v>
      </c>
      <c r="J283" s="1" t="s">
        <v>819</v>
      </c>
      <c r="K283" s="1" t="s">
        <v>820</v>
      </c>
      <c r="L283" s="1" t="s">
        <v>834</v>
      </c>
      <c r="M283" s="1">
        <v>1</v>
      </c>
      <c r="N283" s="1">
        <v>627.69000000000005</v>
      </c>
      <c r="O283" s="1">
        <v>627.69000000000005</v>
      </c>
      <c r="P283" s="1">
        <v>0</v>
      </c>
      <c r="Q283" s="1">
        <v>627.69000000000005</v>
      </c>
      <c r="R283" s="1">
        <v>398.93</v>
      </c>
      <c r="S283" s="1">
        <f t="shared" si="9"/>
        <v>228.76000000000005</v>
      </c>
      <c r="T283" s="1" t="s">
        <v>874</v>
      </c>
      <c r="U283" s="1" t="s">
        <v>879</v>
      </c>
      <c r="V283" s="5" t="s">
        <v>884</v>
      </c>
    </row>
    <row r="284" spans="1:22" x14ac:dyDescent="0.3">
      <c r="A284" s="4" t="s">
        <v>315</v>
      </c>
      <c r="B284" s="3">
        <v>45463</v>
      </c>
      <c r="C284" s="1" t="str">
        <f t="shared" si="8"/>
        <v>June</v>
      </c>
      <c r="D284" s="1" t="s">
        <v>407</v>
      </c>
      <c r="E284" s="1" t="s">
        <v>797</v>
      </c>
      <c r="F284" s="1" t="s">
        <v>803</v>
      </c>
      <c r="G284" s="1" t="s">
        <v>807</v>
      </c>
      <c r="H284" s="1" t="s">
        <v>812</v>
      </c>
      <c r="I284" s="1" t="s">
        <v>813</v>
      </c>
      <c r="J284" s="1" t="s">
        <v>817</v>
      </c>
      <c r="K284" s="1" t="s">
        <v>820</v>
      </c>
      <c r="L284" s="1" t="s">
        <v>841</v>
      </c>
      <c r="M284" s="1">
        <v>10</v>
      </c>
      <c r="N284" s="1">
        <v>430.4</v>
      </c>
      <c r="O284" s="1">
        <v>4304</v>
      </c>
      <c r="P284" s="1">
        <v>0.05</v>
      </c>
      <c r="Q284" s="1">
        <v>4088.8</v>
      </c>
      <c r="R284" s="1">
        <v>2527.54</v>
      </c>
      <c r="S284" s="1">
        <f t="shared" si="9"/>
        <v>1561.2600000000002</v>
      </c>
      <c r="T284" s="1" t="s">
        <v>876</v>
      </c>
      <c r="U284" s="1" t="s">
        <v>877</v>
      </c>
      <c r="V284" s="5" t="s">
        <v>884</v>
      </c>
    </row>
    <row r="285" spans="1:22" x14ac:dyDescent="0.3">
      <c r="A285" s="4" t="s">
        <v>316</v>
      </c>
      <c r="B285" s="3">
        <v>45422</v>
      </c>
      <c r="C285" s="1" t="str">
        <f t="shared" si="8"/>
        <v>May</v>
      </c>
      <c r="D285" s="1" t="s">
        <v>458</v>
      </c>
      <c r="E285" s="1" t="s">
        <v>798</v>
      </c>
      <c r="F285" s="1" t="s">
        <v>803</v>
      </c>
      <c r="G285" s="1" t="s">
        <v>807</v>
      </c>
      <c r="H285" s="1" t="s">
        <v>810</v>
      </c>
      <c r="I285" s="1" t="s">
        <v>815</v>
      </c>
      <c r="J285" s="1" t="s">
        <v>819</v>
      </c>
      <c r="K285" s="1" t="s">
        <v>821</v>
      </c>
      <c r="L285" s="1" t="s">
        <v>843</v>
      </c>
      <c r="M285" s="1">
        <v>2</v>
      </c>
      <c r="N285" s="1">
        <v>2165.8200000000002</v>
      </c>
      <c r="O285" s="1">
        <v>4331.6400000000003</v>
      </c>
      <c r="P285" s="1">
        <v>0.05</v>
      </c>
      <c r="Q285" s="1">
        <v>4115.0600000000004</v>
      </c>
      <c r="R285" s="1">
        <v>2532.88</v>
      </c>
      <c r="S285" s="1">
        <f t="shared" si="9"/>
        <v>1582.1800000000003</v>
      </c>
      <c r="T285" s="1" t="s">
        <v>875</v>
      </c>
      <c r="U285" s="1" t="s">
        <v>880</v>
      </c>
      <c r="V285" s="5" t="s">
        <v>884</v>
      </c>
    </row>
    <row r="286" spans="1:22" x14ac:dyDescent="0.3">
      <c r="A286" s="4" t="s">
        <v>317</v>
      </c>
      <c r="B286" s="3">
        <v>45420</v>
      </c>
      <c r="C286" s="1" t="str">
        <f t="shared" si="8"/>
        <v>May</v>
      </c>
      <c r="D286" s="1" t="s">
        <v>420</v>
      </c>
      <c r="E286" s="1" t="s">
        <v>799</v>
      </c>
      <c r="F286" s="1" t="s">
        <v>801</v>
      </c>
      <c r="G286" s="1" t="s">
        <v>805</v>
      </c>
      <c r="H286" s="1" t="s">
        <v>809</v>
      </c>
      <c r="I286" s="1" t="s">
        <v>813</v>
      </c>
      <c r="J286" s="1" t="s">
        <v>818</v>
      </c>
      <c r="K286" s="1" t="s">
        <v>820</v>
      </c>
      <c r="L286" s="1" t="s">
        <v>830</v>
      </c>
      <c r="M286" s="1">
        <v>6</v>
      </c>
      <c r="N286" s="1">
        <v>915.31</v>
      </c>
      <c r="O286" s="1">
        <v>5491.86</v>
      </c>
      <c r="P286" s="1">
        <v>0</v>
      </c>
      <c r="Q286" s="1">
        <v>5491.86</v>
      </c>
      <c r="R286" s="1">
        <v>4492.8999999999996</v>
      </c>
      <c r="S286" s="1">
        <f t="shared" si="9"/>
        <v>998.96</v>
      </c>
      <c r="T286" s="1" t="s">
        <v>873</v>
      </c>
      <c r="U286" s="1" t="s">
        <v>879</v>
      </c>
      <c r="V286" s="5" t="s">
        <v>882</v>
      </c>
    </row>
    <row r="287" spans="1:22" x14ac:dyDescent="0.3">
      <c r="A287" s="4" t="s">
        <v>318</v>
      </c>
      <c r="B287" s="3">
        <v>45620</v>
      </c>
      <c r="C287" s="1" t="str">
        <f t="shared" si="8"/>
        <v>November</v>
      </c>
      <c r="D287" s="1" t="s">
        <v>505</v>
      </c>
      <c r="E287" s="1" t="s">
        <v>800</v>
      </c>
      <c r="F287" s="1" t="s">
        <v>801</v>
      </c>
      <c r="G287" s="1" t="s">
        <v>806</v>
      </c>
      <c r="H287" s="1" t="s">
        <v>812</v>
      </c>
      <c r="I287" s="1" t="s">
        <v>809</v>
      </c>
      <c r="J287" s="1" t="s">
        <v>819</v>
      </c>
      <c r="K287" s="1" t="s">
        <v>822</v>
      </c>
      <c r="L287" s="1" t="s">
        <v>826</v>
      </c>
      <c r="M287" s="1">
        <v>5</v>
      </c>
      <c r="N287" s="1">
        <v>3095.95</v>
      </c>
      <c r="O287" s="1">
        <v>15479.75</v>
      </c>
      <c r="P287" s="1">
        <v>0</v>
      </c>
      <c r="Q287" s="1">
        <v>15479.75</v>
      </c>
      <c r="R287" s="1">
        <v>9673.32</v>
      </c>
      <c r="S287" s="1">
        <f t="shared" si="9"/>
        <v>5806.43</v>
      </c>
      <c r="T287" s="1" t="s">
        <v>876</v>
      </c>
      <c r="U287" s="1" t="s">
        <v>877</v>
      </c>
      <c r="V287" s="5" t="s">
        <v>884</v>
      </c>
    </row>
    <row r="288" spans="1:22" x14ac:dyDescent="0.3">
      <c r="A288" s="4" t="s">
        <v>316</v>
      </c>
      <c r="B288" s="3">
        <v>45422</v>
      </c>
      <c r="C288" s="1" t="str">
        <f t="shared" si="8"/>
        <v>May</v>
      </c>
      <c r="D288" s="1" t="s">
        <v>458</v>
      </c>
      <c r="E288" s="1" t="s">
        <v>798</v>
      </c>
      <c r="F288" s="1" t="s">
        <v>803</v>
      </c>
      <c r="G288" s="1" t="s">
        <v>807</v>
      </c>
      <c r="H288" s="1" t="s">
        <v>810</v>
      </c>
      <c r="I288" s="1" t="s">
        <v>815</v>
      </c>
      <c r="J288" s="1" t="s">
        <v>819</v>
      </c>
      <c r="K288" s="1" t="s">
        <v>821</v>
      </c>
      <c r="L288" s="1" t="s">
        <v>843</v>
      </c>
      <c r="M288" s="1">
        <v>1.88</v>
      </c>
      <c r="N288" s="1">
        <v>2305.14</v>
      </c>
      <c r="O288" s="1">
        <v>4011.49</v>
      </c>
      <c r="P288" s="1">
        <v>0.05</v>
      </c>
      <c r="Q288" s="1">
        <v>3841.2</v>
      </c>
      <c r="R288" s="1">
        <v>2553.63</v>
      </c>
      <c r="S288" s="1">
        <f t="shared" si="9"/>
        <v>1287.5699999999997</v>
      </c>
      <c r="T288" s="1" t="s">
        <v>875</v>
      </c>
      <c r="U288" s="1" t="s">
        <v>880</v>
      </c>
      <c r="V288" s="5" t="s">
        <v>884</v>
      </c>
    </row>
    <row r="289" spans="1:22" x14ac:dyDescent="0.3">
      <c r="A289" s="4" t="s">
        <v>169</v>
      </c>
      <c r="B289" s="3">
        <v>45336</v>
      </c>
      <c r="C289" s="1" t="str">
        <f t="shared" si="8"/>
        <v>February</v>
      </c>
      <c r="D289" s="1" t="s">
        <v>373</v>
      </c>
      <c r="E289" s="1" t="s">
        <v>654</v>
      </c>
      <c r="F289" s="1" t="s">
        <v>802</v>
      </c>
      <c r="G289" s="1" t="s">
        <v>805</v>
      </c>
      <c r="H289" s="1" t="s">
        <v>810</v>
      </c>
      <c r="I289" s="1" t="s">
        <v>814</v>
      </c>
      <c r="J289" s="1" t="s">
        <v>818</v>
      </c>
      <c r="K289" s="1" t="s">
        <v>822</v>
      </c>
      <c r="L289" s="1" t="s">
        <v>861</v>
      </c>
      <c r="M289" s="1">
        <v>9.1999999999999993</v>
      </c>
      <c r="N289" s="1">
        <v>1408.53</v>
      </c>
      <c r="O289" s="1">
        <v>10656.09</v>
      </c>
      <c r="P289" s="1">
        <v>0.15</v>
      </c>
      <c r="Q289" s="1">
        <v>10833.36</v>
      </c>
      <c r="R289" s="1">
        <v>6939.49</v>
      </c>
      <c r="S289" s="1">
        <f t="shared" si="9"/>
        <v>3893.8700000000008</v>
      </c>
      <c r="T289" s="1" t="s">
        <v>874</v>
      </c>
      <c r="U289" s="1" t="s">
        <v>881</v>
      </c>
      <c r="V289" s="5" t="s">
        <v>884</v>
      </c>
    </row>
    <row r="290" spans="1:22" x14ac:dyDescent="0.3">
      <c r="A290" s="4" t="s">
        <v>176</v>
      </c>
      <c r="B290" s="3">
        <v>45546</v>
      </c>
      <c r="C290" s="1" t="str">
        <f t="shared" si="8"/>
        <v>September</v>
      </c>
      <c r="D290" s="1" t="s">
        <v>475</v>
      </c>
      <c r="E290" s="1" t="s">
        <v>632</v>
      </c>
      <c r="F290" s="1" t="s">
        <v>802</v>
      </c>
      <c r="G290" s="1" t="s">
        <v>805</v>
      </c>
      <c r="H290" s="1" t="s">
        <v>811</v>
      </c>
      <c r="I290" s="1" t="s">
        <v>816</v>
      </c>
      <c r="J290" s="1" t="s">
        <v>819</v>
      </c>
      <c r="K290" s="1" t="s">
        <v>820</v>
      </c>
      <c r="L290" s="1" t="s">
        <v>854</v>
      </c>
      <c r="M290" s="1">
        <v>8.69</v>
      </c>
      <c r="N290" s="1">
        <v>2721.91</v>
      </c>
      <c r="O290" s="1">
        <v>26076.5</v>
      </c>
      <c r="P290" s="1">
        <v>0.16</v>
      </c>
      <c r="Q290" s="1">
        <v>23095.05</v>
      </c>
      <c r="R290" s="1">
        <v>16340.33</v>
      </c>
      <c r="S290" s="1">
        <f t="shared" si="9"/>
        <v>6754.7199999999993</v>
      </c>
      <c r="T290" s="1" t="s">
        <v>874</v>
      </c>
      <c r="U290" s="1" t="s">
        <v>878</v>
      </c>
      <c r="V290" s="5" t="s">
        <v>882</v>
      </c>
    </row>
    <row r="291" spans="1:22" x14ac:dyDescent="0.3">
      <c r="A291" s="4" t="s">
        <v>92</v>
      </c>
      <c r="B291" s="3">
        <v>45617</v>
      </c>
      <c r="C291" s="1" t="str">
        <f t="shared" si="8"/>
        <v>November</v>
      </c>
      <c r="D291" s="1" t="s">
        <v>448</v>
      </c>
      <c r="E291" s="1" t="s">
        <v>577</v>
      </c>
      <c r="F291" s="1" t="s">
        <v>802</v>
      </c>
      <c r="G291" s="1" t="s">
        <v>805</v>
      </c>
      <c r="H291" s="1" t="s">
        <v>808</v>
      </c>
      <c r="I291" s="1" t="s">
        <v>813</v>
      </c>
      <c r="J291" s="1" t="s">
        <v>819</v>
      </c>
      <c r="K291" s="1" t="s">
        <v>820</v>
      </c>
      <c r="L291" s="1" t="s">
        <v>860</v>
      </c>
      <c r="M291" s="1">
        <v>2.12</v>
      </c>
      <c r="N291" s="1">
        <v>2912.82</v>
      </c>
      <c r="O291" s="1">
        <v>5939.23</v>
      </c>
      <c r="P291" s="1">
        <v>0.05</v>
      </c>
      <c r="Q291" s="1">
        <v>5496.63</v>
      </c>
      <c r="R291" s="1">
        <v>4353.38</v>
      </c>
      <c r="S291" s="1">
        <f t="shared" si="9"/>
        <v>1143.25</v>
      </c>
      <c r="T291" s="1" t="s">
        <v>875</v>
      </c>
      <c r="U291" s="1" t="s">
        <v>877</v>
      </c>
      <c r="V291" s="5" t="s">
        <v>884</v>
      </c>
    </row>
    <row r="292" spans="1:22" x14ac:dyDescent="0.3">
      <c r="A292" s="4" t="s">
        <v>124</v>
      </c>
      <c r="B292" s="3">
        <v>45618</v>
      </c>
      <c r="C292" s="1" t="str">
        <f t="shared" si="8"/>
        <v>November</v>
      </c>
      <c r="D292" s="1" t="s">
        <v>426</v>
      </c>
      <c r="E292" s="1" t="s">
        <v>609</v>
      </c>
      <c r="F292" s="1" t="s">
        <v>801</v>
      </c>
      <c r="G292" s="1" t="s">
        <v>805</v>
      </c>
      <c r="H292" s="1" t="s">
        <v>812</v>
      </c>
      <c r="I292" s="1" t="s">
        <v>814</v>
      </c>
      <c r="J292" s="1" t="s">
        <v>819</v>
      </c>
      <c r="K292" s="1" t="s">
        <v>820</v>
      </c>
      <c r="L292" s="1" t="s">
        <v>830</v>
      </c>
      <c r="M292" s="1">
        <v>5.26</v>
      </c>
      <c r="N292" s="1">
        <v>1139.69</v>
      </c>
      <c r="O292" s="1">
        <v>6401.94</v>
      </c>
      <c r="P292" s="1">
        <v>0.16</v>
      </c>
      <c r="Q292" s="1">
        <v>5253.9</v>
      </c>
      <c r="R292" s="1">
        <v>3276.35</v>
      </c>
      <c r="S292" s="1">
        <f t="shared" si="9"/>
        <v>1977.5499999999997</v>
      </c>
      <c r="T292" s="1" t="s">
        <v>874</v>
      </c>
      <c r="U292" s="1" t="s">
        <v>878</v>
      </c>
      <c r="V292" s="5" t="s">
        <v>883</v>
      </c>
    </row>
    <row r="293" spans="1:22" x14ac:dyDescent="0.3">
      <c r="A293" s="4" t="s">
        <v>198</v>
      </c>
      <c r="B293" s="3">
        <v>45499</v>
      </c>
      <c r="C293" s="1" t="str">
        <f t="shared" si="8"/>
        <v>July</v>
      </c>
      <c r="D293" s="1" t="s">
        <v>480</v>
      </c>
      <c r="E293" s="1" t="s">
        <v>682</v>
      </c>
      <c r="F293" s="1" t="s">
        <v>803</v>
      </c>
      <c r="G293" s="1" t="s">
        <v>804</v>
      </c>
      <c r="H293" s="1" t="s">
        <v>809</v>
      </c>
      <c r="I293" s="1" t="s">
        <v>815</v>
      </c>
      <c r="J293" s="1" t="s">
        <v>819</v>
      </c>
      <c r="K293" s="1" t="s">
        <v>820</v>
      </c>
      <c r="L293" s="1" t="s">
        <v>866</v>
      </c>
      <c r="M293" s="1">
        <v>3.97</v>
      </c>
      <c r="N293" s="1">
        <v>713.62</v>
      </c>
      <c r="O293" s="1">
        <v>2843.4</v>
      </c>
      <c r="P293" s="1">
        <v>0.1</v>
      </c>
      <c r="Q293" s="1">
        <v>2635.61</v>
      </c>
      <c r="R293" s="1">
        <v>1505.69</v>
      </c>
      <c r="S293" s="1">
        <f t="shared" si="9"/>
        <v>1129.92</v>
      </c>
      <c r="T293" s="1" t="s">
        <v>874</v>
      </c>
      <c r="U293" s="1" t="s">
        <v>878</v>
      </c>
      <c r="V293" s="5" t="s">
        <v>882</v>
      </c>
    </row>
    <row r="294" spans="1:22" x14ac:dyDescent="0.3">
      <c r="A294" s="4" t="s">
        <v>119</v>
      </c>
      <c r="B294" s="3">
        <v>45490</v>
      </c>
      <c r="C294" s="1" t="str">
        <f t="shared" si="8"/>
        <v>July</v>
      </c>
      <c r="D294" s="1" t="s">
        <v>329</v>
      </c>
      <c r="E294" s="1" t="s">
        <v>604</v>
      </c>
      <c r="F294" s="1" t="s">
        <v>802</v>
      </c>
      <c r="G294" s="1" t="s">
        <v>807</v>
      </c>
      <c r="H294" s="1" t="s">
        <v>811</v>
      </c>
      <c r="I294" s="1" t="s">
        <v>809</v>
      </c>
      <c r="J294" s="1" t="s">
        <v>817</v>
      </c>
      <c r="K294" s="1" t="s">
        <v>822</v>
      </c>
      <c r="L294" s="1" t="s">
        <v>854</v>
      </c>
      <c r="M294" s="1">
        <v>1.08</v>
      </c>
      <c r="N294" s="1">
        <v>456.15</v>
      </c>
      <c r="O294" s="1">
        <v>440.24</v>
      </c>
      <c r="P294" s="1">
        <v>0.16</v>
      </c>
      <c r="Q294" s="1">
        <v>397.63</v>
      </c>
      <c r="R294" s="1">
        <v>265.91000000000003</v>
      </c>
      <c r="S294" s="1">
        <f t="shared" si="9"/>
        <v>131.71999999999997</v>
      </c>
      <c r="T294" s="1" t="s">
        <v>873</v>
      </c>
      <c r="U294" s="1" t="s">
        <v>877</v>
      </c>
      <c r="V294" s="5" t="s">
        <v>883</v>
      </c>
    </row>
    <row r="295" spans="1:22" x14ac:dyDescent="0.3">
      <c r="A295" s="4" t="s">
        <v>56</v>
      </c>
      <c r="B295" s="3">
        <v>45484</v>
      </c>
      <c r="C295" s="1" t="str">
        <f t="shared" si="8"/>
        <v>July</v>
      </c>
      <c r="D295" s="1" t="s">
        <v>376</v>
      </c>
      <c r="E295" s="1" t="s">
        <v>541</v>
      </c>
      <c r="F295" s="1" t="s">
        <v>801</v>
      </c>
      <c r="G295" s="1" t="s">
        <v>807</v>
      </c>
      <c r="H295" s="1" t="s">
        <v>809</v>
      </c>
      <c r="I295" s="1" t="s">
        <v>816</v>
      </c>
      <c r="J295" s="1" t="s">
        <v>817</v>
      </c>
      <c r="K295" s="1" t="s">
        <v>821</v>
      </c>
      <c r="L295" s="1" t="s">
        <v>842</v>
      </c>
      <c r="M295" s="1">
        <v>8.44</v>
      </c>
      <c r="N295" s="1">
        <v>1971.38</v>
      </c>
      <c r="O295" s="1">
        <v>16553.759999999998</v>
      </c>
      <c r="P295" s="1">
        <v>0</v>
      </c>
      <c r="Q295" s="1">
        <v>17773.3</v>
      </c>
      <c r="R295" s="1">
        <v>12397.56</v>
      </c>
      <c r="S295" s="1">
        <f t="shared" si="9"/>
        <v>5375.74</v>
      </c>
      <c r="T295" s="1" t="s">
        <v>876</v>
      </c>
      <c r="U295" s="1" t="s">
        <v>881</v>
      </c>
      <c r="V295" s="5" t="s">
        <v>882</v>
      </c>
    </row>
    <row r="296" spans="1:22" x14ac:dyDescent="0.3">
      <c r="A296" s="4" t="s">
        <v>127</v>
      </c>
      <c r="B296" s="3">
        <v>45417</v>
      </c>
      <c r="C296" s="1" t="str">
        <f t="shared" si="8"/>
        <v>May</v>
      </c>
      <c r="D296" s="1" t="s">
        <v>420</v>
      </c>
      <c r="E296" s="1" t="s">
        <v>612</v>
      </c>
      <c r="F296" s="1" t="s">
        <v>802</v>
      </c>
      <c r="G296" s="1" t="s">
        <v>807</v>
      </c>
      <c r="H296" s="1" t="s">
        <v>810</v>
      </c>
      <c r="I296" s="1" t="s">
        <v>815</v>
      </c>
      <c r="J296" s="1" t="s">
        <v>819</v>
      </c>
      <c r="K296" s="1" t="s">
        <v>820</v>
      </c>
      <c r="L296" s="1" t="s">
        <v>859</v>
      </c>
      <c r="M296" s="1">
        <v>4.51</v>
      </c>
      <c r="N296" s="1">
        <v>1361.49</v>
      </c>
      <c r="O296" s="1">
        <v>6343.08</v>
      </c>
      <c r="P296" s="1">
        <v>0.14000000000000001</v>
      </c>
      <c r="Q296" s="1">
        <v>6329.2</v>
      </c>
      <c r="R296" s="1">
        <v>4318.7</v>
      </c>
      <c r="S296" s="1">
        <f t="shared" si="9"/>
        <v>2010.5</v>
      </c>
      <c r="T296" s="1" t="s">
        <v>874</v>
      </c>
      <c r="U296" s="1" t="s">
        <v>880</v>
      </c>
      <c r="V296" s="5" t="s">
        <v>883</v>
      </c>
    </row>
    <row r="297" spans="1:22" x14ac:dyDescent="0.3">
      <c r="A297" s="4" t="s">
        <v>203</v>
      </c>
      <c r="B297" s="3">
        <v>45545</v>
      </c>
      <c r="C297" s="1" t="str">
        <f t="shared" si="8"/>
        <v>September</v>
      </c>
      <c r="D297" s="1" t="s">
        <v>475</v>
      </c>
      <c r="E297" s="1" t="s">
        <v>687</v>
      </c>
      <c r="F297" s="1" t="s">
        <v>803</v>
      </c>
      <c r="G297" s="1" t="s">
        <v>806</v>
      </c>
      <c r="H297" s="1" t="s">
        <v>810</v>
      </c>
      <c r="I297" s="1" t="s">
        <v>813</v>
      </c>
      <c r="J297" s="1" t="s">
        <v>819</v>
      </c>
      <c r="K297" s="1" t="s">
        <v>821</v>
      </c>
      <c r="L297" s="1" t="s">
        <v>832</v>
      </c>
      <c r="M297" s="1">
        <v>8.68</v>
      </c>
      <c r="N297" s="1">
        <v>2407.4299999999998</v>
      </c>
      <c r="O297" s="1">
        <v>21415.13</v>
      </c>
      <c r="P297" s="1">
        <v>0.1</v>
      </c>
      <c r="Q297" s="1">
        <v>18406.54</v>
      </c>
      <c r="R297" s="1">
        <v>13549.59</v>
      </c>
      <c r="S297" s="1">
        <f t="shared" si="9"/>
        <v>4856.9500000000007</v>
      </c>
      <c r="T297" s="1" t="s">
        <v>876</v>
      </c>
      <c r="U297" s="1" t="s">
        <v>877</v>
      </c>
      <c r="V297" s="5" t="s">
        <v>884</v>
      </c>
    </row>
    <row r="298" spans="1:22" x14ac:dyDescent="0.3">
      <c r="A298" s="4" t="s">
        <v>169</v>
      </c>
      <c r="B298" s="3">
        <v>45336</v>
      </c>
      <c r="C298" s="1" t="str">
        <f t="shared" si="8"/>
        <v>February</v>
      </c>
      <c r="D298" s="1" t="s">
        <v>373</v>
      </c>
      <c r="E298" s="1" t="s">
        <v>654</v>
      </c>
      <c r="F298" s="1" t="s">
        <v>802</v>
      </c>
      <c r="G298" s="1" t="s">
        <v>805</v>
      </c>
      <c r="H298" s="1" t="s">
        <v>810</v>
      </c>
      <c r="I298" s="1" t="s">
        <v>814</v>
      </c>
      <c r="J298" s="1" t="s">
        <v>818</v>
      </c>
      <c r="K298" s="1" t="s">
        <v>822</v>
      </c>
      <c r="L298" s="1" t="s">
        <v>861</v>
      </c>
      <c r="M298" s="1">
        <v>8.11</v>
      </c>
      <c r="N298" s="1">
        <v>1220.72</v>
      </c>
      <c r="O298" s="1">
        <v>11330.58</v>
      </c>
      <c r="P298" s="1">
        <v>0.16</v>
      </c>
      <c r="Q298" s="1">
        <v>9094.5300000000007</v>
      </c>
      <c r="R298" s="1">
        <v>8118.99</v>
      </c>
      <c r="S298" s="1">
        <f t="shared" si="9"/>
        <v>975.54000000000087</v>
      </c>
      <c r="T298" s="1" t="s">
        <v>874</v>
      </c>
      <c r="U298" s="1" t="s">
        <v>881</v>
      </c>
      <c r="V298" s="5" t="s">
        <v>884</v>
      </c>
    </row>
    <row r="299" spans="1:22" x14ac:dyDescent="0.3">
      <c r="A299" s="4" t="s">
        <v>313</v>
      </c>
      <c r="B299" s="3">
        <v>45326</v>
      </c>
      <c r="C299" s="1" t="str">
        <f t="shared" si="8"/>
        <v>February</v>
      </c>
      <c r="D299" s="1" t="s">
        <v>476</v>
      </c>
      <c r="E299" s="1" t="s">
        <v>795</v>
      </c>
      <c r="F299" s="1" t="s">
        <v>802</v>
      </c>
      <c r="G299" s="1" t="s">
        <v>805</v>
      </c>
      <c r="H299" s="1" t="s">
        <v>808</v>
      </c>
      <c r="I299" s="1" t="s">
        <v>815</v>
      </c>
      <c r="J299" s="1" t="s">
        <v>819</v>
      </c>
      <c r="K299" s="1" t="s">
        <v>820</v>
      </c>
      <c r="L299" s="1" t="s">
        <v>834</v>
      </c>
      <c r="M299" s="1">
        <v>1.02</v>
      </c>
      <c r="N299" s="1">
        <v>579.84</v>
      </c>
      <c r="O299" s="1">
        <v>688.08</v>
      </c>
      <c r="P299" s="1">
        <v>0</v>
      </c>
      <c r="Q299" s="1">
        <v>592.16</v>
      </c>
      <c r="R299" s="1">
        <v>387.28</v>
      </c>
      <c r="S299" s="1">
        <f t="shared" si="9"/>
        <v>204.88</v>
      </c>
      <c r="T299" s="1" t="s">
        <v>874</v>
      </c>
      <c r="U299" s="1" t="s">
        <v>879</v>
      </c>
      <c r="V299" s="5" t="s">
        <v>884</v>
      </c>
    </row>
    <row r="300" spans="1:22" x14ac:dyDescent="0.3">
      <c r="A300" s="4" t="s">
        <v>198</v>
      </c>
      <c r="B300" s="3">
        <v>45499</v>
      </c>
      <c r="C300" s="1" t="str">
        <f t="shared" si="8"/>
        <v>July</v>
      </c>
      <c r="D300" s="1" t="s">
        <v>480</v>
      </c>
      <c r="E300" s="1" t="s">
        <v>682</v>
      </c>
      <c r="F300" s="1" t="s">
        <v>803</v>
      </c>
      <c r="G300" s="1" t="s">
        <v>804</v>
      </c>
      <c r="H300" s="1" t="s">
        <v>809</v>
      </c>
      <c r="I300" s="1" t="s">
        <v>815</v>
      </c>
      <c r="J300" s="1" t="s">
        <v>819</v>
      </c>
      <c r="K300" s="1" t="s">
        <v>820</v>
      </c>
      <c r="L300" s="1" t="s">
        <v>866</v>
      </c>
      <c r="M300" s="1">
        <v>4.04</v>
      </c>
      <c r="N300" s="1">
        <v>718.75</v>
      </c>
      <c r="O300" s="1">
        <v>3156.77</v>
      </c>
      <c r="P300" s="1">
        <v>0.1</v>
      </c>
      <c r="Q300" s="1">
        <v>2685.13</v>
      </c>
      <c r="R300" s="1">
        <v>1532.89</v>
      </c>
      <c r="S300" s="1">
        <f t="shared" si="9"/>
        <v>1152.24</v>
      </c>
      <c r="T300" s="1" t="s">
        <v>874</v>
      </c>
      <c r="U300" s="1" t="s">
        <v>878</v>
      </c>
      <c r="V300" s="5" t="s">
        <v>882</v>
      </c>
    </row>
    <row r="301" spans="1:22" x14ac:dyDescent="0.3">
      <c r="A301" s="4" t="s">
        <v>264</v>
      </c>
      <c r="B301" s="3">
        <v>45359</v>
      </c>
      <c r="C301" s="1" t="str">
        <f t="shared" si="8"/>
        <v>March</v>
      </c>
      <c r="D301" s="1" t="s">
        <v>381</v>
      </c>
      <c r="E301" s="1" t="s">
        <v>747</v>
      </c>
      <c r="F301" s="1" t="s">
        <v>801</v>
      </c>
      <c r="G301" s="1" t="s">
        <v>806</v>
      </c>
      <c r="H301" s="1" t="s">
        <v>809</v>
      </c>
      <c r="I301" s="1" t="s">
        <v>815</v>
      </c>
      <c r="J301" s="1" t="s">
        <v>817</v>
      </c>
      <c r="K301" s="1" t="s">
        <v>821</v>
      </c>
      <c r="L301" s="1" t="s">
        <v>841</v>
      </c>
      <c r="M301" s="1">
        <v>10.8</v>
      </c>
      <c r="N301" s="1">
        <v>2756.75</v>
      </c>
      <c r="O301" s="1">
        <v>27090.14</v>
      </c>
      <c r="P301" s="1">
        <v>0</v>
      </c>
      <c r="Q301" s="1">
        <v>32080.07</v>
      </c>
      <c r="R301" s="1">
        <v>21405.73</v>
      </c>
      <c r="S301" s="1">
        <f t="shared" si="9"/>
        <v>10674.34</v>
      </c>
      <c r="T301" s="1" t="s">
        <v>874</v>
      </c>
      <c r="U301" s="1" t="s">
        <v>880</v>
      </c>
      <c r="V301" s="5" t="s">
        <v>884</v>
      </c>
    </row>
    <row r="302" spans="1:22" x14ac:dyDescent="0.3">
      <c r="A302" s="4" t="s">
        <v>190</v>
      </c>
      <c r="B302" s="3">
        <v>45451</v>
      </c>
      <c r="C302" s="1" t="str">
        <f t="shared" si="8"/>
        <v>June</v>
      </c>
      <c r="D302" s="1" t="s">
        <v>365</v>
      </c>
      <c r="E302" s="1" t="s">
        <v>674</v>
      </c>
      <c r="F302" s="1" t="s">
        <v>801</v>
      </c>
      <c r="G302" s="1" t="s">
        <v>806</v>
      </c>
      <c r="H302" s="1" t="s">
        <v>812</v>
      </c>
      <c r="I302" s="1" t="s">
        <v>813</v>
      </c>
      <c r="J302" s="1" t="s">
        <v>817</v>
      </c>
      <c r="K302" s="1" t="s">
        <v>822</v>
      </c>
      <c r="L302" s="1" t="s">
        <v>828</v>
      </c>
      <c r="M302" s="1">
        <v>4.2300000000000004</v>
      </c>
      <c r="N302" s="1">
        <v>1372.34</v>
      </c>
      <c r="O302" s="1">
        <v>4875.9399999999996</v>
      </c>
      <c r="P302" s="1">
        <v>0.14000000000000001</v>
      </c>
      <c r="Q302" s="1">
        <v>4537.21</v>
      </c>
      <c r="R302" s="1">
        <v>2673.05</v>
      </c>
      <c r="S302" s="1">
        <f t="shared" si="9"/>
        <v>1864.1599999999999</v>
      </c>
      <c r="T302" s="1" t="s">
        <v>874</v>
      </c>
      <c r="U302" s="1" t="s">
        <v>878</v>
      </c>
      <c r="V302" s="5" t="s">
        <v>882</v>
      </c>
    </row>
    <row r="303" spans="1:22" x14ac:dyDescent="0.3">
      <c r="A303" s="4" t="s">
        <v>155</v>
      </c>
      <c r="B303" s="3">
        <v>45347</v>
      </c>
      <c r="C303" s="1" t="str">
        <f t="shared" si="8"/>
        <v>February</v>
      </c>
      <c r="D303" s="1" t="s">
        <v>470</v>
      </c>
      <c r="E303" s="1" t="s">
        <v>640</v>
      </c>
      <c r="F303" s="1" t="s">
        <v>803</v>
      </c>
      <c r="G303" s="1" t="s">
        <v>806</v>
      </c>
      <c r="H303" s="1" t="s">
        <v>808</v>
      </c>
      <c r="I303" s="1" t="s">
        <v>816</v>
      </c>
      <c r="J303" s="1" t="s">
        <v>819</v>
      </c>
      <c r="K303" s="1" t="s">
        <v>820</v>
      </c>
      <c r="L303" s="1" t="s">
        <v>844</v>
      </c>
      <c r="M303" s="1">
        <v>7.69</v>
      </c>
      <c r="N303" s="1">
        <v>2911.18</v>
      </c>
      <c r="O303" s="1">
        <v>24613.27</v>
      </c>
      <c r="P303" s="1">
        <v>0</v>
      </c>
      <c r="Q303" s="1">
        <v>26434.5</v>
      </c>
      <c r="R303" s="1">
        <v>15664.65</v>
      </c>
      <c r="S303" s="1">
        <f t="shared" si="9"/>
        <v>10769.85</v>
      </c>
      <c r="T303" s="1" t="s">
        <v>875</v>
      </c>
      <c r="U303" s="1" t="s">
        <v>879</v>
      </c>
      <c r="V303" s="5" t="s">
        <v>884</v>
      </c>
    </row>
    <row r="304" spans="1:22" x14ac:dyDescent="0.3">
      <c r="A304" s="4" t="s">
        <v>90</v>
      </c>
      <c r="B304" s="3">
        <v>45338</v>
      </c>
      <c r="C304" s="1" t="str">
        <f t="shared" si="8"/>
        <v>February</v>
      </c>
      <c r="D304" s="1" t="s">
        <v>373</v>
      </c>
      <c r="E304" s="1" t="s">
        <v>575</v>
      </c>
      <c r="F304" s="1" t="s">
        <v>803</v>
      </c>
      <c r="G304" s="1" t="s">
        <v>804</v>
      </c>
      <c r="H304" s="1" t="s">
        <v>808</v>
      </c>
      <c r="I304" s="1" t="s">
        <v>813</v>
      </c>
      <c r="J304" s="1" t="s">
        <v>818</v>
      </c>
      <c r="K304" s="1" t="s">
        <v>822</v>
      </c>
      <c r="L304" s="1" t="s">
        <v>859</v>
      </c>
      <c r="M304" s="1">
        <v>9.3800000000000008</v>
      </c>
      <c r="N304" s="1">
        <v>3315.37</v>
      </c>
      <c r="O304" s="1">
        <v>29402.41</v>
      </c>
      <c r="P304" s="1">
        <v>0.15</v>
      </c>
      <c r="Q304" s="1">
        <v>26552.87</v>
      </c>
      <c r="R304" s="1">
        <v>19339.009999999998</v>
      </c>
      <c r="S304" s="1">
        <f t="shared" si="9"/>
        <v>7213.8600000000006</v>
      </c>
      <c r="T304" s="1" t="s">
        <v>874</v>
      </c>
      <c r="U304" s="1" t="s">
        <v>881</v>
      </c>
      <c r="V304" s="5" t="s">
        <v>882</v>
      </c>
    </row>
    <row r="305" spans="1:22" x14ac:dyDescent="0.3">
      <c r="A305" s="4" t="s">
        <v>198</v>
      </c>
      <c r="B305" s="3">
        <v>45499</v>
      </c>
      <c r="C305" s="1" t="str">
        <f t="shared" si="8"/>
        <v>July</v>
      </c>
      <c r="D305" s="1" t="s">
        <v>480</v>
      </c>
      <c r="E305" s="1" t="s">
        <v>682</v>
      </c>
      <c r="F305" s="1" t="s">
        <v>803</v>
      </c>
      <c r="G305" s="1" t="s">
        <v>804</v>
      </c>
      <c r="H305" s="1" t="s">
        <v>809</v>
      </c>
      <c r="I305" s="1" t="s">
        <v>815</v>
      </c>
      <c r="J305" s="1" t="s">
        <v>819</v>
      </c>
      <c r="K305" s="1" t="s">
        <v>820</v>
      </c>
      <c r="L305" s="1" t="s">
        <v>866</v>
      </c>
      <c r="M305" s="1">
        <v>3.86</v>
      </c>
      <c r="N305" s="1">
        <v>755.84</v>
      </c>
      <c r="O305" s="1">
        <v>2678.86</v>
      </c>
      <c r="P305" s="1">
        <v>0.09</v>
      </c>
      <c r="Q305" s="1">
        <v>2460.9899999999998</v>
      </c>
      <c r="R305" s="1">
        <v>1606.25</v>
      </c>
      <c r="S305" s="1">
        <f t="shared" si="9"/>
        <v>854.73999999999978</v>
      </c>
      <c r="T305" s="1" t="s">
        <v>874</v>
      </c>
      <c r="U305" s="1" t="s">
        <v>878</v>
      </c>
      <c r="V305" s="5" t="s">
        <v>882</v>
      </c>
    </row>
    <row r="306" spans="1:22" x14ac:dyDescent="0.3">
      <c r="A306" s="4" t="s">
        <v>21</v>
      </c>
      <c r="B306" s="3">
        <v>45457</v>
      </c>
      <c r="C306" s="1" t="str">
        <f t="shared" si="8"/>
        <v>June</v>
      </c>
      <c r="D306" s="1" t="s">
        <v>374</v>
      </c>
      <c r="E306" s="1" t="s">
        <v>506</v>
      </c>
      <c r="F306" s="1" t="s">
        <v>801</v>
      </c>
      <c r="G306" s="1" t="s">
        <v>804</v>
      </c>
      <c r="H306" s="1" t="s">
        <v>808</v>
      </c>
      <c r="I306" s="1" t="s">
        <v>813</v>
      </c>
      <c r="J306" s="1" t="s">
        <v>817</v>
      </c>
      <c r="K306" s="1" t="s">
        <v>820</v>
      </c>
      <c r="L306" s="1" t="s">
        <v>823</v>
      </c>
      <c r="M306" s="1">
        <v>6.97</v>
      </c>
      <c r="N306" s="1">
        <v>2464.9</v>
      </c>
      <c r="O306" s="1">
        <v>15796.5</v>
      </c>
      <c r="P306" s="1">
        <v>0</v>
      </c>
      <c r="Q306" s="1">
        <v>17633.84</v>
      </c>
      <c r="R306" s="1">
        <v>14534.59</v>
      </c>
      <c r="S306" s="1">
        <f t="shared" si="9"/>
        <v>3099.25</v>
      </c>
      <c r="T306" s="1" t="s">
        <v>873</v>
      </c>
      <c r="U306" s="1" t="s">
        <v>877</v>
      </c>
      <c r="V306" s="5" t="s">
        <v>882</v>
      </c>
    </row>
    <row r="307" spans="1:22" x14ac:dyDescent="0.3">
      <c r="A307" s="4" t="s">
        <v>250</v>
      </c>
      <c r="B307" s="3">
        <v>45543</v>
      </c>
      <c r="C307" s="1" t="str">
        <f t="shared" si="8"/>
        <v>September</v>
      </c>
      <c r="D307" s="1" t="s">
        <v>351</v>
      </c>
      <c r="E307" s="1" t="s">
        <v>733</v>
      </c>
      <c r="F307" s="1" t="s">
        <v>801</v>
      </c>
      <c r="G307" s="1" t="s">
        <v>804</v>
      </c>
      <c r="H307" s="1" t="s">
        <v>812</v>
      </c>
      <c r="I307" s="1" t="s">
        <v>814</v>
      </c>
      <c r="J307" s="1" t="s">
        <v>819</v>
      </c>
      <c r="K307" s="1" t="s">
        <v>822</v>
      </c>
      <c r="L307" s="1" t="s">
        <v>857</v>
      </c>
      <c r="M307" s="1">
        <v>9.7899999999999991</v>
      </c>
      <c r="N307" s="1">
        <v>2887.25</v>
      </c>
      <c r="O307" s="1">
        <v>25738.42</v>
      </c>
      <c r="P307" s="1">
        <v>0</v>
      </c>
      <c r="Q307" s="1">
        <v>23715.53</v>
      </c>
      <c r="R307" s="1">
        <v>18751.2</v>
      </c>
      <c r="S307" s="1">
        <f t="shared" si="9"/>
        <v>4964.3299999999981</v>
      </c>
      <c r="T307" s="1" t="s">
        <v>873</v>
      </c>
      <c r="U307" s="1" t="s">
        <v>877</v>
      </c>
      <c r="V307" s="5" t="s">
        <v>882</v>
      </c>
    </row>
    <row r="308" spans="1:22" x14ac:dyDescent="0.3">
      <c r="A308" s="4" t="s">
        <v>180</v>
      </c>
      <c r="B308" s="3">
        <v>45342</v>
      </c>
      <c r="C308" s="1" t="str">
        <f t="shared" si="8"/>
        <v>February</v>
      </c>
      <c r="D308" s="1" t="s">
        <v>388</v>
      </c>
      <c r="E308" s="1" t="s">
        <v>664</v>
      </c>
      <c r="F308" s="1" t="s">
        <v>802</v>
      </c>
      <c r="G308" s="1" t="s">
        <v>806</v>
      </c>
      <c r="H308" s="1" t="s">
        <v>808</v>
      </c>
      <c r="I308" s="1" t="s">
        <v>813</v>
      </c>
      <c r="J308" s="1" t="s">
        <v>819</v>
      </c>
      <c r="K308" s="1" t="s">
        <v>821</v>
      </c>
      <c r="L308" s="1" t="s">
        <v>866</v>
      </c>
      <c r="M308" s="1">
        <v>0.99</v>
      </c>
      <c r="N308" s="1">
        <v>2270.7800000000002</v>
      </c>
      <c r="O308" s="1">
        <v>2437.27</v>
      </c>
      <c r="P308" s="1">
        <v>0.05</v>
      </c>
      <c r="Q308" s="1">
        <v>2175.11</v>
      </c>
      <c r="R308" s="1">
        <v>1570.2</v>
      </c>
      <c r="S308" s="1">
        <f t="shared" si="9"/>
        <v>604.91000000000008</v>
      </c>
      <c r="T308" s="1" t="s">
        <v>875</v>
      </c>
      <c r="U308" s="1" t="s">
        <v>880</v>
      </c>
      <c r="V308" s="5" t="s">
        <v>883</v>
      </c>
    </row>
    <row r="309" spans="1:22" x14ac:dyDescent="0.3">
      <c r="A309" s="4" t="s">
        <v>274</v>
      </c>
      <c r="B309" s="3">
        <v>45448</v>
      </c>
      <c r="C309" s="1" t="str">
        <f t="shared" si="8"/>
        <v>June</v>
      </c>
      <c r="D309" s="1" t="s">
        <v>467</v>
      </c>
      <c r="E309" s="1" t="s">
        <v>757</v>
      </c>
      <c r="F309" s="1" t="s">
        <v>801</v>
      </c>
      <c r="G309" s="1" t="s">
        <v>805</v>
      </c>
      <c r="H309" s="1" t="s">
        <v>808</v>
      </c>
      <c r="I309" s="1" t="s">
        <v>815</v>
      </c>
      <c r="J309" s="1" t="s">
        <v>819</v>
      </c>
      <c r="K309" s="1" t="s">
        <v>820</v>
      </c>
      <c r="L309" s="1" t="s">
        <v>868</v>
      </c>
      <c r="M309" s="1">
        <v>5.37</v>
      </c>
      <c r="N309" s="1">
        <v>2031.23</v>
      </c>
      <c r="O309" s="1">
        <v>8878.01</v>
      </c>
      <c r="P309" s="1">
        <v>0</v>
      </c>
      <c r="Q309" s="1">
        <v>9532</v>
      </c>
      <c r="R309" s="1">
        <v>8559.18</v>
      </c>
      <c r="S309" s="1">
        <f t="shared" si="9"/>
        <v>972.81999999999971</v>
      </c>
      <c r="T309" s="1" t="s">
        <v>875</v>
      </c>
      <c r="U309" s="1" t="s">
        <v>877</v>
      </c>
      <c r="V309" s="5" t="s">
        <v>884</v>
      </c>
    </row>
    <row r="310" spans="1:22" x14ac:dyDescent="0.3">
      <c r="A310" s="4" t="s">
        <v>207</v>
      </c>
      <c r="B310" s="3">
        <v>45362</v>
      </c>
      <c r="C310" s="1" t="str">
        <f t="shared" si="8"/>
        <v>March</v>
      </c>
      <c r="D310" s="1" t="s">
        <v>483</v>
      </c>
      <c r="E310" s="1" t="s">
        <v>691</v>
      </c>
      <c r="F310" s="1" t="s">
        <v>802</v>
      </c>
      <c r="G310" s="1" t="s">
        <v>805</v>
      </c>
      <c r="H310" s="1" t="s">
        <v>809</v>
      </c>
      <c r="I310" s="1" t="s">
        <v>813</v>
      </c>
      <c r="J310" s="1" t="s">
        <v>818</v>
      </c>
      <c r="K310" s="1" t="s">
        <v>821</v>
      </c>
      <c r="L310" s="1" t="s">
        <v>831</v>
      </c>
      <c r="M310" s="1">
        <v>5.56</v>
      </c>
      <c r="N310" s="1">
        <v>2176.39</v>
      </c>
      <c r="O310" s="1">
        <v>12170.48</v>
      </c>
      <c r="P310" s="1">
        <v>0</v>
      </c>
      <c r="Q310" s="1">
        <v>13452.54</v>
      </c>
      <c r="R310" s="1">
        <v>9912.24</v>
      </c>
      <c r="S310" s="1">
        <f t="shared" si="9"/>
        <v>3540.3000000000011</v>
      </c>
      <c r="T310" s="1" t="s">
        <v>873</v>
      </c>
      <c r="U310" s="1" t="s">
        <v>879</v>
      </c>
      <c r="V310" s="5" t="s">
        <v>883</v>
      </c>
    </row>
    <row r="311" spans="1:22" x14ac:dyDescent="0.3">
      <c r="A311" s="4" t="s">
        <v>80</v>
      </c>
      <c r="B311" s="3">
        <v>45426</v>
      </c>
      <c r="C311" s="1" t="str">
        <f t="shared" si="8"/>
        <v>May</v>
      </c>
      <c r="D311" s="1" t="s">
        <v>454</v>
      </c>
      <c r="E311" s="1" t="s">
        <v>565</v>
      </c>
      <c r="F311" s="1" t="s">
        <v>803</v>
      </c>
      <c r="G311" s="1" t="s">
        <v>806</v>
      </c>
      <c r="H311" s="1" t="s">
        <v>809</v>
      </c>
      <c r="I311" s="1" t="s">
        <v>816</v>
      </c>
      <c r="J311" s="1" t="s">
        <v>818</v>
      </c>
      <c r="K311" s="1" t="s">
        <v>822</v>
      </c>
      <c r="L311" s="1" t="s">
        <v>857</v>
      </c>
      <c r="M311" s="1">
        <v>11.02</v>
      </c>
      <c r="N311" s="1">
        <v>2516.92</v>
      </c>
      <c r="O311" s="1">
        <v>33210.28</v>
      </c>
      <c r="P311" s="1">
        <v>0.11</v>
      </c>
      <c r="Q311" s="1">
        <v>28353.55</v>
      </c>
      <c r="R311" s="1">
        <v>19331.57</v>
      </c>
      <c r="S311" s="1">
        <f t="shared" si="9"/>
        <v>9021.98</v>
      </c>
      <c r="T311" s="1" t="s">
        <v>873</v>
      </c>
      <c r="U311" s="1" t="s">
        <v>879</v>
      </c>
      <c r="V311" s="5" t="s">
        <v>884</v>
      </c>
    </row>
    <row r="312" spans="1:22" x14ac:dyDescent="0.3">
      <c r="A312" s="4" t="s">
        <v>299</v>
      </c>
      <c r="B312" s="3">
        <v>45611</v>
      </c>
      <c r="C312" s="1" t="str">
        <f t="shared" si="8"/>
        <v>November</v>
      </c>
      <c r="D312" s="1" t="s">
        <v>417</v>
      </c>
      <c r="E312" s="1" t="s">
        <v>781</v>
      </c>
      <c r="F312" s="1" t="s">
        <v>801</v>
      </c>
      <c r="G312" s="1" t="s">
        <v>805</v>
      </c>
      <c r="H312" s="1" t="s">
        <v>809</v>
      </c>
      <c r="I312" s="1" t="s">
        <v>809</v>
      </c>
      <c r="J312" s="1" t="s">
        <v>818</v>
      </c>
      <c r="K312" s="1" t="s">
        <v>820</v>
      </c>
      <c r="L312" s="1" t="s">
        <v>837</v>
      </c>
      <c r="M312" s="1">
        <v>8.7799999999999994</v>
      </c>
      <c r="N312" s="1">
        <v>1883.84</v>
      </c>
      <c r="O312" s="1">
        <v>14598.97</v>
      </c>
      <c r="P312" s="1">
        <v>0.05</v>
      </c>
      <c r="Q312" s="1">
        <v>15285.43</v>
      </c>
      <c r="R312" s="1">
        <v>7925.75</v>
      </c>
      <c r="S312" s="1">
        <f t="shared" si="9"/>
        <v>7359.68</v>
      </c>
      <c r="T312" s="1" t="s">
        <v>873</v>
      </c>
      <c r="U312" s="1" t="s">
        <v>878</v>
      </c>
      <c r="V312" s="5" t="s">
        <v>883</v>
      </c>
    </row>
    <row r="313" spans="1:22" x14ac:dyDescent="0.3">
      <c r="A313" s="4" t="s">
        <v>51</v>
      </c>
      <c r="B313" s="3">
        <v>45319</v>
      </c>
      <c r="C313" s="1" t="str">
        <f t="shared" si="8"/>
        <v>January</v>
      </c>
      <c r="D313" s="1" t="s">
        <v>396</v>
      </c>
      <c r="E313" s="1" t="s">
        <v>536</v>
      </c>
      <c r="F313" s="1" t="s">
        <v>803</v>
      </c>
      <c r="G313" s="1" t="s">
        <v>805</v>
      </c>
      <c r="H313" s="1" t="s">
        <v>808</v>
      </c>
      <c r="I313" s="1" t="s">
        <v>815</v>
      </c>
      <c r="J313" s="1" t="s">
        <v>818</v>
      </c>
      <c r="K313" s="1" t="s">
        <v>820</v>
      </c>
      <c r="L313" s="1" t="s">
        <v>845</v>
      </c>
      <c r="M313" s="1">
        <v>3.23</v>
      </c>
      <c r="N313" s="1">
        <v>444.71</v>
      </c>
      <c r="O313" s="1">
        <v>1367.94</v>
      </c>
      <c r="P313" s="1">
        <v>0.1</v>
      </c>
      <c r="Q313" s="1">
        <v>1267.74</v>
      </c>
      <c r="R313" s="1">
        <v>807.19</v>
      </c>
      <c r="S313" s="1">
        <f t="shared" si="9"/>
        <v>460.54999999999995</v>
      </c>
      <c r="T313" s="1" t="s">
        <v>874</v>
      </c>
      <c r="U313" s="1" t="s">
        <v>877</v>
      </c>
      <c r="V313" s="5" t="s">
        <v>884</v>
      </c>
    </row>
    <row r="314" spans="1:22" x14ac:dyDescent="0.3">
      <c r="A314" s="4" t="s">
        <v>167</v>
      </c>
      <c r="B314" s="3">
        <v>45609</v>
      </c>
      <c r="C314" s="1" t="str">
        <f t="shared" si="8"/>
        <v>November</v>
      </c>
      <c r="D314" s="1" t="s">
        <v>473</v>
      </c>
      <c r="E314" s="1" t="s">
        <v>652</v>
      </c>
      <c r="F314" s="1" t="s">
        <v>803</v>
      </c>
      <c r="G314" s="1" t="s">
        <v>804</v>
      </c>
      <c r="H314" s="1" t="s">
        <v>811</v>
      </c>
      <c r="I314" s="1" t="s">
        <v>813</v>
      </c>
      <c r="J314" s="1" t="s">
        <v>817</v>
      </c>
      <c r="K314" s="1" t="s">
        <v>822</v>
      </c>
      <c r="L314" s="1" t="s">
        <v>866</v>
      </c>
      <c r="M314" s="1">
        <v>11.17</v>
      </c>
      <c r="N314" s="1">
        <v>2495.9899999999998</v>
      </c>
      <c r="O314" s="1">
        <v>23835.94</v>
      </c>
      <c r="P314" s="1">
        <v>0</v>
      </c>
      <c r="Q314" s="1">
        <v>24343</v>
      </c>
      <c r="R314" s="1">
        <v>19495.580000000002</v>
      </c>
      <c r="S314" s="1">
        <f t="shared" si="9"/>
        <v>4847.4199999999983</v>
      </c>
      <c r="T314" s="1" t="s">
        <v>874</v>
      </c>
      <c r="U314" s="1" t="s">
        <v>879</v>
      </c>
      <c r="V314" s="5" t="s">
        <v>883</v>
      </c>
    </row>
    <row r="315" spans="1:22" x14ac:dyDescent="0.3">
      <c r="A315" s="4" t="s">
        <v>191</v>
      </c>
      <c r="B315" s="3">
        <v>45528</v>
      </c>
      <c r="C315" s="1" t="str">
        <f t="shared" si="8"/>
        <v>August</v>
      </c>
      <c r="D315" s="1" t="s">
        <v>423</v>
      </c>
      <c r="E315" s="1" t="s">
        <v>675</v>
      </c>
      <c r="F315" s="1" t="s">
        <v>801</v>
      </c>
      <c r="G315" s="1" t="s">
        <v>806</v>
      </c>
      <c r="H315" s="1" t="s">
        <v>809</v>
      </c>
      <c r="I315" s="1" t="s">
        <v>816</v>
      </c>
      <c r="J315" s="1" t="s">
        <v>817</v>
      </c>
      <c r="K315" s="1" t="s">
        <v>821</v>
      </c>
      <c r="L315" s="1" t="s">
        <v>835</v>
      </c>
      <c r="M315" s="1">
        <v>6.85</v>
      </c>
      <c r="N315" s="1">
        <v>1604.59</v>
      </c>
      <c r="O315" s="1">
        <v>10065.27</v>
      </c>
      <c r="P315" s="1">
        <v>0</v>
      </c>
      <c r="Q315" s="1">
        <v>9984.68</v>
      </c>
      <c r="R315" s="1">
        <v>6531.29</v>
      </c>
      <c r="S315" s="1">
        <f t="shared" si="9"/>
        <v>3453.3900000000003</v>
      </c>
      <c r="T315" s="1" t="s">
        <v>873</v>
      </c>
      <c r="U315" s="1" t="s">
        <v>880</v>
      </c>
      <c r="V315" s="5" t="s">
        <v>884</v>
      </c>
    </row>
    <row r="316" spans="1:22" x14ac:dyDescent="0.3">
      <c r="A316" s="4" t="s">
        <v>86</v>
      </c>
      <c r="B316" s="3">
        <v>45554</v>
      </c>
      <c r="C316" s="1" t="str">
        <f t="shared" si="8"/>
        <v>September</v>
      </c>
      <c r="D316" s="1" t="s">
        <v>389</v>
      </c>
      <c r="E316" s="1" t="s">
        <v>571</v>
      </c>
      <c r="F316" s="1" t="s">
        <v>803</v>
      </c>
      <c r="G316" s="1" t="s">
        <v>807</v>
      </c>
      <c r="H316" s="1" t="s">
        <v>810</v>
      </c>
      <c r="I316" s="1" t="s">
        <v>809</v>
      </c>
      <c r="J316" s="1" t="s">
        <v>819</v>
      </c>
      <c r="K316" s="1" t="s">
        <v>822</v>
      </c>
      <c r="L316" s="1" t="s">
        <v>838</v>
      </c>
      <c r="M316" s="1">
        <v>3.02</v>
      </c>
      <c r="N316" s="1">
        <v>1816.7</v>
      </c>
      <c r="O316" s="1">
        <v>5901.9</v>
      </c>
      <c r="P316" s="1">
        <v>0.11</v>
      </c>
      <c r="Q316" s="1">
        <v>4382.57</v>
      </c>
      <c r="R316" s="1">
        <v>3908.19</v>
      </c>
      <c r="S316" s="1">
        <f t="shared" si="9"/>
        <v>474.37999999999965</v>
      </c>
      <c r="T316" s="1" t="s">
        <v>876</v>
      </c>
      <c r="U316" s="1" t="s">
        <v>880</v>
      </c>
      <c r="V316" s="5" t="s">
        <v>884</v>
      </c>
    </row>
    <row r="317" spans="1:22" x14ac:dyDescent="0.3">
      <c r="A317" s="4" t="s">
        <v>93</v>
      </c>
      <c r="B317" s="3">
        <v>45557</v>
      </c>
      <c r="C317" s="1" t="str">
        <f t="shared" si="8"/>
        <v>September</v>
      </c>
      <c r="D317" s="1" t="s">
        <v>382</v>
      </c>
      <c r="E317" s="1" t="s">
        <v>578</v>
      </c>
      <c r="F317" s="1" t="s">
        <v>803</v>
      </c>
      <c r="G317" s="1" t="s">
        <v>804</v>
      </c>
      <c r="H317" s="1" t="s">
        <v>812</v>
      </c>
      <c r="I317" s="1" t="s">
        <v>809</v>
      </c>
      <c r="J317" s="1" t="s">
        <v>819</v>
      </c>
      <c r="K317" s="1" t="s">
        <v>821</v>
      </c>
      <c r="L317" s="1" t="s">
        <v>861</v>
      </c>
      <c r="M317" s="1">
        <v>6.7</v>
      </c>
      <c r="N317" s="1">
        <v>1593.93</v>
      </c>
      <c r="O317" s="1">
        <v>10518.49</v>
      </c>
      <c r="P317" s="1">
        <v>0.05</v>
      </c>
      <c r="Q317" s="1">
        <v>10804.77</v>
      </c>
      <c r="R317" s="1">
        <v>7307.84</v>
      </c>
      <c r="S317" s="1">
        <f t="shared" si="9"/>
        <v>3496.9300000000003</v>
      </c>
      <c r="T317" s="1" t="s">
        <v>874</v>
      </c>
      <c r="U317" s="1" t="s">
        <v>878</v>
      </c>
      <c r="V317" s="5" t="s">
        <v>884</v>
      </c>
    </row>
    <row r="318" spans="1:22" x14ac:dyDescent="0.3">
      <c r="A318" s="4" t="s">
        <v>117</v>
      </c>
      <c r="B318" s="3">
        <v>45413</v>
      </c>
      <c r="C318" s="1" t="str">
        <f t="shared" si="8"/>
        <v>May</v>
      </c>
      <c r="D318" s="1" t="s">
        <v>464</v>
      </c>
      <c r="E318" s="1" t="s">
        <v>602</v>
      </c>
      <c r="F318" s="1" t="s">
        <v>802</v>
      </c>
      <c r="G318" s="1" t="s">
        <v>807</v>
      </c>
      <c r="H318" s="1" t="s">
        <v>808</v>
      </c>
      <c r="I318" s="1" t="s">
        <v>814</v>
      </c>
      <c r="J318" s="1" t="s">
        <v>819</v>
      </c>
      <c r="K318" s="1" t="s">
        <v>820</v>
      </c>
      <c r="L318" s="1" t="s">
        <v>829</v>
      </c>
      <c r="M318" s="1">
        <v>3.75</v>
      </c>
      <c r="N318" s="1">
        <v>1283.94</v>
      </c>
      <c r="O318" s="1">
        <v>4772.1899999999996</v>
      </c>
      <c r="P318" s="1">
        <v>0.05</v>
      </c>
      <c r="Q318" s="1">
        <v>4688.7</v>
      </c>
      <c r="R318" s="1">
        <v>3393.15</v>
      </c>
      <c r="S318" s="1">
        <f t="shared" si="9"/>
        <v>1295.5499999999997</v>
      </c>
      <c r="T318" s="1" t="s">
        <v>874</v>
      </c>
      <c r="U318" s="1" t="s">
        <v>880</v>
      </c>
      <c r="V318" s="5" t="s">
        <v>884</v>
      </c>
    </row>
    <row r="319" spans="1:22" x14ac:dyDescent="0.3">
      <c r="A319" s="4" t="s">
        <v>205</v>
      </c>
      <c r="B319" s="3">
        <v>45516</v>
      </c>
      <c r="C319" s="1" t="str">
        <f t="shared" si="8"/>
        <v>August</v>
      </c>
      <c r="D319" s="1" t="s">
        <v>482</v>
      </c>
      <c r="E319" s="1" t="s">
        <v>689</v>
      </c>
      <c r="F319" s="1" t="s">
        <v>801</v>
      </c>
      <c r="G319" s="1" t="s">
        <v>807</v>
      </c>
      <c r="H319" s="1" t="s">
        <v>809</v>
      </c>
      <c r="I319" s="1" t="s">
        <v>816</v>
      </c>
      <c r="J319" s="1" t="s">
        <v>818</v>
      </c>
      <c r="K319" s="1" t="s">
        <v>821</v>
      </c>
      <c r="L319" s="1" t="s">
        <v>836</v>
      </c>
      <c r="M319" s="1">
        <v>10.19</v>
      </c>
      <c r="N319" s="1">
        <v>3494.15</v>
      </c>
      <c r="O319" s="1">
        <v>40651.5</v>
      </c>
      <c r="P319" s="1">
        <v>0.05</v>
      </c>
      <c r="Q319" s="1">
        <v>33494.69</v>
      </c>
      <c r="R319" s="1">
        <v>30148.06</v>
      </c>
      <c r="S319" s="1">
        <f t="shared" si="9"/>
        <v>3346.630000000001</v>
      </c>
      <c r="T319" s="1" t="s">
        <v>875</v>
      </c>
      <c r="U319" s="1" t="s">
        <v>878</v>
      </c>
      <c r="V319" s="5" t="s">
        <v>882</v>
      </c>
    </row>
    <row r="320" spans="1:22" x14ac:dyDescent="0.3">
      <c r="A320" s="4" t="s">
        <v>106</v>
      </c>
      <c r="B320" s="3">
        <v>45536</v>
      </c>
      <c r="C320" s="1" t="str">
        <f t="shared" si="8"/>
        <v>September</v>
      </c>
      <c r="D320" s="1" t="s">
        <v>341</v>
      </c>
      <c r="E320" s="1" t="s">
        <v>591</v>
      </c>
      <c r="F320" s="1" t="s">
        <v>803</v>
      </c>
      <c r="G320" s="1" t="s">
        <v>805</v>
      </c>
      <c r="H320" s="1" t="s">
        <v>810</v>
      </c>
      <c r="I320" s="1" t="s">
        <v>813</v>
      </c>
      <c r="J320" s="1" t="s">
        <v>817</v>
      </c>
      <c r="K320" s="1" t="s">
        <v>822</v>
      </c>
      <c r="L320" s="1" t="s">
        <v>830</v>
      </c>
      <c r="M320" s="1">
        <v>8.65</v>
      </c>
      <c r="N320" s="1">
        <v>397.47</v>
      </c>
      <c r="O320" s="1">
        <v>4111.22</v>
      </c>
      <c r="P320" s="1">
        <v>0.14000000000000001</v>
      </c>
      <c r="Q320" s="1">
        <v>3262.72</v>
      </c>
      <c r="R320" s="1">
        <v>2726.64</v>
      </c>
      <c r="S320" s="1">
        <f t="shared" si="9"/>
        <v>536.07999999999993</v>
      </c>
      <c r="T320" s="1" t="s">
        <v>876</v>
      </c>
      <c r="U320" s="1" t="s">
        <v>877</v>
      </c>
      <c r="V320" s="5" t="s">
        <v>884</v>
      </c>
    </row>
    <row r="321" spans="1:22" x14ac:dyDescent="0.3">
      <c r="A321" s="4" t="s">
        <v>308</v>
      </c>
      <c r="B321" s="3">
        <v>45360</v>
      </c>
      <c r="C321" s="1" t="str">
        <f t="shared" si="8"/>
        <v>March</v>
      </c>
      <c r="D321" s="1" t="s">
        <v>381</v>
      </c>
      <c r="E321" s="1" t="s">
        <v>790</v>
      </c>
      <c r="F321" s="1" t="s">
        <v>803</v>
      </c>
      <c r="G321" s="1" t="s">
        <v>805</v>
      </c>
      <c r="H321" s="1" t="s">
        <v>810</v>
      </c>
      <c r="I321" s="1" t="s">
        <v>816</v>
      </c>
      <c r="J321" s="1" t="s">
        <v>818</v>
      </c>
      <c r="K321" s="1" t="s">
        <v>822</v>
      </c>
      <c r="L321" s="1" t="s">
        <v>849</v>
      </c>
      <c r="M321" s="1">
        <v>5.24</v>
      </c>
      <c r="N321" s="1">
        <v>2731.53</v>
      </c>
      <c r="O321" s="1">
        <v>15996.28</v>
      </c>
      <c r="P321" s="1">
        <v>0</v>
      </c>
      <c r="Q321" s="1">
        <v>15422.49</v>
      </c>
      <c r="R321" s="1">
        <v>11256.6</v>
      </c>
      <c r="S321" s="1">
        <f t="shared" si="9"/>
        <v>4165.8899999999994</v>
      </c>
      <c r="T321" s="1" t="s">
        <v>875</v>
      </c>
      <c r="U321" s="1" t="s">
        <v>877</v>
      </c>
      <c r="V321" s="5" t="s">
        <v>884</v>
      </c>
    </row>
    <row r="322" spans="1:22" x14ac:dyDescent="0.3">
      <c r="A322" s="4" t="s">
        <v>198</v>
      </c>
      <c r="B322" s="3">
        <v>45499</v>
      </c>
      <c r="C322" s="1" t="str">
        <f t="shared" ref="C322:C385" si="10">TEXT(B322,"MMMM")</f>
        <v>July</v>
      </c>
      <c r="D322" s="1" t="s">
        <v>480</v>
      </c>
      <c r="E322" s="1" t="s">
        <v>682</v>
      </c>
      <c r="F322" s="1" t="s">
        <v>803</v>
      </c>
      <c r="G322" s="1" t="s">
        <v>804</v>
      </c>
      <c r="H322" s="1" t="s">
        <v>809</v>
      </c>
      <c r="I322" s="1" t="s">
        <v>815</v>
      </c>
      <c r="J322" s="1" t="s">
        <v>819</v>
      </c>
      <c r="K322" s="1" t="s">
        <v>820</v>
      </c>
      <c r="L322" s="1" t="s">
        <v>866</v>
      </c>
      <c r="M322" s="1">
        <v>4.0999999999999996</v>
      </c>
      <c r="N322" s="1">
        <v>740.63</v>
      </c>
      <c r="O322" s="1">
        <v>2721.02</v>
      </c>
      <c r="P322" s="1">
        <v>0.11</v>
      </c>
      <c r="Q322" s="1">
        <v>2483.6999999999998</v>
      </c>
      <c r="R322" s="1">
        <v>1799.7</v>
      </c>
      <c r="S322" s="1">
        <f t="shared" ref="S322:S385" si="11">Q322-R322</f>
        <v>683.99999999999977</v>
      </c>
      <c r="T322" s="1" t="s">
        <v>874</v>
      </c>
      <c r="U322" s="1" t="s">
        <v>878</v>
      </c>
      <c r="V322" s="5" t="s">
        <v>882</v>
      </c>
    </row>
    <row r="323" spans="1:22" x14ac:dyDescent="0.3">
      <c r="A323" s="4" t="s">
        <v>43</v>
      </c>
      <c r="B323" s="3">
        <v>45415</v>
      </c>
      <c r="C323" s="1" t="str">
        <f t="shared" si="10"/>
        <v>May</v>
      </c>
      <c r="D323" s="1" t="s">
        <v>332</v>
      </c>
      <c r="E323" s="1" t="s">
        <v>528</v>
      </c>
      <c r="F323" s="1" t="s">
        <v>802</v>
      </c>
      <c r="G323" s="1" t="s">
        <v>807</v>
      </c>
      <c r="H323" s="1" t="s">
        <v>810</v>
      </c>
      <c r="I323" s="1" t="s">
        <v>815</v>
      </c>
      <c r="J323" s="1" t="s">
        <v>817</v>
      </c>
      <c r="K323" s="1" t="s">
        <v>822</v>
      </c>
      <c r="L323" s="1" t="s">
        <v>830</v>
      </c>
      <c r="M323" s="1">
        <v>2.09</v>
      </c>
      <c r="N323" s="1">
        <v>1077.8</v>
      </c>
      <c r="O323" s="1">
        <v>2186.84</v>
      </c>
      <c r="P323" s="1">
        <v>0.11</v>
      </c>
      <c r="Q323" s="1">
        <v>1889.22</v>
      </c>
      <c r="R323" s="1">
        <v>1501.94</v>
      </c>
      <c r="S323" s="1">
        <f t="shared" si="11"/>
        <v>387.28</v>
      </c>
      <c r="T323" s="1" t="s">
        <v>876</v>
      </c>
      <c r="U323" s="1" t="s">
        <v>878</v>
      </c>
      <c r="V323" s="5" t="s">
        <v>884</v>
      </c>
    </row>
    <row r="324" spans="1:22" x14ac:dyDescent="0.3">
      <c r="A324" s="4" t="s">
        <v>215</v>
      </c>
      <c r="B324" s="3">
        <v>45548</v>
      </c>
      <c r="C324" s="1" t="str">
        <f t="shared" si="10"/>
        <v>September</v>
      </c>
      <c r="D324" s="1" t="s">
        <v>333</v>
      </c>
      <c r="E324" s="1" t="s">
        <v>698</v>
      </c>
      <c r="F324" s="1" t="s">
        <v>801</v>
      </c>
      <c r="G324" s="1" t="s">
        <v>806</v>
      </c>
      <c r="H324" s="1" t="s">
        <v>811</v>
      </c>
      <c r="I324" s="1" t="s">
        <v>816</v>
      </c>
      <c r="J324" s="1" t="s">
        <v>817</v>
      </c>
      <c r="K324" s="1" t="s">
        <v>821</v>
      </c>
      <c r="L324" s="1" t="s">
        <v>840</v>
      </c>
      <c r="M324" s="1">
        <v>0.92</v>
      </c>
      <c r="N324" s="1">
        <v>2797.02</v>
      </c>
      <c r="O324" s="1">
        <v>2737.77</v>
      </c>
      <c r="P324" s="1">
        <v>0</v>
      </c>
      <c r="Q324" s="1">
        <v>2856.13</v>
      </c>
      <c r="R324" s="1">
        <v>1802.76</v>
      </c>
      <c r="S324" s="1">
        <f t="shared" si="11"/>
        <v>1053.3700000000001</v>
      </c>
      <c r="T324" s="1" t="s">
        <v>876</v>
      </c>
      <c r="U324" s="1" t="s">
        <v>879</v>
      </c>
      <c r="V324" s="5" t="s">
        <v>884</v>
      </c>
    </row>
    <row r="325" spans="1:22" x14ac:dyDescent="0.3">
      <c r="A325" s="4" t="s">
        <v>256</v>
      </c>
      <c r="B325" s="3">
        <v>45396</v>
      </c>
      <c r="C325" s="1" t="str">
        <f t="shared" si="10"/>
        <v>April</v>
      </c>
      <c r="D325" s="1" t="s">
        <v>372</v>
      </c>
      <c r="E325" s="1" t="s">
        <v>739</v>
      </c>
      <c r="F325" s="1" t="s">
        <v>802</v>
      </c>
      <c r="G325" s="1" t="s">
        <v>805</v>
      </c>
      <c r="H325" s="1" t="s">
        <v>810</v>
      </c>
      <c r="I325" s="1" t="s">
        <v>809</v>
      </c>
      <c r="J325" s="1" t="s">
        <v>818</v>
      </c>
      <c r="K325" s="1" t="s">
        <v>821</v>
      </c>
      <c r="L325" s="1" t="s">
        <v>855</v>
      </c>
      <c r="M325" s="1">
        <v>2.99</v>
      </c>
      <c r="N325" s="1">
        <v>1903.43</v>
      </c>
      <c r="O325" s="1">
        <v>5585.81</v>
      </c>
      <c r="P325" s="1">
        <v>0</v>
      </c>
      <c r="Q325" s="1">
        <v>5136.93</v>
      </c>
      <c r="R325" s="1">
        <v>2991.08</v>
      </c>
      <c r="S325" s="1">
        <f t="shared" si="11"/>
        <v>2145.8500000000004</v>
      </c>
      <c r="T325" s="1" t="s">
        <v>875</v>
      </c>
      <c r="U325" s="1" t="s">
        <v>878</v>
      </c>
      <c r="V325" s="5" t="s">
        <v>882</v>
      </c>
    </row>
    <row r="326" spans="1:22" x14ac:dyDescent="0.3">
      <c r="A326" s="4" t="s">
        <v>80</v>
      </c>
      <c r="B326" s="3">
        <v>45426</v>
      </c>
      <c r="C326" s="1" t="str">
        <f t="shared" si="10"/>
        <v>May</v>
      </c>
      <c r="D326" s="1" t="s">
        <v>454</v>
      </c>
      <c r="E326" s="1" t="s">
        <v>565</v>
      </c>
      <c r="F326" s="1" t="s">
        <v>803</v>
      </c>
      <c r="G326" s="1" t="s">
        <v>806</v>
      </c>
      <c r="H326" s="1" t="s">
        <v>809</v>
      </c>
      <c r="I326" s="1" t="s">
        <v>816</v>
      </c>
      <c r="J326" s="1" t="s">
        <v>818</v>
      </c>
      <c r="K326" s="1" t="s">
        <v>822</v>
      </c>
      <c r="L326" s="1" t="s">
        <v>857</v>
      </c>
      <c r="M326" s="1">
        <v>11.97</v>
      </c>
      <c r="N326" s="1">
        <v>2450.44</v>
      </c>
      <c r="O326" s="1">
        <v>31499.23</v>
      </c>
      <c r="P326" s="1">
        <v>0.11</v>
      </c>
      <c r="Q326" s="1">
        <v>27196.240000000002</v>
      </c>
      <c r="R326" s="1">
        <v>17406.39</v>
      </c>
      <c r="S326" s="1">
        <f t="shared" si="11"/>
        <v>9789.8500000000022</v>
      </c>
      <c r="T326" s="1" t="s">
        <v>873</v>
      </c>
      <c r="U326" s="1" t="s">
        <v>879</v>
      </c>
      <c r="V326" s="5" t="s">
        <v>884</v>
      </c>
    </row>
    <row r="327" spans="1:22" x14ac:dyDescent="0.3">
      <c r="A327" s="4" t="s">
        <v>215</v>
      </c>
      <c r="B327" s="3">
        <v>45548</v>
      </c>
      <c r="C327" s="1" t="str">
        <f t="shared" si="10"/>
        <v>September</v>
      </c>
      <c r="D327" s="1" t="s">
        <v>333</v>
      </c>
      <c r="E327" s="1" t="s">
        <v>698</v>
      </c>
      <c r="F327" s="1" t="s">
        <v>801</v>
      </c>
      <c r="G327" s="1" t="s">
        <v>806</v>
      </c>
      <c r="H327" s="1" t="s">
        <v>811</v>
      </c>
      <c r="I327" s="1" t="s">
        <v>816</v>
      </c>
      <c r="J327" s="1" t="s">
        <v>817</v>
      </c>
      <c r="K327" s="1" t="s">
        <v>821</v>
      </c>
      <c r="L327" s="1" t="s">
        <v>840</v>
      </c>
      <c r="M327" s="1">
        <v>0.99</v>
      </c>
      <c r="N327" s="1">
        <v>2925.4</v>
      </c>
      <c r="O327" s="1">
        <v>2860.22</v>
      </c>
      <c r="P327" s="1">
        <v>0</v>
      </c>
      <c r="Q327" s="1">
        <v>2787.61</v>
      </c>
      <c r="R327" s="1">
        <v>1694.34</v>
      </c>
      <c r="S327" s="1">
        <f t="shared" si="11"/>
        <v>1093.2700000000002</v>
      </c>
      <c r="T327" s="1" t="s">
        <v>876</v>
      </c>
      <c r="U327" s="1" t="s">
        <v>879</v>
      </c>
      <c r="V327" s="5" t="s">
        <v>884</v>
      </c>
    </row>
    <row r="328" spans="1:22" x14ac:dyDescent="0.3">
      <c r="A328" s="4" t="s">
        <v>45</v>
      </c>
      <c r="B328" s="3">
        <v>45575</v>
      </c>
      <c r="C328" s="1" t="str">
        <f t="shared" si="10"/>
        <v>October</v>
      </c>
      <c r="D328" s="1" t="s">
        <v>444</v>
      </c>
      <c r="E328" s="1" t="s">
        <v>530</v>
      </c>
      <c r="F328" s="1" t="s">
        <v>802</v>
      </c>
      <c r="G328" s="1" t="s">
        <v>804</v>
      </c>
      <c r="H328" s="1" t="s">
        <v>809</v>
      </c>
      <c r="I328" s="1" t="s">
        <v>813</v>
      </c>
      <c r="J328" s="1" t="s">
        <v>817</v>
      </c>
      <c r="K328" s="1" t="s">
        <v>820</v>
      </c>
      <c r="L328" s="1" t="s">
        <v>844</v>
      </c>
      <c r="M328" s="1">
        <v>7.94</v>
      </c>
      <c r="N328" s="1">
        <v>2496.9299999999998</v>
      </c>
      <c r="O328" s="1">
        <v>20126.72</v>
      </c>
      <c r="P328" s="1">
        <v>0.16</v>
      </c>
      <c r="Q328" s="1">
        <v>17964.939999999999</v>
      </c>
      <c r="R328" s="1">
        <v>11342</v>
      </c>
      <c r="S328" s="1">
        <f t="shared" si="11"/>
        <v>6622.9399999999987</v>
      </c>
      <c r="T328" s="1" t="s">
        <v>874</v>
      </c>
      <c r="U328" s="1" t="s">
        <v>877</v>
      </c>
      <c r="V328" s="5" t="s">
        <v>882</v>
      </c>
    </row>
    <row r="329" spans="1:22" x14ac:dyDescent="0.3">
      <c r="A329" s="4" t="s">
        <v>255</v>
      </c>
      <c r="B329" s="3">
        <v>45564</v>
      </c>
      <c r="C329" s="1" t="str">
        <f t="shared" si="10"/>
        <v>September</v>
      </c>
      <c r="D329" s="1" t="s">
        <v>472</v>
      </c>
      <c r="E329" s="1" t="s">
        <v>738</v>
      </c>
      <c r="F329" s="1" t="s">
        <v>801</v>
      </c>
      <c r="G329" s="1" t="s">
        <v>807</v>
      </c>
      <c r="H329" s="1" t="s">
        <v>810</v>
      </c>
      <c r="I329" s="1" t="s">
        <v>813</v>
      </c>
      <c r="J329" s="1" t="s">
        <v>818</v>
      </c>
      <c r="K329" s="1" t="s">
        <v>821</v>
      </c>
      <c r="L329" s="1" t="s">
        <v>861</v>
      </c>
      <c r="M329" s="1">
        <v>7.42</v>
      </c>
      <c r="N329" s="1">
        <v>3355.85</v>
      </c>
      <c r="O329" s="1">
        <v>21443.61</v>
      </c>
      <c r="P329" s="1">
        <v>0.1</v>
      </c>
      <c r="Q329" s="1">
        <v>22819.47</v>
      </c>
      <c r="R329" s="1">
        <v>11587.52</v>
      </c>
      <c r="S329" s="1">
        <f t="shared" si="11"/>
        <v>11231.95</v>
      </c>
      <c r="T329" s="1" t="s">
        <v>873</v>
      </c>
      <c r="U329" s="1" t="s">
        <v>878</v>
      </c>
      <c r="V329" s="5" t="s">
        <v>882</v>
      </c>
    </row>
    <row r="330" spans="1:22" x14ac:dyDescent="0.3">
      <c r="A330" s="4" t="s">
        <v>72</v>
      </c>
      <c r="B330" s="3">
        <v>45527</v>
      </c>
      <c r="C330" s="1" t="str">
        <f t="shared" si="10"/>
        <v>August</v>
      </c>
      <c r="D330" s="1" t="s">
        <v>423</v>
      </c>
      <c r="E330" s="1" t="s">
        <v>557</v>
      </c>
      <c r="F330" s="1" t="s">
        <v>802</v>
      </c>
      <c r="G330" s="1" t="s">
        <v>806</v>
      </c>
      <c r="H330" s="1" t="s">
        <v>809</v>
      </c>
      <c r="I330" s="1" t="s">
        <v>816</v>
      </c>
      <c r="J330" s="1" t="s">
        <v>818</v>
      </c>
      <c r="K330" s="1" t="s">
        <v>821</v>
      </c>
      <c r="L330" s="1" t="s">
        <v>852</v>
      </c>
      <c r="M330" s="1">
        <v>6.34</v>
      </c>
      <c r="N330" s="1">
        <v>2408.23</v>
      </c>
      <c r="O330" s="1">
        <v>15095.06</v>
      </c>
      <c r="P330" s="1">
        <v>0.05</v>
      </c>
      <c r="Q330" s="1">
        <v>12658.58</v>
      </c>
      <c r="R330" s="1">
        <v>9910.5400000000009</v>
      </c>
      <c r="S330" s="1">
        <f t="shared" si="11"/>
        <v>2748.0399999999991</v>
      </c>
      <c r="T330" s="1" t="s">
        <v>876</v>
      </c>
      <c r="U330" s="1" t="s">
        <v>877</v>
      </c>
      <c r="V330" s="5" t="s">
        <v>882</v>
      </c>
    </row>
    <row r="331" spans="1:22" x14ac:dyDescent="0.3">
      <c r="A331" s="4" t="s">
        <v>255</v>
      </c>
      <c r="B331" s="3">
        <v>45564</v>
      </c>
      <c r="C331" s="1" t="str">
        <f t="shared" si="10"/>
        <v>September</v>
      </c>
      <c r="D331" s="1" t="s">
        <v>472</v>
      </c>
      <c r="E331" s="1" t="s">
        <v>738</v>
      </c>
      <c r="F331" s="1" t="s">
        <v>801</v>
      </c>
      <c r="G331" s="1" t="s">
        <v>807</v>
      </c>
      <c r="H331" s="1" t="s">
        <v>810</v>
      </c>
      <c r="I331" s="1" t="s">
        <v>813</v>
      </c>
      <c r="J331" s="1" t="s">
        <v>818</v>
      </c>
      <c r="K331" s="1" t="s">
        <v>821</v>
      </c>
      <c r="L331" s="1" t="s">
        <v>861</v>
      </c>
      <c r="M331" s="1">
        <v>7.09</v>
      </c>
      <c r="N331" s="1">
        <v>3436.37</v>
      </c>
      <c r="O331" s="1">
        <v>21627.5</v>
      </c>
      <c r="P331" s="1">
        <v>0.11</v>
      </c>
      <c r="Q331" s="1">
        <v>23235.58</v>
      </c>
      <c r="R331" s="1">
        <v>11374.59</v>
      </c>
      <c r="S331" s="1">
        <f t="shared" si="11"/>
        <v>11860.990000000002</v>
      </c>
      <c r="T331" s="1" t="s">
        <v>873</v>
      </c>
      <c r="U331" s="1" t="s">
        <v>878</v>
      </c>
      <c r="V331" s="5" t="s">
        <v>882</v>
      </c>
    </row>
    <row r="332" spans="1:22" x14ac:dyDescent="0.3">
      <c r="A332" s="4" t="s">
        <v>77</v>
      </c>
      <c r="B332" s="3">
        <v>45485</v>
      </c>
      <c r="C332" s="1" t="str">
        <f t="shared" si="10"/>
        <v>July</v>
      </c>
      <c r="D332" s="1" t="s">
        <v>356</v>
      </c>
      <c r="E332" s="1" t="s">
        <v>562</v>
      </c>
      <c r="F332" s="1" t="s">
        <v>803</v>
      </c>
      <c r="G332" s="1" t="s">
        <v>807</v>
      </c>
      <c r="H332" s="1" t="s">
        <v>809</v>
      </c>
      <c r="I332" s="1" t="s">
        <v>815</v>
      </c>
      <c r="J332" s="1" t="s">
        <v>819</v>
      </c>
      <c r="K332" s="1" t="s">
        <v>820</v>
      </c>
      <c r="L332" s="1" t="s">
        <v>846</v>
      </c>
      <c r="M332" s="1">
        <v>6.18</v>
      </c>
      <c r="N332" s="1">
        <v>3422.99</v>
      </c>
      <c r="O332" s="1">
        <v>19899.27</v>
      </c>
      <c r="P332" s="1">
        <v>0.16</v>
      </c>
      <c r="Q332" s="1">
        <v>17545.47</v>
      </c>
      <c r="R332" s="1">
        <v>11258.97</v>
      </c>
      <c r="S332" s="1">
        <f t="shared" si="11"/>
        <v>6286.5000000000018</v>
      </c>
      <c r="T332" s="1" t="s">
        <v>875</v>
      </c>
      <c r="U332" s="1" t="s">
        <v>878</v>
      </c>
      <c r="V332" s="5" t="s">
        <v>884</v>
      </c>
    </row>
    <row r="333" spans="1:22" x14ac:dyDescent="0.3">
      <c r="A333" s="4" t="s">
        <v>45</v>
      </c>
      <c r="B333" s="3">
        <v>45575</v>
      </c>
      <c r="C333" s="1" t="str">
        <f t="shared" si="10"/>
        <v>October</v>
      </c>
      <c r="D333" s="1" t="s">
        <v>444</v>
      </c>
      <c r="E333" s="1" t="s">
        <v>530</v>
      </c>
      <c r="F333" s="1" t="s">
        <v>802</v>
      </c>
      <c r="G333" s="1" t="s">
        <v>804</v>
      </c>
      <c r="H333" s="1" t="s">
        <v>809</v>
      </c>
      <c r="I333" s="1" t="s">
        <v>813</v>
      </c>
      <c r="J333" s="1" t="s">
        <v>817</v>
      </c>
      <c r="K333" s="1" t="s">
        <v>820</v>
      </c>
      <c r="L333" s="1" t="s">
        <v>844</v>
      </c>
      <c r="M333" s="1">
        <v>7.47</v>
      </c>
      <c r="N333" s="1">
        <v>2388.98</v>
      </c>
      <c r="O333" s="1">
        <v>21701.31</v>
      </c>
      <c r="P333" s="1">
        <v>0.14000000000000001</v>
      </c>
      <c r="Q333" s="1">
        <v>17046.71</v>
      </c>
      <c r="R333" s="1">
        <v>10779.87</v>
      </c>
      <c r="S333" s="1">
        <f t="shared" si="11"/>
        <v>6266.8399999999983</v>
      </c>
      <c r="T333" s="1" t="s">
        <v>874</v>
      </c>
      <c r="U333" s="1" t="s">
        <v>877</v>
      </c>
      <c r="V333" s="5" t="s">
        <v>882</v>
      </c>
    </row>
    <row r="334" spans="1:22" x14ac:dyDescent="0.3">
      <c r="A334" s="4" t="s">
        <v>88</v>
      </c>
      <c r="B334" s="3">
        <v>45539</v>
      </c>
      <c r="C334" s="1" t="str">
        <f t="shared" si="10"/>
        <v>September</v>
      </c>
      <c r="D334" s="1" t="s">
        <v>413</v>
      </c>
      <c r="E334" s="1" t="s">
        <v>573</v>
      </c>
      <c r="F334" s="1" t="s">
        <v>802</v>
      </c>
      <c r="G334" s="1" t="s">
        <v>804</v>
      </c>
      <c r="H334" s="1" t="s">
        <v>810</v>
      </c>
      <c r="I334" s="1" t="s">
        <v>816</v>
      </c>
      <c r="J334" s="1" t="s">
        <v>818</v>
      </c>
      <c r="K334" s="1" t="s">
        <v>822</v>
      </c>
      <c r="L334" s="1" t="s">
        <v>858</v>
      </c>
      <c r="M334" s="1">
        <v>6.81</v>
      </c>
      <c r="N334" s="1">
        <v>748.44</v>
      </c>
      <c r="O334" s="1">
        <v>5260.85</v>
      </c>
      <c r="P334" s="1">
        <v>0.16</v>
      </c>
      <c r="Q334" s="1">
        <v>4528.72</v>
      </c>
      <c r="R334" s="1">
        <v>3507.11</v>
      </c>
      <c r="S334" s="1">
        <f t="shared" si="11"/>
        <v>1021.6100000000001</v>
      </c>
      <c r="T334" s="1" t="s">
        <v>874</v>
      </c>
      <c r="U334" s="1" t="s">
        <v>879</v>
      </c>
      <c r="V334" s="5" t="s">
        <v>884</v>
      </c>
    </row>
    <row r="335" spans="1:22" x14ac:dyDescent="0.3">
      <c r="A335" s="4" t="s">
        <v>278</v>
      </c>
      <c r="B335" s="3">
        <v>45505</v>
      </c>
      <c r="C335" s="1" t="str">
        <f t="shared" si="10"/>
        <v>August</v>
      </c>
      <c r="D335" s="1" t="s">
        <v>480</v>
      </c>
      <c r="E335" s="1" t="s">
        <v>761</v>
      </c>
      <c r="F335" s="1" t="s">
        <v>801</v>
      </c>
      <c r="G335" s="1" t="s">
        <v>807</v>
      </c>
      <c r="H335" s="1" t="s">
        <v>811</v>
      </c>
      <c r="I335" s="1" t="s">
        <v>814</v>
      </c>
      <c r="J335" s="1" t="s">
        <v>818</v>
      </c>
      <c r="K335" s="1" t="s">
        <v>820</v>
      </c>
      <c r="L335" s="1" t="s">
        <v>848</v>
      </c>
      <c r="M335" s="1">
        <v>9.7200000000000006</v>
      </c>
      <c r="N335" s="1">
        <v>2548.91</v>
      </c>
      <c r="O335" s="1">
        <v>21671.17</v>
      </c>
      <c r="P335" s="1">
        <v>0.15</v>
      </c>
      <c r="Q335" s="1">
        <v>16276.95</v>
      </c>
      <c r="R335" s="1">
        <v>11712.8</v>
      </c>
      <c r="S335" s="1">
        <f t="shared" si="11"/>
        <v>4564.1500000000015</v>
      </c>
      <c r="T335" s="1" t="s">
        <v>873</v>
      </c>
      <c r="U335" s="1" t="s">
        <v>878</v>
      </c>
      <c r="V335" s="5" t="s">
        <v>884</v>
      </c>
    </row>
    <row r="336" spans="1:22" x14ac:dyDescent="0.3">
      <c r="A336" s="4" t="s">
        <v>244</v>
      </c>
      <c r="B336" s="3">
        <v>45370</v>
      </c>
      <c r="C336" s="1" t="str">
        <f t="shared" si="10"/>
        <v>March</v>
      </c>
      <c r="D336" s="1" t="s">
        <v>379</v>
      </c>
      <c r="E336" s="1" t="s">
        <v>727</v>
      </c>
      <c r="F336" s="1" t="s">
        <v>802</v>
      </c>
      <c r="G336" s="1" t="s">
        <v>807</v>
      </c>
      <c r="H336" s="1" t="s">
        <v>811</v>
      </c>
      <c r="I336" s="1" t="s">
        <v>809</v>
      </c>
      <c r="J336" s="1" t="s">
        <v>819</v>
      </c>
      <c r="K336" s="1" t="s">
        <v>822</v>
      </c>
      <c r="L336" s="1" t="s">
        <v>839</v>
      </c>
      <c r="M336" s="1">
        <v>5.36</v>
      </c>
      <c r="N336" s="1">
        <v>1554.66</v>
      </c>
      <c r="O336" s="1">
        <v>7463.49</v>
      </c>
      <c r="P336" s="1">
        <v>0.1</v>
      </c>
      <c r="Q336" s="1">
        <v>7300.04</v>
      </c>
      <c r="R336" s="1">
        <v>5164.03</v>
      </c>
      <c r="S336" s="1">
        <f t="shared" si="11"/>
        <v>2136.0100000000002</v>
      </c>
      <c r="T336" s="1" t="s">
        <v>873</v>
      </c>
      <c r="U336" s="1" t="s">
        <v>877</v>
      </c>
      <c r="V336" s="5" t="s">
        <v>884</v>
      </c>
    </row>
    <row r="337" spans="1:22" x14ac:dyDescent="0.3">
      <c r="A337" s="4" t="s">
        <v>81</v>
      </c>
      <c r="B337" s="3">
        <v>45544</v>
      </c>
      <c r="C337" s="1" t="str">
        <f t="shared" si="10"/>
        <v>September</v>
      </c>
      <c r="D337" s="1" t="s">
        <v>323</v>
      </c>
      <c r="E337" s="1" t="s">
        <v>566</v>
      </c>
      <c r="F337" s="1" t="s">
        <v>802</v>
      </c>
      <c r="G337" s="1" t="s">
        <v>806</v>
      </c>
      <c r="H337" s="1" t="s">
        <v>812</v>
      </c>
      <c r="I337" s="1" t="s">
        <v>815</v>
      </c>
      <c r="J337" s="1" t="s">
        <v>819</v>
      </c>
      <c r="K337" s="1" t="s">
        <v>822</v>
      </c>
      <c r="L337" s="1" t="s">
        <v>854</v>
      </c>
      <c r="M337" s="1">
        <v>7.5</v>
      </c>
      <c r="N337" s="1">
        <v>1044.45</v>
      </c>
      <c r="O337" s="1">
        <v>7062.05</v>
      </c>
      <c r="P337" s="1">
        <v>0.09</v>
      </c>
      <c r="Q337" s="1">
        <v>6805.59</v>
      </c>
      <c r="R337" s="1">
        <v>5801.56</v>
      </c>
      <c r="S337" s="1">
        <f t="shared" si="11"/>
        <v>1004.0299999999997</v>
      </c>
      <c r="T337" s="1" t="s">
        <v>876</v>
      </c>
      <c r="U337" s="1" t="s">
        <v>881</v>
      </c>
      <c r="V337" s="5" t="s">
        <v>882</v>
      </c>
    </row>
    <row r="338" spans="1:22" x14ac:dyDescent="0.3">
      <c r="A338" s="4" t="s">
        <v>111</v>
      </c>
      <c r="B338" s="3">
        <v>45425</v>
      </c>
      <c r="C338" s="1" t="str">
        <f t="shared" si="10"/>
        <v>May</v>
      </c>
      <c r="D338" s="1" t="s">
        <v>354</v>
      </c>
      <c r="E338" s="1" t="s">
        <v>596</v>
      </c>
      <c r="F338" s="1" t="s">
        <v>801</v>
      </c>
      <c r="G338" s="1" t="s">
        <v>805</v>
      </c>
      <c r="H338" s="1" t="s">
        <v>812</v>
      </c>
      <c r="I338" s="1" t="s">
        <v>814</v>
      </c>
      <c r="J338" s="1" t="s">
        <v>818</v>
      </c>
      <c r="K338" s="1" t="s">
        <v>820</v>
      </c>
      <c r="L338" s="1" t="s">
        <v>858</v>
      </c>
      <c r="M338" s="1">
        <v>6.02</v>
      </c>
      <c r="N338" s="1">
        <v>1215.6600000000001</v>
      </c>
      <c r="O338" s="1">
        <v>7515.7</v>
      </c>
      <c r="P338" s="1">
        <v>0.1</v>
      </c>
      <c r="Q338" s="1">
        <v>6612.29</v>
      </c>
      <c r="R338" s="1">
        <v>3587.49</v>
      </c>
      <c r="S338" s="1">
        <f t="shared" si="11"/>
        <v>3024.8</v>
      </c>
      <c r="T338" s="1" t="s">
        <v>876</v>
      </c>
      <c r="U338" s="1" t="s">
        <v>878</v>
      </c>
      <c r="V338" s="5" t="s">
        <v>883</v>
      </c>
    </row>
    <row r="339" spans="1:22" x14ac:dyDescent="0.3">
      <c r="A339" s="4" t="s">
        <v>218</v>
      </c>
      <c r="B339" s="3">
        <v>45585</v>
      </c>
      <c r="C339" s="1" t="str">
        <f t="shared" si="10"/>
        <v>October</v>
      </c>
      <c r="D339" s="1" t="s">
        <v>364</v>
      </c>
      <c r="E339" s="1" t="s">
        <v>701</v>
      </c>
      <c r="F339" s="1" t="s">
        <v>803</v>
      </c>
      <c r="G339" s="1" t="s">
        <v>805</v>
      </c>
      <c r="H339" s="1" t="s">
        <v>808</v>
      </c>
      <c r="I339" s="1" t="s">
        <v>809</v>
      </c>
      <c r="J339" s="1" t="s">
        <v>819</v>
      </c>
      <c r="K339" s="1" t="s">
        <v>822</v>
      </c>
      <c r="L339" s="1" t="s">
        <v>829</v>
      </c>
      <c r="M339" s="1">
        <v>9.3699999999999992</v>
      </c>
      <c r="N339" s="1">
        <v>3135.04</v>
      </c>
      <c r="O339" s="1">
        <v>33702.79</v>
      </c>
      <c r="P339" s="1">
        <v>0</v>
      </c>
      <c r="Q339" s="1">
        <v>31729.79</v>
      </c>
      <c r="R339" s="1">
        <v>27478.21</v>
      </c>
      <c r="S339" s="1">
        <f t="shared" si="11"/>
        <v>4251.5800000000017</v>
      </c>
      <c r="T339" s="1" t="s">
        <v>875</v>
      </c>
      <c r="U339" s="1" t="s">
        <v>877</v>
      </c>
      <c r="V339" s="5" t="s">
        <v>884</v>
      </c>
    </row>
    <row r="340" spans="1:22" x14ac:dyDescent="0.3">
      <c r="A340" s="4" t="s">
        <v>130</v>
      </c>
      <c r="B340" s="3">
        <v>45516</v>
      </c>
      <c r="C340" s="1" t="str">
        <f t="shared" si="10"/>
        <v>August</v>
      </c>
      <c r="D340" s="1" t="s">
        <v>342</v>
      </c>
      <c r="E340" s="1" t="s">
        <v>615</v>
      </c>
      <c r="F340" s="1" t="s">
        <v>801</v>
      </c>
      <c r="G340" s="1" t="s">
        <v>805</v>
      </c>
      <c r="H340" s="1" t="s">
        <v>808</v>
      </c>
      <c r="I340" s="1" t="s">
        <v>809</v>
      </c>
      <c r="J340" s="1" t="s">
        <v>819</v>
      </c>
      <c r="K340" s="1" t="s">
        <v>822</v>
      </c>
      <c r="L340" s="1" t="s">
        <v>838</v>
      </c>
      <c r="M340" s="1">
        <v>2.0699999999999998</v>
      </c>
      <c r="N340" s="1">
        <v>2279.7600000000002</v>
      </c>
      <c r="O340" s="1">
        <v>4520.57</v>
      </c>
      <c r="P340" s="1">
        <v>0.11</v>
      </c>
      <c r="Q340" s="1">
        <v>3500.22</v>
      </c>
      <c r="R340" s="1">
        <v>2737.56</v>
      </c>
      <c r="S340" s="1">
        <f t="shared" si="11"/>
        <v>762.65999999999985</v>
      </c>
      <c r="T340" s="1" t="s">
        <v>873</v>
      </c>
      <c r="U340" s="1" t="s">
        <v>880</v>
      </c>
      <c r="V340" s="5" t="s">
        <v>884</v>
      </c>
    </row>
    <row r="341" spans="1:22" x14ac:dyDescent="0.3">
      <c r="A341" s="4" t="s">
        <v>217</v>
      </c>
      <c r="B341" s="3">
        <v>45588</v>
      </c>
      <c r="C341" s="1" t="str">
        <f t="shared" si="10"/>
        <v>October</v>
      </c>
      <c r="D341" s="1" t="s">
        <v>425</v>
      </c>
      <c r="E341" s="1" t="s">
        <v>700</v>
      </c>
      <c r="F341" s="1" t="s">
        <v>802</v>
      </c>
      <c r="G341" s="1" t="s">
        <v>806</v>
      </c>
      <c r="H341" s="1" t="s">
        <v>810</v>
      </c>
      <c r="I341" s="1" t="s">
        <v>815</v>
      </c>
      <c r="J341" s="1" t="s">
        <v>819</v>
      </c>
      <c r="K341" s="1" t="s">
        <v>822</v>
      </c>
      <c r="L341" s="1" t="s">
        <v>863</v>
      </c>
      <c r="M341" s="1">
        <v>5.78</v>
      </c>
      <c r="N341" s="1">
        <v>1172.22</v>
      </c>
      <c r="O341" s="1">
        <v>5988.96</v>
      </c>
      <c r="P341" s="1">
        <v>0.05</v>
      </c>
      <c r="Q341" s="1">
        <v>6337.1</v>
      </c>
      <c r="R341" s="1">
        <v>4815.42</v>
      </c>
      <c r="S341" s="1">
        <f t="shared" si="11"/>
        <v>1521.6800000000003</v>
      </c>
      <c r="T341" s="1" t="s">
        <v>874</v>
      </c>
      <c r="U341" s="1" t="s">
        <v>879</v>
      </c>
      <c r="V341" s="5" t="s">
        <v>883</v>
      </c>
    </row>
    <row r="342" spans="1:22" x14ac:dyDescent="0.3">
      <c r="A342" s="4" t="s">
        <v>27</v>
      </c>
      <c r="B342" s="3">
        <v>45489</v>
      </c>
      <c r="C342" s="1" t="str">
        <f t="shared" si="10"/>
        <v>July</v>
      </c>
      <c r="D342" s="1" t="s">
        <v>440</v>
      </c>
      <c r="E342" s="1" t="s">
        <v>512</v>
      </c>
      <c r="F342" s="1" t="s">
        <v>801</v>
      </c>
      <c r="G342" s="1" t="s">
        <v>804</v>
      </c>
      <c r="H342" s="1" t="s">
        <v>810</v>
      </c>
      <c r="I342" s="1" t="s">
        <v>815</v>
      </c>
      <c r="J342" s="1" t="s">
        <v>817</v>
      </c>
      <c r="K342" s="1" t="s">
        <v>821</v>
      </c>
      <c r="L342" s="1" t="s">
        <v>829</v>
      </c>
      <c r="M342" s="1">
        <v>6.51</v>
      </c>
      <c r="N342" s="1">
        <v>468.33</v>
      </c>
      <c r="O342" s="1">
        <v>2680.65</v>
      </c>
      <c r="P342" s="1">
        <v>0.15</v>
      </c>
      <c r="Q342" s="1">
        <v>2200.5700000000002</v>
      </c>
      <c r="R342" s="1">
        <v>1748.32</v>
      </c>
      <c r="S342" s="1">
        <f t="shared" si="11"/>
        <v>452.25000000000023</v>
      </c>
      <c r="T342" s="1" t="s">
        <v>873</v>
      </c>
      <c r="U342" s="1" t="s">
        <v>878</v>
      </c>
      <c r="V342" s="5" t="s">
        <v>884</v>
      </c>
    </row>
    <row r="343" spans="1:22" x14ac:dyDescent="0.3">
      <c r="A343" s="4" t="s">
        <v>264</v>
      </c>
      <c r="B343" s="3">
        <v>45359</v>
      </c>
      <c r="C343" s="1" t="str">
        <f t="shared" si="10"/>
        <v>March</v>
      </c>
      <c r="D343" s="1" t="s">
        <v>381</v>
      </c>
      <c r="E343" s="1" t="s">
        <v>747</v>
      </c>
      <c r="F343" s="1" t="s">
        <v>801</v>
      </c>
      <c r="G343" s="1" t="s">
        <v>806</v>
      </c>
      <c r="H343" s="1" t="s">
        <v>809</v>
      </c>
      <c r="I343" s="1" t="s">
        <v>815</v>
      </c>
      <c r="J343" s="1" t="s">
        <v>817</v>
      </c>
      <c r="K343" s="1" t="s">
        <v>821</v>
      </c>
      <c r="L343" s="1" t="s">
        <v>841</v>
      </c>
      <c r="M343" s="1">
        <v>9.43</v>
      </c>
      <c r="N343" s="1">
        <v>2839.99</v>
      </c>
      <c r="O343" s="1">
        <v>32373.119999999999</v>
      </c>
      <c r="P343" s="1">
        <v>0</v>
      </c>
      <c r="Q343" s="1">
        <v>29569.71</v>
      </c>
      <c r="R343" s="1">
        <v>22031.27</v>
      </c>
      <c r="S343" s="1">
        <f t="shared" si="11"/>
        <v>7538.4399999999987</v>
      </c>
      <c r="T343" s="1" t="s">
        <v>874</v>
      </c>
      <c r="U343" s="1" t="s">
        <v>880</v>
      </c>
      <c r="V343" s="5" t="s">
        <v>884</v>
      </c>
    </row>
    <row r="344" spans="1:22" x14ac:dyDescent="0.3">
      <c r="A344" s="4" t="s">
        <v>125</v>
      </c>
      <c r="B344" s="3">
        <v>45404</v>
      </c>
      <c r="C344" s="1" t="str">
        <f t="shared" si="10"/>
        <v>April</v>
      </c>
      <c r="D344" s="1" t="s">
        <v>371</v>
      </c>
      <c r="E344" s="1" t="s">
        <v>610</v>
      </c>
      <c r="F344" s="1" t="s">
        <v>802</v>
      </c>
      <c r="G344" s="1" t="s">
        <v>806</v>
      </c>
      <c r="H344" s="1" t="s">
        <v>811</v>
      </c>
      <c r="I344" s="1" t="s">
        <v>814</v>
      </c>
      <c r="J344" s="1" t="s">
        <v>818</v>
      </c>
      <c r="K344" s="1" t="s">
        <v>820</v>
      </c>
      <c r="L344" s="1" t="s">
        <v>838</v>
      </c>
      <c r="M344" s="1">
        <v>6.52</v>
      </c>
      <c r="N344" s="1">
        <v>1660.39</v>
      </c>
      <c r="O344" s="1">
        <v>14107.02</v>
      </c>
      <c r="P344" s="1">
        <v>0.05</v>
      </c>
      <c r="Q344" s="1">
        <v>11482.98</v>
      </c>
      <c r="R344" s="1">
        <v>8399.69</v>
      </c>
      <c r="S344" s="1">
        <f t="shared" si="11"/>
        <v>3083.2899999999991</v>
      </c>
      <c r="T344" s="1" t="s">
        <v>874</v>
      </c>
      <c r="U344" s="1" t="s">
        <v>878</v>
      </c>
      <c r="V344" s="5" t="s">
        <v>884</v>
      </c>
    </row>
    <row r="345" spans="1:22" x14ac:dyDescent="0.3">
      <c r="A345" s="4" t="s">
        <v>165</v>
      </c>
      <c r="B345" s="3">
        <v>45497</v>
      </c>
      <c r="C345" s="1" t="str">
        <f t="shared" si="10"/>
        <v>July</v>
      </c>
      <c r="D345" s="1" t="s">
        <v>353</v>
      </c>
      <c r="E345" s="1" t="s">
        <v>650</v>
      </c>
      <c r="F345" s="1" t="s">
        <v>801</v>
      </c>
      <c r="G345" s="1" t="s">
        <v>806</v>
      </c>
      <c r="H345" s="1" t="s">
        <v>812</v>
      </c>
      <c r="I345" s="1" t="s">
        <v>813</v>
      </c>
      <c r="J345" s="1" t="s">
        <v>819</v>
      </c>
      <c r="K345" s="1" t="s">
        <v>821</v>
      </c>
      <c r="L345" s="1" t="s">
        <v>862</v>
      </c>
      <c r="M345" s="1">
        <v>6.45</v>
      </c>
      <c r="N345" s="1">
        <v>2613.44</v>
      </c>
      <c r="O345" s="1">
        <v>16081.98</v>
      </c>
      <c r="P345" s="1">
        <v>0.11</v>
      </c>
      <c r="Q345" s="1">
        <v>13809.15</v>
      </c>
      <c r="R345" s="1">
        <v>11848.37</v>
      </c>
      <c r="S345" s="1">
        <f t="shared" si="11"/>
        <v>1960.7799999999988</v>
      </c>
      <c r="T345" s="1" t="s">
        <v>876</v>
      </c>
      <c r="U345" s="1" t="s">
        <v>879</v>
      </c>
      <c r="V345" s="5" t="s">
        <v>882</v>
      </c>
    </row>
    <row r="346" spans="1:22" x14ac:dyDescent="0.3">
      <c r="A346" s="4" t="s">
        <v>211</v>
      </c>
      <c r="B346" s="3">
        <v>45482</v>
      </c>
      <c r="C346" s="1" t="str">
        <f t="shared" si="10"/>
        <v>July</v>
      </c>
      <c r="D346" s="1" t="s">
        <v>484</v>
      </c>
      <c r="E346" s="1" t="s">
        <v>694</v>
      </c>
      <c r="F346" s="1" t="s">
        <v>802</v>
      </c>
      <c r="G346" s="1" t="s">
        <v>806</v>
      </c>
      <c r="H346" s="1" t="s">
        <v>811</v>
      </c>
      <c r="I346" s="1" t="s">
        <v>809</v>
      </c>
      <c r="J346" s="1" t="s">
        <v>818</v>
      </c>
      <c r="K346" s="1" t="s">
        <v>820</v>
      </c>
      <c r="L346" s="1" t="s">
        <v>860</v>
      </c>
      <c r="M346" s="1">
        <v>0.99</v>
      </c>
      <c r="N346" s="1">
        <v>2398.23</v>
      </c>
      <c r="O346" s="1">
        <v>2344.42</v>
      </c>
      <c r="P346" s="1">
        <v>0.05</v>
      </c>
      <c r="Q346" s="1">
        <v>2417.9</v>
      </c>
      <c r="R346" s="1">
        <v>1736.54</v>
      </c>
      <c r="S346" s="1">
        <f t="shared" si="11"/>
        <v>681.36000000000013</v>
      </c>
      <c r="T346" s="1" t="s">
        <v>876</v>
      </c>
      <c r="U346" s="1" t="s">
        <v>879</v>
      </c>
      <c r="V346" s="5" t="s">
        <v>882</v>
      </c>
    </row>
    <row r="347" spans="1:22" x14ac:dyDescent="0.3">
      <c r="A347" s="4" t="s">
        <v>82</v>
      </c>
      <c r="B347" s="3">
        <v>45492</v>
      </c>
      <c r="C347" s="1" t="str">
        <f t="shared" si="10"/>
        <v>July</v>
      </c>
      <c r="D347" s="1" t="s">
        <v>353</v>
      </c>
      <c r="E347" s="1" t="s">
        <v>567</v>
      </c>
      <c r="F347" s="1" t="s">
        <v>802</v>
      </c>
      <c r="G347" s="1" t="s">
        <v>807</v>
      </c>
      <c r="H347" s="1" t="s">
        <v>810</v>
      </c>
      <c r="I347" s="1" t="s">
        <v>816</v>
      </c>
      <c r="J347" s="1" t="s">
        <v>817</v>
      </c>
      <c r="K347" s="1" t="s">
        <v>820</v>
      </c>
      <c r="L347" s="1" t="s">
        <v>844</v>
      </c>
      <c r="M347" s="1">
        <v>3.11</v>
      </c>
      <c r="N347" s="1">
        <v>1112.56</v>
      </c>
      <c r="O347" s="1">
        <v>3575.11</v>
      </c>
      <c r="P347" s="1">
        <v>0</v>
      </c>
      <c r="Q347" s="1">
        <v>3428.94</v>
      </c>
      <c r="R347" s="1">
        <v>2405.83</v>
      </c>
      <c r="S347" s="1">
        <f t="shared" si="11"/>
        <v>1023.1100000000001</v>
      </c>
      <c r="T347" s="1" t="s">
        <v>876</v>
      </c>
      <c r="U347" s="1" t="s">
        <v>880</v>
      </c>
      <c r="V347" s="5" t="s">
        <v>882</v>
      </c>
    </row>
    <row r="348" spans="1:22" x14ac:dyDescent="0.3">
      <c r="A348" s="4" t="s">
        <v>217</v>
      </c>
      <c r="B348" s="3">
        <v>45588</v>
      </c>
      <c r="C348" s="1" t="str">
        <f t="shared" si="10"/>
        <v>October</v>
      </c>
      <c r="D348" s="1" t="s">
        <v>425</v>
      </c>
      <c r="E348" s="1" t="s">
        <v>700</v>
      </c>
      <c r="F348" s="1" t="s">
        <v>802</v>
      </c>
      <c r="G348" s="1" t="s">
        <v>806</v>
      </c>
      <c r="H348" s="1" t="s">
        <v>810</v>
      </c>
      <c r="I348" s="1" t="s">
        <v>815</v>
      </c>
      <c r="J348" s="1" t="s">
        <v>819</v>
      </c>
      <c r="K348" s="1" t="s">
        <v>822</v>
      </c>
      <c r="L348" s="1" t="s">
        <v>863</v>
      </c>
      <c r="M348" s="1">
        <v>5.57</v>
      </c>
      <c r="N348" s="1">
        <v>1186.07</v>
      </c>
      <c r="O348" s="1">
        <v>5531.33</v>
      </c>
      <c r="P348" s="1">
        <v>0.05</v>
      </c>
      <c r="Q348" s="1">
        <v>6906.98</v>
      </c>
      <c r="R348" s="1">
        <v>4684.4399999999996</v>
      </c>
      <c r="S348" s="1">
        <f t="shared" si="11"/>
        <v>2222.54</v>
      </c>
      <c r="T348" s="1" t="s">
        <v>874</v>
      </c>
      <c r="U348" s="1" t="s">
        <v>879</v>
      </c>
      <c r="V348" s="5" t="s">
        <v>883</v>
      </c>
    </row>
    <row r="349" spans="1:22" x14ac:dyDescent="0.3">
      <c r="A349" s="4" t="s">
        <v>153</v>
      </c>
      <c r="B349" s="3">
        <v>45341</v>
      </c>
      <c r="C349" s="1" t="str">
        <f t="shared" si="10"/>
        <v>February</v>
      </c>
      <c r="D349" s="1" t="s">
        <v>461</v>
      </c>
      <c r="E349" s="1" t="s">
        <v>638</v>
      </c>
      <c r="F349" s="1" t="s">
        <v>803</v>
      </c>
      <c r="G349" s="1" t="s">
        <v>805</v>
      </c>
      <c r="H349" s="1" t="s">
        <v>809</v>
      </c>
      <c r="I349" s="1" t="s">
        <v>815</v>
      </c>
      <c r="J349" s="1" t="s">
        <v>817</v>
      </c>
      <c r="K349" s="1" t="s">
        <v>822</v>
      </c>
      <c r="L349" s="1" t="s">
        <v>830</v>
      </c>
      <c r="M349" s="1">
        <v>1.06</v>
      </c>
      <c r="N349" s="1">
        <v>2142.85</v>
      </c>
      <c r="O349" s="1">
        <v>2507.0500000000002</v>
      </c>
      <c r="P349" s="1">
        <v>0.15</v>
      </c>
      <c r="Q349" s="1">
        <v>2169.88</v>
      </c>
      <c r="R349" s="1">
        <v>1526.14</v>
      </c>
      <c r="S349" s="1">
        <f t="shared" si="11"/>
        <v>643.74</v>
      </c>
      <c r="T349" s="1" t="s">
        <v>876</v>
      </c>
      <c r="U349" s="1" t="s">
        <v>880</v>
      </c>
      <c r="V349" s="5" t="s">
        <v>883</v>
      </c>
    </row>
    <row r="350" spans="1:22" x14ac:dyDescent="0.3">
      <c r="A350" s="4" t="s">
        <v>308</v>
      </c>
      <c r="B350" s="3">
        <v>45360</v>
      </c>
      <c r="C350" s="1" t="str">
        <f t="shared" si="10"/>
        <v>March</v>
      </c>
      <c r="D350" s="1" t="s">
        <v>381</v>
      </c>
      <c r="E350" s="1" t="s">
        <v>790</v>
      </c>
      <c r="F350" s="1" t="s">
        <v>803</v>
      </c>
      <c r="G350" s="1" t="s">
        <v>805</v>
      </c>
      <c r="H350" s="1" t="s">
        <v>810</v>
      </c>
      <c r="I350" s="1" t="s">
        <v>816</v>
      </c>
      <c r="J350" s="1" t="s">
        <v>818</v>
      </c>
      <c r="K350" s="1" t="s">
        <v>822</v>
      </c>
      <c r="L350" s="1" t="s">
        <v>849</v>
      </c>
      <c r="M350" s="1">
        <v>5.49</v>
      </c>
      <c r="N350" s="1">
        <v>2955.52</v>
      </c>
      <c r="O350" s="1">
        <v>16815.09</v>
      </c>
      <c r="P350" s="1">
        <v>0</v>
      </c>
      <c r="Q350" s="1">
        <v>14520.05</v>
      </c>
      <c r="R350" s="1">
        <v>12364.29</v>
      </c>
      <c r="S350" s="1">
        <f t="shared" si="11"/>
        <v>2155.7599999999984</v>
      </c>
      <c r="T350" s="1" t="s">
        <v>875</v>
      </c>
      <c r="U350" s="1" t="s">
        <v>877</v>
      </c>
      <c r="V350" s="5" t="s">
        <v>884</v>
      </c>
    </row>
    <row r="351" spans="1:22" x14ac:dyDescent="0.3">
      <c r="A351" s="4" t="s">
        <v>307</v>
      </c>
      <c r="B351" s="3">
        <v>45525</v>
      </c>
      <c r="C351" s="1" t="str">
        <f t="shared" si="10"/>
        <v>August</v>
      </c>
      <c r="D351" s="1" t="s">
        <v>359</v>
      </c>
      <c r="E351" s="1" t="s">
        <v>789</v>
      </c>
      <c r="F351" s="1" t="s">
        <v>803</v>
      </c>
      <c r="G351" s="1" t="s">
        <v>804</v>
      </c>
      <c r="H351" s="1" t="s">
        <v>809</v>
      </c>
      <c r="I351" s="1" t="s">
        <v>813</v>
      </c>
      <c r="J351" s="1" t="s">
        <v>819</v>
      </c>
      <c r="K351" s="1" t="s">
        <v>820</v>
      </c>
      <c r="L351" s="1" t="s">
        <v>872</v>
      </c>
      <c r="M351" s="1">
        <v>9.23</v>
      </c>
      <c r="N351" s="1">
        <v>2185.0300000000002</v>
      </c>
      <c r="O351" s="1">
        <v>22881.040000000001</v>
      </c>
      <c r="P351" s="1">
        <v>0.05</v>
      </c>
      <c r="Q351" s="1">
        <v>20840.310000000001</v>
      </c>
      <c r="R351" s="1">
        <v>18137.91</v>
      </c>
      <c r="S351" s="1">
        <f t="shared" si="11"/>
        <v>2702.4000000000015</v>
      </c>
      <c r="T351" s="1" t="s">
        <v>874</v>
      </c>
      <c r="U351" s="1" t="s">
        <v>878</v>
      </c>
      <c r="V351" s="5" t="s">
        <v>884</v>
      </c>
    </row>
    <row r="352" spans="1:22" x14ac:dyDescent="0.3">
      <c r="A352" s="4" t="s">
        <v>259</v>
      </c>
      <c r="B352" s="3">
        <v>45458</v>
      </c>
      <c r="C352" s="1" t="str">
        <f t="shared" si="10"/>
        <v>June</v>
      </c>
      <c r="D352" s="1" t="s">
        <v>437</v>
      </c>
      <c r="E352" s="1" t="s">
        <v>742</v>
      </c>
      <c r="F352" s="1" t="s">
        <v>801</v>
      </c>
      <c r="G352" s="1" t="s">
        <v>805</v>
      </c>
      <c r="H352" s="1" t="s">
        <v>810</v>
      </c>
      <c r="I352" s="1" t="s">
        <v>815</v>
      </c>
      <c r="J352" s="1" t="s">
        <v>817</v>
      </c>
      <c r="K352" s="1" t="s">
        <v>821</v>
      </c>
      <c r="L352" s="1" t="s">
        <v>869</v>
      </c>
      <c r="M352" s="1">
        <v>3.86</v>
      </c>
      <c r="N352" s="1">
        <v>867.2</v>
      </c>
      <c r="O352" s="1">
        <v>3344.11</v>
      </c>
      <c r="P352" s="1">
        <v>0.05</v>
      </c>
      <c r="Q352" s="1">
        <v>3283</v>
      </c>
      <c r="R352" s="1">
        <v>2373.37</v>
      </c>
      <c r="S352" s="1">
        <f t="shared" si="11"/>
        <v>909.63000000000011</v>
      </c>
      <c r="T352" s="1" t="s">
        <v>876</v>
      </c>
      <c r="U352" s="1" t="s">
        <v>880</v>
      </c>
      <c r="V352" s="5" t="s">
        <v>884</v>
      </c>
    </row>
    <row r="353" spans="1:22" x14ac:dyDescent="0.3">
      <c r="A353" s="4" t="s">
        <v>215</v>
      </c>
      <c r="B353" s="3">
        <v>45548</v>
      </c>
      <c r="C353" s="1" t="str">
        <f t="shared" si="10"/>
        <v>September</v>
      </c>
      <c r="D353" s="1" t="s">
        <v>333</v>
      </c>
      <c r="E353" s="1" t="s">
        <v>698</v>
      </c>
      <c r="F353" s="1" t="s">
        <v>801</v>
      </c>
      <c r="G353" s="1" t="s">
        <v>806</v>
      </c>
      <c r="H353" s="1" t="s">
        <v>811</v>
      </c>
      <c r="I353" s="1" t="s">
        <v>816</v>
      </c>
      <c r="J353" s="1" t="s">
        <v>817</v>
      </c>
      <c r="K353" s="1" t="s">
        <v>821</v>
      </c>
      <c r="L353" s="1" t="s">
        <v>840</v>
      </c>
      <c r="M353" s="1">
        <v>0.94</v>
      </c>
      <c r="N353" s="1">
        <v>3016.12</v>
      </c>
      <c r="O353" s="1">
        <v>3033.34</v>
      </c>
      <c r="P353" s="1">
        <v>0</v>
      </c>
      <c r="Q353" s="1">
        <v>2931.06</v>
      </c>
      <c r="R353" s="1">
        <v>1955.75</v>
      </c>
      <c r="S353" s="1">
        <f t="shared" si="11"/>
        <v>975.31</v>
      </c>
      <c r="T353" s="1" t="s">
        <v>876</v>
      </c>
      <c r="U353" s="1" t="s">
        <v>879</v>
      </c>
      <c r="V353" s="5" t="s">
        <v>884</v>
      </c>
    </row>
    <row r="354" spans="1:22" x14ac:dyDescent="0.3">
      <c r="A354" s="4" t="s">
        <v>311</v>
      </c>
      <c r="B354" s="3">
        <v>45439</v>
      </c>
      <c r="C354" s="1" t="str">
        <f t="shared" si="10"/>
        <v>May</v>
      </c>
      <c r="D354" s="1" t="s">
        <v>504</v>
      </c>
      <c r="E354" s="1" t="s">
        <v>793</v>
      </c>
      <c r="F354" s="1" t="s">
        <v>802</v>
      </c>
      <c r="G354" s="1" t="s">
        <v>805</v>
      </c>
      <c r="H354" s="1" t="s">
        <v>808</v>
      </c>
      <c r="I354" s="1" t="s">
        <v>813</v>
      </c>
      <c r="J354" s="1" t="s">
        <v>818</v>
      </c>
      <c r="K354" s="1" t="s">
        <v>821</v>
      </c>
      <c r="L354" s="1" t="s">
        <v>839</v>
      </c>
      <c r="M354" s="1">
        <v>1.07</v>
      </c>
      <c r="N354" s="1">
        <v>2410.94</v>
      </c>
      <c r="O354" s="1">
        <v>2606.34</v>
      </c>
      <c r="P354" s="1">
        <v>0.15</v>
      </c>
      <c r="Q354" s="1">
        <v>2162.94</v>
      </c>
      <c r="R354" s="1">
        <v>1882.09</v>
      </c>
      <c r="S354" s="1">
        <f t="shared" si="11"/>
        <v>280.85000000000014</v>
      </c>
      <c r="T354" s="1" t="s">
        <v>873</v>
      </c>
      <c r="U354" s="1" t="s">
        <v>880</v>
      </c>
      <c r="V354" s="5" t="s">
        <v>884</v>
      </c>
    </row>
    <row r="355" spans="1:22" x14ac:dyDescent="0.3">
      <c r="A355" s="4" t="s">
        <v>318</v>
      </c>
      <c r="B355" s="3">
        <v>45620</v>
      </c>
      <c r="C355" s="1" t="str">
        <f t="shared" si="10"/>
        <v>November</v>
      </c>
      <c r="D355" s="1" t="s">
        <v>505</v>
      </c>
      <c r="E355" s="1" t="s">
        <v>800</v>
      </c>
      <c r="F355" s="1" t="s">
        <v>801</v>
      </c>
      <c r="G355" s="1" t="s">
        <v>806</v>
      </c>
      <c r="H355" s="1" t="s">
        <v>812</v>
      </c>
      <c r="I355" s="1" t="s">
        <v>809</v>
      </c>
      <c r="J355" s="1" t="s">
        <v>819</v>
      </c>
      <c r="K355" s="1" t="s">
        <v>822</v>
      </c>
      <c r="L355" s="1" t="s">
        <v>826</v>
      </c>
      <c r="M355" s="1">
        <v>4.82</v>
      </c>
      <c r="N355" s="1">
        <v>3242.95</v>
      </c>
      <c r="O355" s="1">
        <v>16015.26</v>
      </c>
      <c r="P355" s="1">
        <v>0</v>
      </c>
      <c r="Q355" s="1">
        <v>16727.03</v>
      </c>
      <c r="R355" s="1">
        <v>10436.52</v>
      </c>
      <c r="S355" s="1">
        <f t="shared" si="11"/>
        <v>6290.5099999999984</v>
      </c>
      <c r="T355" s="1" t="s">
        <v>876</v>
      </c>
      <c r="U355" s="1" t="s">
        <v>877</v>
      </c>
      <c r="V355" s="5" t="s">
        <v>884</v>
      </c>
    </row>
    <row r="356" spans="1:22" x14ac:dyDescent="0.3">
      <c r="A356" s="4" t="s">
        <v>244</v>
      </c>
      <c r="B356" s="3">
        <v>45370</v>
      </c>
      <c r="C356" s="1" t="str">
        <f t="shared" si="10"/>
        <v>March</v>
      </c>
      <c r="D356" s="1" t="s">
        <v>379</v>
      </c>
      <c r="E356" s="1" t="s">
        <v>727</v>
      </c>
      <c r="F356" s="1" t="s">
        <v>802</v>
      </c>
      <c r="G356" s="1" t="s">
        <v>807</v>
      </c>
      <c r="H356" s="1" t="s">
        <v>811</v>
      </c>
      <c r="I356" s="1" t="s">
        <v>809</v>
      </c>
      <c r="J356" s="1" t="s">
        <v>819</v>
      </c>
      <c r="K356" s="1" t="s">
        <v>822</v>
      </c>
      <c r="L356" s="1" t="s">
        <v>839</v>
      </c>
      <c r="M356" s="1">
        <v>5.41</v>
      </c>
      <c r="N356" s="1">
        <v>1479.01</v>
      </c>
      <c r="O356" s="1">
        <v>7541.36</v>
      </c>
      <c r="P356" s="1">
        <v>0.1</v>
      </c>
      <c r="Q356" s="1">
        <v>7998.34</v>
      </c>
      <c r="R356" s="1">
        <v>4685.29</v>
      </c>
      <c r="S356" s="1">
        <f t="shared" si="11"/>
        <v>3313.05</v>
      </c>
      <c r="T356" s="1" t="s">
        <v>873</v>
      </c>
      <c r="U356" s="1" t="s">
        <v>877</v>
      </c>
      <c r="V356" s="5" t="s">
        <v>884</v>
      </c>
    </row>
    <row r="357" spans="1:22" x14ac:dyDescent="0.3">
      <c r="A357" s="4" t="s">
        <v>187</v>
      </c>
      <c r="B357" s="3">
        <v>45531</v>
      </c>
      <c r="C357" s="1" t="str">
        <f t="shared" si="10"/>
        <v>August</v>
      </c>
      <c r="D357" s="1" t="s">
        <v>478</v>
      </c>
      <c r="E357" s="1" t="s">
        <v>671</v>
      </c>
      <c r="F357" s="1" t="s">
        <v>801</v>
      </c>
      <c r="G357" s="1" t="s">
        <v>806</v>
      </c>
      <c r="H357" s="1" t="s">
        <v>812</v>
      </c>
      <c r="I357" s="1" t="s">
        <v>816</v>
      </c>
      <c r="J357" s="1" t="s">
        <v>818</v>
      </c>
      <c r="K357" s="1" t="s">
        <v>820</v>
      </c>
      <c r="L357" s="1" t="s">
        <v>830</v>
      </c>
      <c r="M357" s="1">
        <v>4.21</v>
      </c>
      <c r="N357" s="1">
        <v>875.6</v>
      </c>
      <c r="O357" s="1">
        <v>3269.55</v>
      </c>
      <c r="P357" s="1">
        <v>0.11</v>
      </c>
      <c r="Q357" s="1">
        <v>3388.97</v>
      </c>
      <c r="R357" s="1">
        <v>1976.48</v>
      </c>
      <c r="S357" s="1">
        <f t="shared" si="11"/>
        <v>1412.4899999999998</v>
      </c>
      <c r="T357" s="1" t="s">
        <v>873</v>
      </c>
      <c r="U357" s="1" t="s">
        <v>880</v>
      </c>
      <c r="V357" s="5" t="s">
        <v>883</v>
      </c>
    </row>
    <row r="358" spans="1:22" x14ac:dyDescent="0.3">
      <c r="A358" s="4" t="s">
        <v>158</v>
      </c>
      <c r="B358" s="3">
        <v>45332</v>
      </c>
      <c r="C358" s="1" t="str">
        <f t="shared" si="10"/>
        <v>February</v>
      </c>
      <c r="D358" s="1" t="s">
        <v>397</v>
      </c>
      <c r="E358" s="1" t="s">
        <v>643</v>
      </c>
      <c r="F358" s="1" t="s">
        <v>803</v>
      </c>
      <c r="G358" s="1" t="s">
        <v>806</v>
      </c>
      <c r="H358" s="1" t="s">
        <v>808</v>
      </c>
      <c r="I358" s="1" t="s">
        <v>813</v>
      </c>
      <c r="J358" s="1" t="s">
        <v>818</v>
      </c>
      <c r="K358" s="1" t="s">
        <v>822</v>
      </c>
      <c r="L358" s="1" t="s">
        <v>837</v>
      </c>
      <c r="M358" s="1">
        <v>2.02</v>
      </c>
      <c r="N358" s="1">
        <v>3070.59</v>
      </c>
      <c r="O358" s="1">
        <v>6648.14</v>
      </c>
      <c r="P358" s="1">
        <v>0.15</v>
      </c>
      <c r="Q358" s="1">
        <v>5080.05</v>
      </c>
      <c r="R358" s="1">
        <v>4272.87</v>
      </c>
      <c r="S358" s="1">
        <f t="shared" si="11"/>
        <v>807.18000000000029</v>
      </c>
      <c r="T358" s="1" t="s">
        <v>876</v>
      </c>
      <c r="U358" s="1" t="s">
        <v>877</v>
      </c>
      <c r="V358" s="5" t="s">
        <v>883</v>
      </c>
    </row>
    <row r="359" spans="1:22" x14ac:dyDescent="0.3">
      <c r="A359" s="4" t="s">
        <v>87</v>
      </c>
      <c r="B359" s="3">
        <v>45311</v>
      </c>
      <c r="C359" s="1" t="str">
        <f t="shared" si="10"/>
        <v>January</v>
      </c>
      <c r="D359" s="1" t="s">
        <v>455</v>
      </c>
      <c r="E359" s="1" t="s">
        <v>572</v>
      </c>
      <c r="F359" s="1" t="s">
        <v>801</v>
      </c>
      <c r="G359" s="1" t="s">
        <v>807</v>
      </c>
      <c r="H359" s="1" t="s">
        <v>810</v>
      </c>
      <c r="I359" s="1" t="s">
        <v>814</v>
      </c>
      <c r="J359" s="1" t="s">
        <v>819</v>
      </c>
      <c r="K359" s="1" t="s">
        <v>820</v>
      </c>
      <c r="L359" s="1" t="s">
        <v>833</v>
      </c>
      <c r="M359" s="1">
        <v>11.9</v>
      </c>
      <c r="N359" s="1">
        <v>2392.9899999999998</v>
      </c>
      <c r="O359" s="1">
        <v>27232.79</v>
      </c>
      <c r="P359" s="1">
        <v>0.05</v>
      </c>
      <c r="Q359" s="1">
        <v>25737.08</v>
      </c>
      <c r="R359" s="1">
        <v>23533.75</v>
      </c>
      <c r="S359" s="1">
        <f t="shared" si="11"/>
        <v>2203.3300000000017</v>
      </c>
      <c r="T359" s="1" t="s">
        <v>876</v>
      </c>
      <c r="U359" s="1" t="s">
        <v>878</v>
      </c>
      <c r="V359" s="5" t="s">
        <v>883</v>
      </c>
    </row>
    <row r="360" spans="1:22" x14ac:dyDescent="0.3">
      <c r="A360" s="4" t="s">
        <v>107</v>
      </c>
      <c r="B360" s="3">
        <v>45426</v>
      </c>
      <c r="C360" s="1" t="str">
        <f t="shared" si="10"/>
        <v>May</v>
      </c>
      <c r="D360" s="1" t="s">
        <v>454</v>
      </c>
      <c r="E360" s="1" t="s">
        <v>592</v>
      </c>
      <c r="F360" s="1" t="s">
        <v>801</v>
      </c>
      <c r="G360" s="1" t="s">
        <v>807</v>
      </c>
      <c r="H360" s="1" t="s">
        <v>810</v>
      </c>
      <c r="I360" s="1" t="s">
        <v>809</v>
      </c>
      <c r="J360" s="1" t="s">
        <v>818</v>
      </c>
      <c r="K360" s="1" t="s">
        <v>820</v>
      </c>
      <c r="L360" s="1" t="s">
        <v>835</v>
      </c>
      <c r="M360" s="1">
        <v>0.92</v>
      </c>
      <c r="N360" s="1">
        <v>1177.1199999999999</v>
      </c>
      <c r="O360" s="1">
        <v>1179.3599999999999</v>
      </c>
      <c r="P360" s="1">
        <v>0.15</v>
      </c>
      <c r="Q360" s="1">
        <v>1030.05</v>
      </c>
      <c r="R360" s="1">
        <v>853.89</v>
      </c>
      <c r="S360" s="1">
        <f t="shared" si="11"/>
        <v>176.15999999999997</v>
      </c>
      <c r="T360" s="1" t="s">
        <v>874</v>
      </c>
      <c r="U360" s="1" t="s">
        <v>880</v>
      </c>
      <c r="V360" s="5" t="s">
        <v>883</v>
      </c>
    </row>
    <row r="361" spans="1:22" x14ac:dyDescent="0.3">
      <c r="A361" s="4" t="s">
        <v>62</v>
      </c>
      <c r="B361" s="3">
        <v>45453</v>
      </c>
      <c r="C361" s="1" t="str">
        <f t="shared" si="10"/>
        <v>June</v>
      </c>
      <c r="D361" s="1" t="s">
        <v>449</v>
      </c>
      <c r="E361" s="1" t="s">
        <v>547</v>
      </c>
      <c r="F361" s="1" t="s">
        <v>803</v>
      </c>
      <c r="G361" s="1" t="s">
        <v>804</v>
      </c>
      <c r="H361" s="1" t="s">
        <v>812</v>
      </c>
      <c r="I361" s="1" t="s">
        <v>815</v>
      </c>
      <c r="J361" s="1" t="s">
        <v>819</v>
      </c>
      <c r="K361" s="1" t="s">
        <v>820</v>
      </c>
      <c r="L361" s="1" t="s">
        <v>832</v>
      </c>
      <c r="M361" s="1">
        <v>6.1</v>
      </c>
      <c r="N361" s="1">
        <v>389.99</v>
      </c>
      <c r="O361" s="1">
        <v>2303.8200000000002</v>
      </c>
      <c r="P361" s="1">
        <v>0.11</v>
      </c>
      <c r="Q361" s="1">
        <v>2220.61</v>
      </c>
      <c r="R361" s="1">
        <v>1745.9</v>
      </c>
      <c r="S361" s="1">
        <f t="shared" si="11"/>
        <v>474.71000000000004</v>
      </c>
      <c r="T361" s="1" t="s">
        <v>873</v>
      </c>
      <c r="U361" s="1" t="s">
        <v>881</v>
      </c>
      <c r="V361" s="5" t="s">
        <v>882</v>
      </c>
    </row>
    <row r="362" spans="1:22" x14ac:dyDescent="0.3">
      <c r="A362" s="4" t="s">
        <v>256</v>
      </c>
      <c r="B362" s="3">
        <v>45396</v>
      </c>
      <c r="C362" s="1" t="str">
        <f t="shared" si="10"/>
        <v>April</v>
      </c>
      <c r="D362" s="1" t="s">
        <v>372</v>
      </c>
      <c r="E362" s="1" t="s">
        <v>739</v>
      </c>
      <c r="F362" s="1" t="s">
        <v>802</v>
      </c>
      <c r="G362" s="1" t="s">
        <v>805</v>
      </c>
      <c r="H362" s="1" t="s">
        <v>810</v>
      </c>
      <c r="I362" s="1" t="s">
        <v>809</v>
      </c>
      <c r="J362" s="1" t="s">
        <v>818</v>
      </c>
      <c r="K362" s="1" t="s">
        <v>821</v>
      </c>
      <c r="L362" s="1" t="s">
        <v>855</v>
      </c>
      <c r="M362" s="1">
        <v>3.09</v>
      </c>
      <c r="N362" s="1">
        <v>1663.65</v>
      </c>
      <c r="O362" s="1">
        <v>5295.97</v>
      </c>
      <c r="P362" s="1">
        <v>0</v>
      </c>
      <c r="Q362" s="1">
        <v>4819.47</v>
      </c>
      <c r="R362" s="1">
        <v>3521.94</v>
      </c>
      <c r="S362" s="1">
        <f t="shared" si="11"/>
        <v>1297.5300000000002</v>
      </c>
      <c r="T362" s="1" t="s">
        <v>875</v>
      </c>
      <c r="U362" s="1" t="s">
        <v>878</v>
      </c>
      <c r="V362" s="5" t="s">
        <v>882</v>
      </c>
    </row>
    <row r="363" spans="1:22" x14ac:dyDescent="0.3">
      <c r="A363" s="4" t="s">
        <v>71</v>
      </c>
      <c r="B363" s="3">
        <v>45420</v>
      </c>
      <c r="C363" s="1" t="str">
        <f t="shared" si="10"/>
        <v>May</v>
      </c>
      <c r="D363" s="1" t="s">
        <v>358</v>
      </c>
      <c r="E363" s="1" t="s">
        <v>556</v>
      </c>
      <c r="F363" s="1" t="s">
        <v>802</v>
      </c>
      <c r="G363" s="1" t="s">
        <v>806</v>
      </c>
      <c r="H363" s="1" t="s">
        <v>811</v>
      </c>
      <c r="I363" s="1" t="s">
        <v>815</v>
      </c>
      <c r="J363" s="1" t="s">
        <v>817</v>
      </c>
      <c r="K363" s="1" t="s">
        <v>821</v>
      </c>
      <c r="L363" s="1" t="s">
        <v>851</v>
      </c>
      <c r="M363" s="1">
        <v>9.99</v>
      </c>
      <c r="N363" s="1">
        <v>1807.3</v>
      </c>
      <c r="O363" s="1">
        <v>20886.099999999999</v>
      </c>
      <c r="P363" s="1">
        <v>0</v>
      </c>
      <c r="Q363" s="1">
        <v>17770.59</v>
      </c>
      <c r="R363" s="1">
        <v>13038.66</v>
      </c>
      <c r="S363" s="1">
        <f t="shared" si="11"/>
        <v>4731.93</v>
      </c>
      <c r="T363" s="1" t="s">
        <v>876</v>
      </c>
      <c r="U363" s="1" t="s">
        <v>881</v>
      </c>
      <c r="V363" s="5" t="s">
        <v>884</v>
      </c>
    </row>
    <row r="364" spans="1:22" x14ac:dyDescent="0.3">
      <c r="A364" s="4" t="s">
        <v>205</v>
      </c>
      <c r="B364" s="3">
        <v>45516</v>
      </c>
      <c r="C364" s="1" t="str">
        <f t="shared" si="10"/>
        <v>August</v>
      </c>
      <c r="D364" s="1" t="s">
        <v>482</v>
      </c>
      <c r="E364" s="1" t="s">
        <v>689</v>
      </c>
      <c r="F364" s="1" t="s">
        <v>801</v>
      </c>
      <c r="G364" s="1" t="s">
        <v>807</v>
      </c>
      <c r="H364" s="1" t="s">
        <v>809</v>
      </c>
      <c r="I364" s="1" t="s">
        <v>816</v>
      </c>
      <c r="J364" s="1" t="s">
        <v>818</v>
      </c>
      <c r="K364" s="1" t="s">
        <v>821</v>
      </c>
      <c r="L364" s="1" t="s">
        <v>836</v>
      </c>
      <c r="M364" s="1">
        <v>10.24</v>
      </c>
      <c r="N364" s="1">
        <v>3160.53</v>
      </c>
      <c r="O364" s="1">
        <v>40026.93</v>
      </c>
      <c r="P364" s="1">
        <v>0.05</v>
      </c>
      <c r="Q364" s="1">
        <v>33458.01</v>
      </c>
      <c r="R364" s="1">
        <v>27555.86</v>
      </c>
      <c r="S364" s="1">
        <f t="shared" si="11"/>
        <v>5902.1500000000015</v>
      </c>
      <c r="T364" s="1" t="s">
        <v>875</v>
      </c>
      <c r="U364" s="1" t="s">
        <v>878</v>
      </c>
      <c r="V364" s="5" t="s">
        <v>882</v>
      </c>
    </row>
    <row r="365" spans="1:22" x14ac:dyDescent="0.3">
      <c r="A365" s="4" t="s">
        <v>45</v>
      </c>
      <c r="B365" s="3">
        <v>45575</v>
      </c>
      <c r="C365" s="1" t="str">
        <f t="shared" si="10"/>
        <v>October</v>
      </c>
      <c r="D365" s="1" t="s">
        <v>444</v>
      </c>
      <c r="E365" s="1" t="s">
        <v>530</v>
      </c>
      <c r="F365" s="1" t="s">
        <v>802</v>
      </c>
      <c r="G365" s="1" t="s">
        <v>804</v>
      </c>
      <c r="H365" s="1" t="s">
        <v>809</v>
      </c>
      <c r="I365" s="1" t="s">
        <v>813</v>
      </c>
      <c r="J365" s="1" t="s">
        <v>817</v>
      </c>
      <c r="K365" s="1" t="s">
        <v>820</v>
      </c>
      <c r="L365" s="1" t="s">
        <v>844</v>
      </c>
      <c r="M365" s="1">
        <v>8</v>
      </c>
      <c r="N365" s="1">
        <v>2247.27</v>
      </c>
      <c r="O365" s="1">
        <v>21144.85</v>
      </c>
      <c r="P365" s="1">
        <v>0.15</v>
      </c>
      <c r="Q365" s="1">
        <v>17521.14</v>
      </c>
      <c r="R365" s="1">
        <v>10187.040000000001</v>
      </c>
      <c r="S365" s="1">
        <f t="shared" si="11"/>
        <v>7334.0999999999985</v>
      </c>
      <c r="T365" s="1" t="s">
        <v>874</v>
      </c>
      <c r="U365" s="1" t="s">
        <v>877</v>
      </c>
      <c r="V365" s="5" t="s">
        <v>882</v>
      </c>
    </row>
    <row r="366" spans="1:22" x14ac:dyDescent="0.3">
      <c r="A366" s="4" t="s">
        <v>294</v>
      </c>
      <c r="B366" s="3">
        <v>45391</v>
      </c>
      <c r="C366" s="1" t="str">
        <f t="shared" si="10"/>
        <v>April</v>
      </c>
      <c r="D366" s="1" t="s">
        <v>501</v>
      </c>
      <c r="E366" s="1" t="s">
        <v>776</v>
      </c>
      <c r="F366" s="1" t="s">
        <v>802</v>
      </c>
      <c r="G366" s="1" t="s">
        <v>806</v>
      </c>
      <c r="H366" s="1" t="s">
        <v>812</v>
      </c>
      <c r="I366" s="1" t="s">
        <v>813</v>
      </c>
      <c r="J366" s="1" t="s">
        <v>818</v>
      </c>
      <c r="K366" s="1" t="s">
        <v>821</v>
      </c>
      <c r="L366" s="1" t="s">
        <v>839</v>
      </c>
      <c r="M366" s="1">
        <v>11.82</v>
      </c>
      <c r="N366" s="1">
        <v>3022.15</v>
      </c>
      <c r="O366" s="1">
        <v>34804.11</v>
      </c>
      <c r="P366" s="1">
        <v>0</v>
      </c>
      <c r="Q366" s="1">
        <v>41200.53</v>
      </c>
      <c r="R366" s="1">
        <v>24485.4</v>
      </c>
      <c r="S366" s="1">
        <f t="shared" si="11"/>
        <v>16715.129999999997</v>
      </c>
      <c r="T366" s="1" t="s">
        <v>876</v>
      </c>
      <c r="U366" s="1" t="s">
        <v>881</v>
      </c>
      <c r="V366" s="5" t="s">
        <v>883</v>
      </c>
    </row>
    <row r="367" spans="1:22" x14ac:dyDescent="0.3">
      <c r="A367" s="4" t="s">
        <v>119</v>
      </c>
      <c r="B367" s="3">
        <v>45490</v>
      </c>
      <c r="C367" s="1" t="str">
        <f t="shared" si="10"/>
        <v>July</v>
      </c>
      <c r="D367" s="1" t="s">
        <v>329</v>
      </c>
      <c r="E367" s="1" t="s">
        <v>604</v>
      </c>
      <c r="F367" s="1" t="s">
        <v>802</v>
      </c>
      <c r="G367" s="1" t="s">
        <v>807</v>
      </c>
      <c r="H367" s="1" t="s">
        <v>811</v>
      </c>
      <c r="I367" s="1" t="s">
        <v>809</v>
      </c>
      <c r="J367" s="1" t="s">
        <v>817</v>
      </c>
      <c r="K367" s="1" t="s">
        <v>822</v>
      </c>
      <c r="L367" s="1" t="s">
        <v>854</v>
      </c>
      <c r="M367" s="1">
        <v>1.0900000000000001</v>
      </c>
      <c r="N367" s="1">
        <v>444.54</v>
      </c>
      <c r="O367" s="1">
        <v>427.99</v>
      </c>
      <c r="P367" s="1">
        <v>0.17</v>
      </c>
      <c r="Q367" s="1">
        <v>393.18</v>
      </c>
      <c r="R367" s="1">
        <v>260.63</v>
      </c>
      <c r="S367" s="1">
        <f t="shared" si="11"/>
        <v>132.55000000000001</v>
      </c>
      <c r="T367" s="1" t="s">
        <v>873</v>
      </c>
      <c r="U367" s="1" t="s">
        <v>877</v>
      </c>
      <c r="V367" s="5" t="s">
        <v>883</v>
      </c>
    </row>
    <row r="368" spans="1:22" x14ac:dyDescent="0.3">
      <c r="A368" s="4" t="s">
        <v>93</v>
      </c>
      <c r="B368" s="3">
        <v>45557</v>
      </c>
      <c r="C368" s="1" t="str">
        <f t="shared" si="10"/>
        <v>September</v>
      </c>
      <c r="D368" s="1" t="s">
        <v>382</v>
      </c>
      <c r="E368" s="1" t="s">
        <v>578</v>
      </c>
      <c r="F368" s="1" t="s">
        <v>803</v>
      </c>
      <c r="G368" s="1" t="s">
        <v>804</v>
      </c>
      <c r="H368" s="1" t="s">
        <v>812</v>
      </c>
      <c r="I368" s="1" t="s">
        <v>809</v>
      </c>
      <c r="J368" s="1" t="s">
        <v>819</v>
      </c>
      <c r="K368" s="1" t="s">
        <v>821</v>
      </c>
      <c r="L368" s="1" t="s">
        <v>861</v>
      </c>
      <c r="M368" s="1">
        <v>6.15</v>
      </c>
      <c r="N368" s="1">
        <v>1729.74</v>
      </c>
      <c r="O368" s="1">
        <v>10035.98</v>
      </c>
      <c r="P368" s="1">
        <v>0.05</v>
      </c>
      <c r="Q368" s="1">
        <v>9762.35</v>
      </c>
      <c r="R368" s="1">
        <v>7513.98</v>
      </c>
      <c r="S368" s="1">
        <f t="shared" si="11"/>
        <v>2248.3700000000008</v>
      </c>
      <c r="T368" s="1" t="s">
        <v>874</v>
      </c>
      <c r="U368" s="1" t="s">
        <v>878</v>
      </c>
      <c r="V368" s="5" t="s">
        <v>884</v>
      </c>
    </row>
    <row r="369" spans="1:22" x14ac:dyDescent="0.3">
      <c r="A369" s="4" t="s">
        <v>130</v>
      </c>
      <c r="B369" s="3">
        <v>45516</v>
      </c>
      <c r="C369" s="1" t="str">
        <f t="shared" si="10"/>
        <v>August</v>
      </c>
      <c r="D369" s="1" t="s">
        <v>342</v>
      </c>
      <c r="E369" s="1" t="s">
        <v>615</v>
      </c>
      <c r="F369" s="1" t="s">
        <v>801</v>
      </c>
      <c r="G369" s="1" t="s">
        <v>805</v>
      </c>
      <c r="H369" s="1" t="s">
        <v>808</v>
      </c>
      <c r="I369" s="1" t="s">
        <v>809</v>
      </c>
      <c r="J369" s="1" t="s">
        <v>819</v>
      </c>
      <c r="K369" s="1" t="s">
        <v>822</v>
      </c>
      <c r="L369" s="1" t="s">
        <v>838</v>
      </c>
      <c r="M369" s="1">
        <v>1.92</v>
      </c>
      <c r="N369" s="1">
        <v>2159.1799999999998</v>
      </c>
      <c r="O369" s="1">
        <v>4623.24</v>
      </c>
      <c r="P369" s="1">
        <v>0.1</v>
      </c>
      <c r="Q369" s="1">
        <v>3789.37</v>
      </c>
      <c r="R369" s="1">
        <v>2546.0500000000002</v>
      </c>
      <c r="S369" s="1">
        <f t="shared" si="11"/>
        <v>1243.3199999999997</v>
      </c>
      <c r="T369" s="1" t="s">
        <v>873</v>
      </c>
      <c r="U369" s="1" t="s">
        <v>880</v>
      </c>
      <c r="V369" s="5" t="s">
        <v>884</v>
      </c>
    </row>
    <row r="370" spans="1:22" x14ac:dyDescent="0.3">
      <c r="A370" s="4" t="s">
        <v>308</v>
      </c>
      <c r="B370" s="3">
        <v>45360</v>
      </c>
      <c r="C370" s="1" t="str">
        <f t="shared" si="10"/>
        <v>March</v>
      </c>
      <c r="D370" s="1" t="s">
        <v>381</v>
      </c>
      <c r="E370" s="1" t="s">
        <v>790</v>
      </c>
      <c r="F370" s="1" t="s">
        <v>803</v>
      </c>
      <c r="G370" s="1" t="s">
        <v>805</v>
      </c>
      <c r="H370" s="1" t="s">
        <v>810</v>
      </c>
      <c r="I370" s="1" t="s">
        <v>816</v>
      </c>
      <c r="J370" s="1" t="s">
        <v>818</v>
      </c>
      <c r="K370" s="1" t="s">
        <v>822</v>
      </c>
      <c r="L370" s="1" t="s">
        <v>849</v>
      </c>
      <c r="M370" s="1">
        <v>5.34</v>
      </c>
      <c r="N370" s="1">
        <v>2775</v>
      </c>
      <c r="O370" s="1">
        <v>16432.009999999998</v>
      </c>
      <c r="P370" s="1">
        <v>0</v>
      </c>
      <c r="Q370" s="1">
        <v>15811.35</v>
      </c>
      <c r="R370" s="1">
        <v>13200.47</v>
      </c>
      <c r="S370" s="1">
        <f t="shared" si="11"/>
        <v>2610.880000000001</v>
      </c>
      <c r="T370" s="1" t="s">
        <v>875</v>
      </c>
      <c r="U370" s="1" t="s">
        <v>877</v>
      </c>
      <c r="V370" s="5" t="s">
        <v>884</v>
      </c>
    </row>
    <row r="371" spans="1:22" x14ac:dyDescent="0.3">
      <c r="A371" s="4" t="s">
        <v>21</v>
      </c>
      <c r="B371" s="3">
        <v>45457</v>
      </c>
      <c r="C371" s="1" t="str">
        <f t="shared" si="10"/>
        <v>June</v>
      </c>
      <c r="D371" s="1" t="s">
        <v>374</v>
      </c>
      <c r="E371" s="1" t="s">
        <v>506</v>
      </c>
      <c r="F371" s="1" t="s">
        <v>801</v>
      </c>
      <c r="G371" s="1" t="s">
        <v>804</v>
      </c>
      <c r="H371" s="1" t="s">
        <v>808</v>
      </c>
      <c r="I371" s="1" t="s">
        <v>813</v>
      </c>
      <c r="J371" s="1" t="s">
        <v>817</v>
      </c>
      <c r="K371" s="1" t="s">
        <v>820</v>
      </c>
      <c r="L371" s="1" t="s">
        <v>823</v>
      </c>
      <c r="M371" s="1">
        <v>6.65</v>
      </c>
      <c r="N371" s="1">
        <v>2545.66</v>
      </c>
      <c r="O371" s="1">
        <v>16736.98</v>
      </c>
      <c r="P371" s="1">
        <v>0</v>
      </c>
      <c r="Q371" s="1">
        <v>18120.57</v>
      </c>
      <c r="R371" s="1">
        <v>13609.17</v>
      </c>
      <c r="S371" s="1">
        <f t="shared" si="11"/>
        <v>4511.3999999999996</v>
      </c>
      <c r="T371" s="1" t="s">
        <v>873</v>
      </c>
      <c r="U371" s="1" t="s">
        <v>877</v>
      </c>
      <c r="V371" s="5" t="s">
        <v>882</v>
      </c>
    </row>
    <row r="372" spans="1:22" x14ac:dyDescent="0.3">
      <c r="A372" s="4" t="s">
        <v>220</v>
      </c>
      <c r="B372" s="3">
        <v>45369</v>
      </c>
      <c r="C372" s="1" t="str">
        <f t="shared" si="10"/>
        <v>March</v>
      </c>
      <c r="D372" s="1" t="s">
        <v>400</v>
      </c>
      <c r="E372" s="1" t="s">
        <v>703</v>
      </c>
      <c r="F372" s="1" t="s">
        <v>802</v>
      </c>
      <c r="G372" s="1" t="s">
        <v>807</v>
      </c>
      <c r="H372" s="1" t="s">
        <v>810</v>
      </c>
      <c r="I372" s="1" t="s">
        <v>814</v>
      </c>
      <c r="J372" s="1" t="s">
        <v>817</v>
      </c>
      <c r="K372" s="1" t="s">
        <v>820</v>
      </c>
      <c r="L372" s="1" t="s">
        <v>852</v>
      </c>
      <c r="M372" s="1">
        <v>3.82</v>
      </c>
      <c r="N372" s="1">
        <v>433.69</v>
      </c>
      <c r="O372" s="1">
        <v>1828.61</v>
      </c>
      <c r="P372" s="1">
        <v>0.14000000000000001</v>
      </c>
      <c r="Q372" s="1">
        <v>1401.37</v>
      </c>
      <c r="R372" s="1">
        <v>1012.35</v>
      </c>
      <c r="S372" s="1">
        <f t="shared" si="11"/>
        <v>389.01999999999987</v>
      </c>
      <c r="T372" s="1" t="s">
        <v>874</v>
      </c>
      <c r="U372" s="1" t="s">
        <v>879</v>
      </c>
      <c r="V372" s="5" t="s">
        <v>883</v>
      </c>
    </row>
    <row r="373" spans="1:22" x14ac:dyDescent="0.3">
      <c r="A373" s="4" t="s">
        <v>278</v>
      </c>
      <c r="B373" s="3">
        <v>45505</v>
      </c>
      <c r="C373" s="1" t="str">
        <f t="shared" si="10"/>
        <v>August</v>
      </c>
      <c r="D373" s="1" t="s">
        <v>480</v>
      </c>
      <c r="E373" s="1" t="s">
        <v>761</v>
      </c>
      <c r="F373" s="1" t="s">
        <v>801</v>
      </c>
      <c r="G373" s="1" t="s">
        <v>807</v>
      </c>
      <c r="H373" s="1" t="s">
        <v>811</v>
      </c>
      <c r="I373" s="1" t="s">
        <v>814</v>
      </c>
      <c r="J373" s="1" t="s">
        <v>818</v>
      </c>
      <c r="K373" s="1" t="s">
        <v>820</v>
      </c>
      <c r="L373" s="1" t="s">
        <v>848</v>
      </c>
      <c r="M373" s="1">
        <v>9.7100000000000009</v>
      </c>
      <c r="N373" s="1">
        <v>2416.5300000000002</v>
      </c>
      <c r="O373" s="1">
        <v>21373.59</v>
      </c>
      <c r="P373" s="1">
        <v>0.14000000000000001</v>
      </c>
      <c r="Q373" s="1">
        <v>16470.830000000002</v>
      </c>
      <c r="R373" s="1">
        <v>12443.99</v>
      </c>
      <c r="S373" s="1">
        <f t="shared" si="11"/>
        <v>4026.840000000002</v>
      </c>
      <c r="T373" s="1" t="s">
        <v>873</v>
      </c>
      <c r="U373" s="1" t="s">
        <v>878</v>
      </c>
      <c r="V373" s="5" t="s">
        <v>884</v>
      </c>
    </row>
    <row r="374" spans="1:22" x14ac:dyDescent="0.3">
      <c r="A374" s="4" t="s">
        <v>207</v>
      </c>
      <c r="B374" s="3">
        <v>45362</v>
      </c>
      <c r="C374" s="1" t="str">
        <f t="shared" si="10"/>
        <v>March</v>
      </c>
      <c r="D374" s="1" t="s">
        <v>483</v>
      </c>
      <c r="E374" s="1" t="s">
        <v>691</v>
      </c>
      <c r="F374" s="1" t="s">
        <v>802</v>
      </c>
      <c r="G374" s="1" t="s">
        <v>805</v>
      </c>
      <c r="H374" s="1" t="s">
        <v>809</v>
      </c>
      <c r="I374" s="1" t="s">
        <v>813</v>
      </c>
      <c r="J374" s="1" t="s">
        <v>818</v>
      </c>
      <c r="K374" s="1" t="s">
        <v>821</v>
      </c>
      <c r="L374" s="1" t="s">
        <v>831</v>
      </c>
      <c r="M374" s="1">
        <v>5.49</v>
      </c>
      <c r="N374" s="1">
        <v>2002.58</v>
      </c>
      <c r="O374" s="1">
        <v>12634.48</v>
      </c>
      <c r="P374" s="1">
        <v>0</v>
      </c>
      <c r="Q374" s="1">
        <v>11510.03</v>
      </c>
      <c r="R374" s="1">
        <v>9326.77</v>
      </c>
      <c r="S374" s="1">
        <f t="shared" si="11"/>
        <v>2183.2600000000002</v>
      </c>
      <c r="T374" s="1" t="s">
        <v>873</v>
      </c>
      <c r="U374" s="1" t="s">
        <v>879</v>
      </c>
      <c r="V374" s="5" t="s">
        <v>883</v>
      </c>
    </row>
    <row r="375" spans="1:22" x14ac:dyDescent="0.3">
      <c r="A375" s="4" t="s">
        <v>220</v>
      </c>
      <c r="B375" s="3">
        <v>45369</v>
      </c>
      <c r="C375" s="1" t="str">
        <f t="shared" si="10"/>
        <v>March</v>
      </c>
      <c r="D375" s="1" t="s">
        <v>400</v>
      </c>
      <c r="E375" s="1" t="s">
        <v>703</v>
      </c>
      <c r="F375" s="1" t="s">
        <v>802</v>
      </c>
      <c r="G375" s="1" t="s">
        <v>807</v>
      </c>
      <c r="H375" s="1" t="s">
        <v>810</v>
      </c>
      <c r="I375" s="1" t="s">
        <v>814</v>
      </c>
      <c r="J375" s="1" t="s">
        <v>817</v>
      </c>
      <c r="K375" s="1" t="s">
        <v>820</v>
      </c>
      <c r="L375" s="1" t="s">
        <v>852</v>
      </c>
      <c r="M375" s="1">
        <v>4.38</v>
      </c>
      <c r="N375" s="1">
        <v>432.84</v>
      </c>
      <c r="O375" s="1">
        <v>1724.7</v>
      </c>
      <c r="P375" s="1">
        <v>0.15</v>
      </c>
      <c r="Q375" s="1">
        <v>1370.42</v>
      </c>
      <c r="R375" s="1">
        <v>956.55</v>
      </c>
      <c r="S375" s="1">
        <f t="shared" si="11"/>
        <v>413.87000000000012</v>
      </c>
      <c r="T375" s="1" t="s">
        <v>874</v>
      </c>
      <c r="U375" s="1" t="s">
        <v>879</v>
      </c>
      <c r="V375" s="5" t="s">
        <v>883</v>
      </c>
    </row>
    <row r="376" spans="1:22" x14ac:dyDescent="0.3">
      <c r="A376" s="4" t="s">
        <v>318</v>
      </c>
      <c r="B376" s="3">
        <v>45620</v>
      </c>
      <c r="C376" s="1" t="str">
        <f t="shared" si="10"/>
        <v>November</v>
      </c>
      <c r="D376" s="1" t="s">
        <v>505</v>
      </c>
      <c r="E376" s="1" t="s">
        <v>800</v>
      </c>
      <c r="F376" s="1" t="s">
        <v>801</v>
      </c>
      <c r="G376" s="1" t="s">
        <v>806</v>
      </c>
      <c r="H376" s="1" t="s">
        <v>812</v>
      </c>
      <c r="I376" s="1" t="s">
        <v>809</v>
      </c>
      <c r="J376" s="1" t="s">
        <v>819</v>
      </c>
      <c r="K376" s="1" t="s">
        <v>822</v>
      </c>
      <c r="L376" s="1" t="s">
        <v>826</v>
      </c>
      <c r="M376" s="1">
        <v>4.9800000000000004</v>
      </c>
      <c r="N376" s="1">
        <v>3311.09</v>
      </c>
      <c r="O376" s="1">
        <v>14676.42</v>
      </c>
      <c r="P376" s="1">
        <v>0</v>
      </c>
      <c r="Q376" s="1">
        <v>16416.93</v>
      </c>
      <c r="R376" s="1">
        <v>10628.88</v>
      </c>
      <c r="S376" s="1">
        <f t="shared" si="11"/>
        <v>5788.0500000000011</v>
      </c>
      <c r="T376" s="1" t="s">
        <v>876</v>
      </c>
      <c r="U376" s="1" t="s">
        <v>877</v>
      </c>
      <c r="V376" s="5" t="s">
        <v>884</v>
      </c>
    </row>
    <row r="377" spans="1:22" x14ac:dyDescent="0.3">
      <c r="A377" s="4" t="s">
        <v>46</v>
      </c>
      <c r="B377" s="3">
        <v>45430</v>
      </c>
      <c r="C377" s="1" t="str">
        <f t="shared" si="10"/>
        <v>May</v>
      </c>
      <c r="D377" s="1" t="s">
        <v>445</v>
      </c>
      <c r="E377" s="1" t="s">
        <v>531</v>
      </c>
      <c r="F377" s="1" t="s">
        <v>802</v>
      </c>
      <c r="G377" s="1" t="s">
        <v>805</v>
      </c>
      <c r="H377" s="1" t="s">
        <v>812</v>
      </c>
      <c r="I377" s="1" t="s">
        <v>809</v>
      </c>
      <c r="J377" s="1" t="s">
        <v>819</v>
      </c>
      <c r="K377" s="1" t="s">
        <v>820</v>
      </c>
      <c r="L377" s="1" t="s">
        <v>845</v>
      </c>
      <c r="M377" s="1">
        <v>2.83</v>
      </c>
      <c r="N377" s="1">
        <v>2799.78</v>
      </c>
      <c r="O377" s="1">
        <v>9672.9</v>
      </c>
      <c r="P377" s="1">
        <v>0.11</v>
      </c>
      <c r="Q377" s="1">
        <v>8433.02</v>
      </c>
      <c r="R377" s="1">
        <v>5589.53</v>
      </c>
      <c r="S377" s="1">
        <f t="shared" si="11"/>
        <v>2843.4900000000007</v>
      </c>
      <c r="T377" s="1" t="s">
        <v>875</v>
      </c>
      <c r="U377" s="1" t="s">
        <v>878</v>
      </c>
      <c r="V377" s="5" t="s">
        <v>882</v>
      </c>
    </row>
    <row r="378" spans="1:22" x14ac:dyDescent="0.3">
      <c r="A378" s="4" t="s">
        <v>211</v>
      </c>
      <c r="B378" s="3">
        <v>45482</v>
      </c>
      <c r="C378" s="1" t="str">
        <f t="shared" si="10"/>
        <v>July</v>
      </c>
      <c r="D378" s="1" t="s">
        <v>484</v>
      </c>
      <c r="E378" s="1" t="s">
        <v>694</v>
      </c>
      <c r="F378" s="1" t="s">
        <v>802</v>
      </c>
      <c r="G378" s="1" t="s">
        <v>806</v>
      </c>
      <c r="H378" s="1" t="s">
        <v>811</v>
      </c>
      <c r="I378" s="1" t="s">
        <v>809</v>
      </c>
      <c r="J378" s="1" t="s">
        <v>818</v>
      </c>
      <c r="K378" s="1" t="s">
        <v>820</v>
      </c>
      <c r="L378" s="1" t="s">
        <v>860</v>
      </c>
      <c r="M378" s="1">
        <v>0.91</v>
      </c>
      <c r="N378" s="1">
        <v>2416.87</v>
      </c>
      <c r="O378" s="1">
        <v>2444.9299999999998</v>
      </c>
      <c r="P378" s="1">
        <v>0.05</v>
      </c>
      <c r="Q378" s="1">
        <v>2488.63</v>
      </c>
      <c r="R378" s="1">
        <v>1653.76</v>
      </c>
      <c r="S378" s="1">
        <f t="shared" si="11"/>
        <v>834.87000000000012</v>
      </c>
      <c r="T378" s="1" t="s">
        <v>876</v>
      </c>
      <c r="U378" s="1" t="s">
        <v>879</v>
      </c>
      <c r="V378" s="5" t="s">
        <v>882</v>
      </c>
    </row>
    <row r="379" spans="1:22" x14ac:dyDescent="0.3">
      <c r="A379" s="4" t="s">
        <v>102</v>
      </c>
      <c r="B379" s="3">
        <v>45582</v>
      </c>
      <c r="C379" s="1" t="str">
        <f t="shared" si="10"/>
        <v>October</v>
      </c>
      <c r="D379" s="1" t="s">
        <v>392</v>
      </c>
      <c r="E379" s="1" t="s">
        <v>587</v>
      </c>
      <c r="F379" s="1" t="s">
        <v>802</v>
      </c>
      <c r="G379" s="1" t="s">
        <v>807</v>
      </c>
      <c r="H379" s="1" t="s">
        <v>808</v>
      </c>
      <c r="I379" s="1" t="s">
        <v>813</v>
      </c>
      <c r="J379" s="1" t="s">
        <v>817</v>
      </c>
      <c r="K379" s="1" t="s">
        <v>822</v>
      </c>
      <c r="L379" s="1" t="s">
        <v>825</v>
      </c>
      <c r="M379" s="1">
        <v>4.9800000000000004</v>
      </c>
      <c r="N379" s="1">
        <v>706.31</v>
      </c>
      <c r="O379" s="1">
        <v>3587.98</v>
      </c>
      <c r="P379" s="1">
        <v>0.1</v>
      </c>
      <c r="Q379" s="1">
        <v>3057.69</v>
      </c>
      <c r="R379" s="1">
        <v>2517.4</v>
      </c>
      <c r="S379" s="1">
        <f t="shared" si="11"/>
        <v>540.29</v>
      </c>
      <c r="T379" s="1" t="s">
        <v>873</v>
      </c>
      <c r="U379" s="1" t="s">
        <v>880</v>
      </c>
      <c r="V379" s="5" t="s">
        <v>882</v>
      </c>
    </row>
    <row r="380" spans="1:22" x14ac:dyDescent="0.3">
      <c r="A380" s="4" t="s">
        <v>252</v>
      </c>
      <c r="B380" s="3">
        <v>45505</v>
      </c>
      <c r="C380" s="1" t="str">
        <f t="shared" si="10"/>
        <v>August</v>
      </c>
      <c r="D380" s="1" t="s">
        <v>493</v>
      </c>
      <c r="E380" s="1" t="s">
        <v>735</v>
      </c>
      <c r="F380" s="1" t="s">
        <v>801</v>
      </c>
      <c r="G380" s="1" t="s">
        <v>807</v>
      </c>
      <c r="H380" s="1" t="s">
        <v>810</v>
      </c>
      <c r="I380" s="1" t="s">
        <v>814</v>
      </c>
      <c r="J380" s="1" t="s">
        <v>817</v>
      </c>
      <c r="K380" s="1" t="s">
        <v>820</v>
      </c>
      <c r="L380" s="1" t="s">
        <v>869</v>
      </c>
      <c r="M380" s="1">
        <v>9.5399999999999991</v>
      </c>
      <c r="N380" s="1">
        <v>751.8</v>
      </c>
      <c r="O380" s="1">
        <v>8069.82</v>
      </c>
      <c r="P380" s="1">
        <v>0.16</v>
      </c>
      <c r="Q380" s="1">
        <v>7535.33</v>
      </c>
      <c r="R380" s="1">
        <v>5291.18</v>
      </c>
      <c r="S380" s="1">
        <f t="shared" si="11"/>
        <v>2244.1499999999996</v>
      </c>
      <c r="T380" s="1" t="s">
        <v>874</v>
      </c>
      <c r="U380" s="1" t="s">
        <v>881</v>
      </c>
      <c r="V380" s="5" t="s">
        <v>884</v>
      </c>
    </row>
    <row r="381" spans="1:22" x14ac:dyDescent="0.3">
      <c r="A381" s="4" t="s">
        <v>104</v>
      </c>
      <c r="B381" s="3">
        <v>45588</v>
      </c>
      <c r="C381" s="1" t="str">
        <f t="shared" si="10"/>
        <v>October</v>
      </c>
      <c r="D381" s="1" t="s">
        <v>425</v>
      </c>
      <c r="E381" s="1" t="s">
        <v>589</v>
      </c>
      <c r="F381" s="1" t="s">
        <v>803</v>
      </c>
      <c r="G381" s="1" t="s">
        <v>804</v>
      </c>
      <c r="H381" s="1" t="s">
        <v>808</v>
      </c>
      <c r="I381" s="1" t="s">
        <v>809</v>
      </c>
      <c r="J381" s="1" t="s">
        <v>819</v>
      </c>
      <c r="K381" s="1" t="s">
        <v>820</v>
      </c>
      <c r="L381" s="1" t="s">
        <v>829</v>
      </c>
      <c r="M381" s="1">
        <v>9.66</v>
      </c>
      <c r="N381" s="1">
        <v>3371.81</v>
      </c>
      <c r="O381" s="1">
        <v>34769.339999999997</v>
      </c>
      <c r="P381" s="1">
        <v>0.14000000000000001</v>
      </c>
      <c r="Q381" s="1">
        <v>30630.65</v>
      </c>
      <c r="R381" s="1">
        <v>17573.05</v>
      </c>
      <c r="S381" s="1">
        <f t="shared" si="11"/>
        <v>13057.600000000002</v>
      </c>
      <c r="T381" s="1" t="s">
        <v>875</v>
      </c>
      <c r="U381" s="1" t="s">
        <v>877</v>
      </c>
      <c r="V381" s="5" t="s">
        <v>882</v>
      </c>
    </row>
    <row r="382" spans="1:22" x14ac:dyDescent="0.3">
      <c r="A382" s="4" t="s">
        <v>106</v>
      </c>
      <c r="B382" s="3">
        <v>45536</v>
      </c>
      <c r="C382" s="1" t="str">
        <f t="shared" si="10"/>
        <v>September</v>
      </c>
      <c r="D382" s="1" t="s">
        <v>341</v>
      </c>
      <c r="E382" s="1" t="s">
        <v>591</v>
      </c>
      <c r="F382" s="1" t="s">
        <v>803</v>
      </c>
      <c r="G382" s="1" t="s">
        <v>805</v>
      </c>
      <c r="H382" s="1" t="s">
        <v>810</v>
      </c>
      <c r="I382" s="1" t="s">
        <v>813</v>
      </c>
      <c r="J382" s="1" t="s">
        <v>817</v>
      </c>
      <c r="K382" s="1" t="s">
        <v>822</v>
      </c>
      <c r="L382" s="1" t="s">
        <v>830</v>
      </c>
      <c r="M382" s="1">
        <v>8.27</v>
      </c>
      <c r="N382" s="1">
        <v>457.97</v>
      </c>
      <c r="O382" s="1">
        <v>4003.84</v>
      </c>
      <c r="P382" s="1">
        <v>0.16</v>
      </c>
      <c r="Q382" s="1">
        <v>3064.96</v>
      </c>
      <c r="R382" s="1">
        <v>2601.96</v>
      </c>
      <c r="S382" s="1">
        <f t="shared" si="11"/>
        <v>463</v>
      </c>
      <c r="T382" s="1" t="s">
        <v>876</v>
      </c>
      <c r="U382" s="1" t="s">
        <v>877</v>
      </c>
      <c r="V382" s="5" t="s">
        <v>884</v>
      </c>
    </row>
    <row r="383" spans="1:22" x14ac:dyDescent="0.3">
      <c r="A383" s="4" t="s">
        <v>282</v>
      </c>
      <c r="B383" s="3">
        <v>45323</v>
      </c>
      <c r="C383" s="1" t="str">
        <f t="shared" si="10"/>
        <v>February</v>
      </c>
      <c r="D383" s="1" t="s">
        <v>414</v>
      </c>
      <c r="E383" s="1" t="s">
        <v>765</v>
      </c>
      <c r="F383" s="1" t="s">
        <v>802</v>
      </c>
      <c r="G383" s="1" t="s">
        <v>807</v>
      </c>
      <c r="H383" s="1" t="s">
        <v>811</v>
      </c>
      <c r="I383" s="1" t="s">
        <v>815</v>
      </c>
      <c r="J383" s="1" t="s">
        <v>818</v>
      </c>
      <c r="K383" s="1" t="s">
        <v>820</v>
      </c>
      <c r="L383" s="1" t="s">
        <v>849</v>
      </c>
      <c r="M383" s="1">
        <v>4.82</v>
      </c>
      <c r="N383" s="1">
        <v>2500.02</v>
      </c>
      <c r="O383" s="1">
        <v>12383.77</v>
      </c>
      <c r="P383" s="1">
        <v>0.05</v>
      </c>
      <c r="Q383" s="1">
        <v>11782.13</v>
      </c>
      <c r="R383" s="1">
        <v>10014.200000000001</v>
      </c>
      <c r="S383" s="1">
        <f t="shared" si="11"/>
        <v>1767.9299999999985</v>
      </c>
      <c r="T383" s="1" t="s">
        <v>874</v>
      </c>
      <c r="U383" s="1" t="s">
        <v>878</v>
      </c>
      <c r="V383" s="5" t="s">
        <v>882</v>
      </c>
    </row>
    <row r="384" spans="1:22" x14ac:dyDescent="0.3">
      <c r="A384" s="4" t="s">
        <v>38</v>
      </c>
      <c r="B384" s="3">
        <v>45572</v>
      </c>
      <c r="C384" s="1" t="str">
        <f t="shared" si="10"/>
        <v>October</v>
      </c>
      <c r="D384" s="1" t="s">
        <v>443</v>
      </c>
      <c r="E384" s="1" t="s">
        <v>523</v>
      </c>
      <c r="F384" s="1" t="s">
        <v>801</v>
      </c>
      <c r="G384" s="1" t="s">
        <v>806</v>
      </c>
      <c r="H384" s="1" t="s">
        <v>810</v>
      </c>
      <c r="I384" s="1" t="s">
        <v>809</v>
      </c>
      <c r="J384" s="1" t="s">
        <v>819</v>
      </c>
      <c r="K384" s="1" t="s">
        <v>820</v>
      </c>
      <c r="L384" s="1" t="s">
        <v>839</v>
      </c>
      <c r="M384" s="1">
        <v>2.99</v>
      </c>
      <c r="N384" s="1">
        <v>504.85</v>
      </c>
      <c r="O384" s="1">
        <v>1339.4</v>
      </c>
      <c r="P384" s="1">
        <v>0</v>
      </c>
      <c r="Q384" s="1">
        <v>1378.95</v>
      </c>
      <c r="R384" s="1">
        <v>984.77</v>
      </c>
      <c r="S384" s="1">
        <f t="shared" si="11"/>
        <v>394.18000000000006</v>
      </c>
      <c r="T384" s="1" t="s">
        <v>875</v>
      </c>
      <c r="U384" s="1" t="s">
        <v>881</v>
      </c>
      <c r="V384" s="5" t="s">
        <v>884</v>
      </c>
    </row>
    <row r="385" spans="1:22" x14ac:dyDescent="0.3">
      <c r="A385" s="4" t="s">
        <v>104</v>
      </c>
      <c r="B385" s="3">
        <v>45588</v>
      </c>
      <c r="C385" s="1" t="str">
        <f t="shared" si="10"/>
        <v>October</v>
      </c>
      <c r="D385" s="1" t="s">
        <v>425</v>
      </c>
      <c r="E385" s="1" t="s">
        <v>589</v>
      </c>
      <c r="F385" s="1" t="s">
        <v>803</v>
      </c>
      <c r="G385" s="1" t="s">
        <v>804</v>
      </c>
      <c r="H385" s="1" t="s">
        <v>808</v>
      </c>
      <c r="I385" s="1" t="s">
        <v>809</v>
      </c>
      <c r="J385" s="1" t="s">
        <v>819</v>
      </c>
      <c r="K385" s="1" t="s">
        <v>820</v>
      </c>
      <c r="L385" s="1" t="s">
        <v>829</v>
      </c>
      <c r="M385" s="1">
        <v>10.18</v>
      </c>
      <c r="N385" s="1">
        <v>3178.72</v>
      </c>
      <c r="O385" s="1">
        <v>35226.449999999997</v>
      </c>
      <c r="P385" s="1">
        <v>0.15</v>
      </c>
      <c r="Q385" s="1">
        <v>28980.49</v>
      </c>
      <c r="R385" s="1">
        <v>17121.439999999999</v>
      </c>
      <c r="S385" s="1">
        <f t="shared" si="11"/>
        <v>11859.050000000003</v>
      </c>
      <c r="T385" s="1" t="s">
        <v>875</v>
      </c>
      <c r="U385" s="1" t="s">
        <v>877</v>
      </c>
      <c r="V385" s="5" t="s">
        <v>882</v>
      </c>
    </row>
    <row r="386" spans="1:22" x14ac:dyDescent="0.3">
      <c r="A386" s="4" t="s">
        <v>283</v>
      </c>
      <c r="B386" s="3">
        <v>45609</v>
      </c>
      <c r="C386" s="1" t="str">
        <f t="shared" ref="C386:C449" si="12">TEXT(B386,"MMMM")</f>
        <v>November</v>
      </c>
      <c r="D386" s="1" t="s">
        <v>473</v>
      </c>
      <c r="E386" s="1" t="s">
        <v>766</v>
      </c>
      <c r="F386" s="1" t="s">
        <v>801</v>
      </c>
      <c r="G386" s="1" t="s">
        <v>805</v>
      </c>
      <c r="H386" s="1" t="s">
        <v>812</v>
      </c>
      <c r="I386" s="1" t="s">
        <v>809</v>
      </c>
      <c r="J386" s="1" t="s">
        <v>817</v>
      </c>
      <c r="K386" s="1" t="s">
        <v>821</v>
      </c>
      <c r="L386" s="1" t="s">
        <v>871</v>
      </c>
      <c r="M386" s="1">
        <v>8.41</v>
      </c>
      <c r="N386" s="1">
        <v>1788.19</v>
      </c>
      <c r="O386" s="1">
        <v>13317.48</v>
      </c>
      <c r="P386" s="1">
        <v>0.09</v>
      </c>
      <c r="Q386" s="1">
        <v>11910.19</v>
      </c>
      <c r="R386" s="1">
        <v>7762.27</v>
      </c>
      <c r="S386" s="1">
        <f t="shared" ref="S386:S449" si="13">Q386-R386</f>
        <v>4147.92</v>
      </c>
      <c r="T386" s="1" t="s">
        <v>873</v>
      </c>
      <c r="U386" s="1" t="s">
        <v>880</v>
      </c>
      <c r="V386" s="5" t="s">
        <v>884</v>
      </c>
    </row>
    <row r="387" spans="1:22" x14ac:dyDescent="0.3">
      <c r="A387" s="4" t="s">
        <v>282</v>
      </c>
      <c r="B387" s="3">
        <v>45323</v>
      </c>
      <c r="C387" s="1" t="str">
        <f t="shared" si="12"/>
        <v>February</v>
      </c>
      <c r="D387" s="1" t="s">
        <v>414</v>
      </c>
      <c r="E387" s="1" t="s">
        <v>765</v>
      </c>
      <c r="F387" s="1" t="s">
        <v>802</v>
      </c>
      <c r="G387" s="1" t="s">
        <v>807</v>
      </c>
      <c r="H387" s="1" t="s">
        <v>811</v>
      </c>
      <c r="I387" s="1" t="s">
        <v>815</v>
      </c>
      <c r="J387" s="1" t="s">
        <v>818</v>
      </c>
      <c r="K387" s="1" t="s">
        <v>820</v>
      </c>
      <c r="L387" s="1" t="s">
        <v>849</v>
      </c>
      <c r="M387" s="1">
        <v>4.79</v>
      </c>
      <c r="N387" s="1">
        <v>2445.88</v>
      </c>
      <c r="O387" s="1">
        <v>14191.21</v>
      </c>
      <c r="P387" s="1">
        <v>0.05</v>
      </c>
      <c r="Q387" s="1">
        <v>13891.83</v>
      </c>
      <c r="R387" s="1">
        <v>9406.2000000000007</v>
      </c>
      <c r="S387" s="1">
        <f t="shared" si="13"/>
        <v>4485.6299999999992</v>
      </c>
      <c r="T387" s="1" t="s">
        <v>874</v>
      </c>
      <c r="U387" s="1" t="s">
        <v>878</v>
      </c>
      <c r="V387" s="5" t="s">
        <v>882</v>
      </c>
    </row>
    <row r="388" spans="1:22" x14ac:dyDescent="0.3">
      <c r="A388" s="4" t="s">
        <v>45</v>
      </c>
      <c r="B388" s="3">
        <v>45575</v>
      </c>
      <c r="C388" s="1" t="str">
        <f t="shared" si="12"/>
        <v>October</v>
      </c>
      <c r="D388" s="1" t="s">
        <v>444</v>
      </c>
      <c r="E388" s="1" t="s">
        <v>530</v>
      </c>
      <c r="F388" s="1" t="s">
        <v>802</v>
      </c>
      <c r="G388" s="1" t="s">
        <v>804</v>
      </c>
      <c r="H388" s="1" t="s">
        <v>809</v>
      </c>
      <c r="I388" s="1" t="s">
        <v>813</v>
      </c>
      <c r="J388" s="1" t="s">
        <v>817</v>
      </c>
      <c r="K388" s="1" t="s">
        <v>820</v>
      </c>
      <c r="L388" s="1" t="s">
        <v>844</v>
      </c>
      <c r="M388" s="1">
        <v>8.5399999999999991</v>
      </c>
      <c r="N388" s="1">
        <v>2654.86</v>
      </c>
      <c r="O388" s="1">
        <v>20295.060000000001</v>
      </c>
      <c r="P388" s="1">
        <v>0.14000000000000001</v>
      </c>
      <c r="Q388" s="1">
        <v>17227.849999999999</v>
      </c>
      <c r="R388" s="1">
        <v>10530.6</v>
      </c>
      <c r="S388" s="1">
        <f t="shared" si="13"/>
        <v>6697.2499999999982</v>
      </c>
      <c r="T388" s="1" t="s">
        <v>874</v>
      </c>
      <c r="U388" s="1" t="s">
        <v>877</v>
      </c>
      <c r="V388" s="5" t="s">
        <v>882</v>
      </c>
    </row>
    <row r="389" spans="1:22" x14ac:dyDescent="0.3">
      <c r="A389" s="4" t="s">
        <v>106</v>
      </c>
      <c r="B389" s="3">
        <v>45536</v>
      </c>
      <c r="C389" s="1" t="str">
        <f t="shared" si="12"/>
        <v>September</v>
      </c>
      <c r="D389" s="1" t="s">
        <v>341</v>
      </c>
      <c r="E389" s="1" t="s">
        <v>591</v>
      </c>
      <c r="F389" s="1" t="s">
        <v>803</v>
      </c>
      <c r="G389" s="1" t="s">
        <v>805</v>
      </c>
      <c r="H389" s="1" t="s">
        <v>810</v>
      </c>
      <c r="I389" s="1" t="s">
        <v>813</v>
      </c>
      <c r="J389" s="1" t="s">
        <v>817</v>
      </c>
      <c r="K389" s="1" t="s">
        <v>822</v>
      </c>
      <c r="L389" s="1" t="s">
        <v>830</v>
      </c>
      <c r="M389" s="1">
        <v>8.48</v>
      </c>
      <c r="N389" s="1">
        <v>484.31</v>
      </c>
      <c r="O389" s="1">
        <v>3817.47</v>
      </c>
      <c r="P389" s="1">
        <v>0.17</v>
      </c>
      <c r="Q389" s="1">
        <v>3230.95</v>
      </c>
      <c r="R389" s="1">
        <v>2526.64</v>
      </c>
      <c r="S389" s="1">
        <f t="shared" si="13"/>
        <v>704.31</v>
      </c>
      <c r="T389" s="1" t="s">
        <v>876</v>
      </c>
      <c r="U389" s="1" t="s">
        <v>877</v>
      </c>
      <c r="V389" s="5" t="s">
        <v>884</v>
      </c>
    </row>
    <row r="390" spans="1:22" x14ac:dyDescent="0.3">
      <c r="A390" s="4" t="s">
        <v>81</v>
      </c>
      <c r="B390" s="3">
        <v>45544</v>
      </c>
      <c r="C390" s="1" t="str">
        <f t="shared" si="12"/>
        <v>September</v>
      </c>
      <c r="D390" s="1" t="s">
        <v>323</v>
      </c>
      <c r="E390" s="1" t="s">
        <v>566</v>
      </c>
      <c r="F390" s="1" t="s">
        <v>802</v>
      </c>
      <c r="G390" s="1" t="s">
        <v>806</v>
      </c>
      <c r="H390" s="1" t="s">
        <v>812</v>
      </c>
      <c r="I390" s="1" t="s">
        <v>815</v>
      </c>
      <c r="J390" s="1" t="s">
        <v>819</v>
      </c>
      <c r="K390" s="1" t="s">
        <v>822</v>
      </c>
      <c r="L390" s="1" t="s">
        <v>854</v>
      </c>
      <c r="M390" s="1">
        <v>8.15</v>
      </c>
      <c r="N390" s="1">
        <v>1087.71</v>
      </c>
      <c r="O390" s="1">
        <v>7178.37</v>
      </c>
      <c r="P390" s="1">
        <v>0.09</v>
      </c>
      <c r="Q390" s="1">
        <v>6882.15</v>
      </c>
      <c r="R390" s="1">
        <v>5568.63</v>
      </c>
      <c r="S390" s="1">
        <f t="shared" si="13"/>
        <v>1313.5199999999995</v>
      </c>
      <c r="T390" s="1" t="s">
        <v>876</v>
      </c>
      <c r="U390" s="1" t="s">
        <v>881</v>
      </c>
      <c r="V390" s="5" t="s">
        <v>882</v>
      </c>
    </row>
    <row r="391" spans="1:22" x14ac:dyDescent="0.3">
      <c r="A391" s="4" t="s">
        <v>43</v>
      </c>
      <c r="B391" s="3">
        <v>45415</v>
      </c>
      <c r="C391" s="1" t="str">
        <f t="shared" si="12"/>
        <v>May</v>
      </c>
      <c r="D391" s="1" t="s">
        <v>332</v>
      </c>
      <c r="E391" s="1" t="s">
        <v>528</v>
      </c>
      <c r="F391" s="1" t="s">
        <v>802</v>
      </c>
      <c r="G391" s="1" t="s">
        <v>807</v>
      </c>
      <c r="H391" s="1" t="s">
        <v>810</v>
      </c>
      <c r="I391" s="1" t="s">
        <v>815</v>
      </c>
      <c r="J391" s="1" t="s">
        <v>817</v>
      </c>
      <c r="K391" s="1" t="s">
        <v>822</v>
      </c>
      <c r="L391" s="1" t="s">
        <v>830</v>
      </c>
      <c r="M391" s="1">
        <v>1.82</v>
      </c>
      <c r="N391" s="1">
        <v>1145.99</v>
      </c>
      <c r="O391" s="1">
        <v>2246.94</v>
      </c>
      <c r="P391" s="1">
        <v>0.09</v>
      </c>
      <c r="Q391" s="1">
        <v>1937.82</v>
      </c>
      <c r="R391" s="1">
        <v>1652.65</v>
      </c>
      <c r="S391" s="1">
        <f t="shared" si="13"/>
        <v>285.16999999999985</v>
      </c>
      <c r="T391" s="1" t="s">
        <v>876</v>
      </c>
      <c r="U391" s="1" t="s">
        <v>878</v>
      </c>
      <c r="V391" s="5" t="s">
        <v>884</v>
      </c>
    </row>
    <row r="392" spans="1:22" x14ac:dyDescent="0.3">
      <c r="A392" s="4" t="s">
        <v>90</v>
      </c>
      <c r="B392" s="3">
        <v>45338</v>
      </c>
      <c r="C392" s="1" t="str">
        <f t="shared" si="12"/>
        <v>February</v>
      </c>
      <c r="D392" s="1" t="s">
        <v>373</v>
      </c>
      <c r="E392" s="1" t="s">
        <v>575</v>
      </c>
      <c r="F392" s="1" t="s">
        <v>803</v>
      </c>
      <c r="G392" s="1" t="s">
        <v>804</v>
      </c>
      <c r="H392" s="1" t="s">
        <v>808</v>
      </c>
      <c r="I392" s="1" t="s">
        <v>813</v>
      </c>
      <c r="J392" s="1" t="s">
        <v>818</v>
      </c>
      <c r="K392" s="1" t="s">
        <v>822</v>
      </c>
      <c r="L392" s="1" t="s">
        <v>859</v>
      </c>
      <c r="M392" s="1">
        <v>9.1199999999999992</v>
      </c>
      <c r="N392" s="1">
        <v>3013.47</v>
      </c>
      <c r="O392" s="1">
        <v>29649.8</v>
      </c>
      <c r="P392" s="1">
        <v>0.16</v>
      </c>
      <c r="Q392" s="1">
        <v>29031.19</v>
      </c>
      <c r="R392" s="1">
        <v>18757.580000000002</v>
      </c>
      <c r="S392" s="1">
        <f t="shared" si="13"/>
        <v>10273.609999999997</v>
      </c>
      <c r="T392" s="1" t="s">
        <v>874</v>
      </c>
      <c r="U392" s="1" t="s">
        <v>881</v>
      </c>
      <c r="V392" s="5" t="s">
        <v>882</v>
      </c>
    </row>
    <row r="393" spans="1:22" x14ac:dyDescent="0.3">
      <c r="A393" s="4" t="s">
        <v>96</v>
      </c>
      <c r="B393" s="3">
        <v>45452</v>
      </c>
      <c r="C393" s="1" t="str">
        <f t="shared" si="12"/>
        <v>June</v>
      </c>
      <c r="D393" s="1" t="s">
        <v>374</v>
      </c>
      <c r="E393" s="1" t="s">
        <v>581</v>
      </c>
      <c r="F393" s="1" t="s">
        <v>802</v>
      </c>
      <c r="G393" s="1" t="s">
        <v>806</v>
      </c>
      <c r="H393" s="1" t="s">
        <v>809</v>
      </c>
      <c r="I393" s="1" t="s">
        <v>809</v>
      </c>
      <c r="J393" s="1" t="s">
        <v>818</v>
      </c>
      <c r="K393" s="1" t="s">
        <v>821</v>
      </c>
      <c r="L393" s="1" t="s">
        <v>845</v>
      </c>
      <c r="M393" s="1">
        <v>10.86</v>
      </c>
      <c r="N393" s="1">
        <v>2154.91</v>
      </c>
      <c r="O393" s="1">
        <v>21671.9</v>
      </c>
      <c r="P393" s="1">
        <v>0</v>
      </c>
      <c r="Q393" s="1">
        <v>23113.35</v>
      </c>
      <c r="R393" s="1">
        <v>18091.43</v>
      </c>
      <c r="S393" s="1">
        <f t="shared" si="13"/>
        <v>5021.9199999999983</v>
      </c>
      <c r="T393" s="1" t="s">
        <v>876</v>
      </c>
      <c r="U393" s="1" t="s">
        <v>880</v>
      </c>
      <c r="V393" s="5" t="s">
        <v>882</v>
      </c>
    </row>
    <row r="394" spans="1:22" x14ac:dyDescent="0.3">
      <c r="A394" s="4" t="s">
        <v>113</v>
      </c>
      <c r="B394" s="3">
        <v>45470</v>
      </c>
      <c r="C394" s="1" t="str">
        <f t="shared" si="12"/>
        <v>June</v>
      </c>
      <c r="D394" s="1" t="s">
        <v>403</v>
      </c>
      <c r="E394" s="1" t="s">
        <v>598</v>
      </c>
      <c r="F394" s="1" t="s">
        <v>802</v>
      </c>
      <c r="G394" s="1" t="s">
        <v>807</v>
      </c>
      <c r="H394" s="1" t="s">
        <v>808</v>
      </c>
      <c r="I394" s="1" t="s">
        <v>813</v>
      </c>
      <c r="J394" s="1" t="s">
        <v>819</v>
      </c>
      <c r="K394" s="1" t="s">
        <v>820</v>
      </c>
      <c r="L394" s="1" t="s">
        <v>845</v>
      </c>
      <c r="M394" s="1">
        <v>2.19</v>
      </c>
      <c r="N394" s="1">
        <v>1871.04</v>
      </c>
      <c r="O394" s="1">
        <v>3818.97</v>
      </c>
      <c r="P394" s="1">
        <v>0.05</v>
      </c>
      <c r="Q394" s="1">
        <v>4015.65</v>
      </c>
      <c r="R394" s="1">
        <v>3315.27</v>
      </c>
      <c r="S394" s="1">
        <f t="shared" si="13"/>
        <v>700.38000000000011</v>
      </c>
      <c r="T394" s="1" t="s">
        <v>875</v>
      </c>
      <c r="U394" s="1" t="s">
        <v>878</v>
      </c>
      <c r="V394" s="5" t="s">
        <v>882</v>
      </c>
    </row>
    <row r="395" spans="1:22" x14ac:dyDescent="0.3">
      <c r="A395" s="4" t="s">
        <v>217</v>
      </c>
      <c r="B395" s="3">
        <v>45588</v>
      </c>
      <c r="C395" s="1" t="str">
        <f t="shared" si="12"/>
        <v>October</v>
      </c>
      <c r="D395" s="1" t="s">
        <v>425</v>
      </c>
      <c r="E395" s="1" t="s">
        <v>700</v>
      </c>
      <c r="F395" s="1" t="s">
        <v>802</v>
      </c>
      <c r="G395" s="1" t="s">
        <v>806</v>
      </c>
      <c r="H395" s="1" t="s">
        <v>810</v>
      </c>
      <c r="I395" s="1" t="s">
        <v>815</v>
      </c>
      <c r="J395" s="1" t="s">
        <v>819</v>
      </c>
      <c r="K395" s="1" t="s">
        <v>822</v>
      </c>
      <c r="L395" s="1" t="s">
        <v>863</v>
      </c>
      <c r="M395" s="1">
        <v>5.51</v>
      </c>
      <c r="N395" s="1">
        <v>1109.31</v>
      </c>
      <c r="O395" s="1">
        <v>6344.83</v>
      </c>
      <c r="P395" s="1">
        <v>0.05</v>
      </c>
      <c r="Q395" s="1">
        <v>6891.88</v>
      </c>
      <c r="R395" s="1">
        <v>4941.0600000000004</v>
      </c>
      <c r="S395" s="1">
        <f t="shared" si="13"/>
        <v>1950.8199999999997</v>
      </c>
      <c r="T395" s="1" t="s">
        <v>874</v>
      </c>
      <c r="U395" s="1" t="s">
        <v>879</v>
      </c>
      <c r="V395" s="5" t="s">
        <v>883</v>
      </c>
    </row>
    <row r="396" spans="1:22" x14ac:dyDescent="0.3">
      <c r="A396" s="4" t="s">
        <v>90</v>
      </c>
      <c r="B396" s="3">
        <v>45338</v>
      </c>
      <c r="C396" s="1" t="str">
        <f t="shared" si="12"/>
        <v>February</v>
      </c>
      <c r="D396" s="1" t="s">
        <v>373</v>
      </c>
      <c r="E396" s="1" t="s">
        <v>575</v>
      </c>
      <c r="F396" s="1" t="s">
        <v>803</v>
      </c>
      <c r="G396" s="1" t="s">
        <v>804</v>
      </c>
      <c r="H396" s="1" t="s">
        <v>808</v>
      </c>
      <c r="I396" s="1" t="s">
        <v>813</v>
      </c>
      <c r="J396" s="1" t="s">
        <v>818</v>
      </c>
      <c r="K396" s="1" t="s">
        <v>822</v>
      </c>
      <c r="L396" s="1" t="s">
        <v>859</v>
      </c>
      <c r="M396" s="1">
        <v>8.5399999999999991</v>
      </c>
      <c r="N396" s="1">
        <v>3131.76</v>
      </c>
      <c r="O396" s="1">
        <v>29413.87</v>
      </c>
      <c r="P396" s="1">
        <v>0.15</v>
      </c>
      <c r="Q396" s="1">
        <v>24197.360000000001</v>
      </c>
      <c r="R396" s="1">
        <v>18903.91</v>
      </c>
      <c r="S396" s="1">
        <f t="shared" si="13"/>
        <v>5293.4500000000007</v>
      </c>
      <c r="T396" s="1" t="s">
        <v>874</v>
      </c>
      <c r="U396" s="1" t="s">
        <v>881</v>
      </c>
      <c r="V396" s="5" t="s">
        <v>882</v>
      </c>
    </row>
    <row r="397" spans="1:22" x14ac:dyDescent="0.3">
      <c r="A397" s="4" t="s">
        <v>190</v>
      </c>
      <c r="B397" s="3">
        <v>45451</v>
      </c>
      <c r="C397" s="1" t="str">
        <f t="shared" si="12"/>
        <v>June</v>
      </c>
      <c r="D397" s="1" t="s">
        <v>365</v>
      </c>
      <c r="E397" s="1" t="s">
        <v>674</v>
      </c>
      <c r="F397" s="1" t="s">
        <v>801</v>
      </c>
      <c r="G397" s="1" t="s">
        <v>806</v>
      </c>
      <c r="H397" s="1" t="s">
        <v>812</v>
      </c>
      <c r="I397" s="1" t="s">
        <v>813</v>
      </c>
      <c r="J397" s="1" t="s">
        <v>817</v>
      </c>
      <c r="K397" s="1" t="s">
        <v>822</v>
      </c>
      <c r="L397" s="1" t="s">
        <v>828</v>
      </c>
      <c r="M397" s="1">
        <v>4.3499999999999996</v>
      </c>
      <c r="N397" s="1">
        <v>1293.28</v>
      </c>
      <c r="O397" s="1">
        <v>4938.09</v>
      </c>
      <c r="P397" s="1">
        <v>0.15</v>
      </c>
      <c r="Q397" s="1">
        <v>4016.5</v>
      </c>
      <c r="R397" s="1">
        <v>2826.75</v>
      </c>
      <c r="S397" s="1">
        <f t="shared" si="13"/>
        <v>1189.75</v>
      </c>
      <c r="T397" s="1" t="s">
        <v>874</v>
      </c>
      <c r="U397" s="1" t="s">
        <v>878</v>
      </c>
      <c r="V397" s="5" t="s">
        <v>882</v>
      </c>
    </row>
    <row r="398" spans="1:22" x14ac:dyDescent="0.3">
      <c r="A398" s="4" t="s">
        <v>82</v>
      </c>
      <c r="B398" s="3">
        <v>45492</v>
      </c>
      <c r="C398" s="1" t="str">
        <f t="shared" si="12"/>
        <v>July</v>
      </c>
      <c r="D398" s="1" t="s">
        <v>353</v>
      </c>
      <c r="E398" s="1" t="s">
        <v>567</v>
      </c>
      <c r="F398" s="1" t="s">
        <v>802</v>
      </c>
      <c r="G398" s="1" t="s">
        <v>807</v>
      </c>
      <c r="H398" s="1" t="s">
        <v>810</v>
      </c>
      <c r="I398" s="1" t="s">
        <v>816</v>
      </c>
      <c r="J398" s="1" t="s">
        <v>817</v>
      </c>
      <c r="K398" s="1" t="s">
        <v>820</v>
      </c>
      <c r="L398" s="1" t="s">
        <v>844</v>
      </c>
      <c r="M398" s="1">
        <v>3.11</v>
      </c>
      <c r="N398" s="1">
        <v>1138.99</v>
      </c>
      <c r="O398" s="1">
        <v>3859.69</v>
      </c>
      <c r="P398" s="1">
        <v>0</v>
      </c>
      <c r="Q398" s="1">
        <v>3531.33</v>
      </c>
      <c r="R398" s="1">
        <v>2523.56</v>
      </c>
      <c r="S398" s="1">
        <f t="shared" si="13"/>
        <v>1007.77</v>
      </c>
      <c r="T398" s="1" t="s">
        <v>876</v>
      </c>
      <c r="U398" s="1" t="s">
        <v>880</v>
      </c>
      <c r="V398" s="5" t="s">
        <v>882</v>
      </c>
    </row>
    <row r="399" spans="1:22" x14ac:dyDescent="0.3">
      <c r="A399" s="4" t="s">
        <v>86</v>
      </c>
      <c r="B399" s="3">
        <v>45554</v>
      </c>
      <c r="C399" s="1" t="str">
        <f t="shared" si="12"/>
        <v>September</v>
      </c>
      <c r="D399" s="1" t="s">
        <v>389</v>
      </c>
      <c r="E399" s="1" t="s">
        <v>571</v>
      </c>
      <c r="F399" s="1" t="s">
        <v>803</v>
      </c>
      <c r="G399" s="1" t="s">
        <v>807</v>
      </c>
      <c r="H399" s="1" t="s">
        <v>810</v>
      </c>
      <c r="I399" s="1" t="s">
        <v>809</v>
      </c>
      <c r="J399" s="1" t="s">
        <v>819</v>
      </c>
      <c r="K399" s="1" t="s">
        <v>822</v>
      </c>
      <c r="L399" s="1" t="s">
        <v>838</v>
      </c>
      <c r="M399" s="1">
        <v>3</v>
      </c>
      <c r="N399" s="1">
        <v>1808.16</v>
      </c>
      <c r="O399" s="1">
        <v>5692.33</v>
      </c>
      <c r="P399" s="1">
        <v>0.11</v>
      </c>
      <c r="Q399" s="1">
        <v>5237.28</v>
      </c>
      <c r="R399" s="1">
        <v>3788.35</v>
      </c>
      <c r="S399" s="1">
        <f t="shared" si="13"/>
        <v>1448.9299999999998</v>
      </c>
      <c r="T399" s="1" t="s">
        <v>876</v>
      </c>
      <c r="U399" s="1" t="s">
        <v>880</v>
      </c>
      <c r="V399" s="5" t="s">
        <v>884</v>
      </c>
    </row>
    <row r="400" spans="1:22" x14ac:dyDescent="0.3">
      <c r="A400" s="4" t="s">
        <v>292</v>
      </c>
      <c r="B400" s="3">
        <v>45550</v>
      </c>
      <c r="C400" s="1" t="str">
        <f t="shared" si="12"/>
        <v>September</v>
      </c>
      <c r="D400" s="1" t="s">
        <v>398</v>
      </c>
      <c r="E400" s="1" t="s">
        <v>774</v>
      </c>
      <c r="F400" s="1" t="s">
        <v>801</v>
      </c>
      <c r="G400" s="1" t="s">
        <v>805</v>
      </c>
      <c r="H400" s="1" t="s">
        <v>808</v>
      </c>
      <c r="I400" s="1" t="s">
        <v>814</v>
      </c>
      <c r="J400" s="1" t="s">
        <v>819</v>
      </c>
      <c r="K400" s="1" t="s">
        <v>820</v>
      </c>
      <c r="L400" s="1" t="s">
        <v>864</v>
      </c>
      <c r="M400" s="1">
        <v>6.82</v>
      </c>
      <c r="N400" s="1">
        <v>1488.87</v>
      </c>
      <c r="O400" s="1">
        <v>10776.61</v>
      </c>
      <c r="P400" s="1">
        <v>0.11</v>
      </c>
      <c r="Q400" s="1">
        <v>9549.16</v>
      </c>
      <c r="R400" s="1">
        <v>7271.83</v>
      </c>
      <c r="S400" s="1">
        <f t="shared" si="13"/>
        <v>2277.33</v>
      </c>
      <c r="T400" s="1" t="s">
        <v>876</v>
      </c>
      <c r="U400" s="1" t="s">
        <v>879</v>
      </c>
      <c r="V400" s="5" t="s">
        <v>883</v>
      </c>
    </row>
    <row r="401" spans="1:22" x14ac:dyDescent="0.3">
      <c r="A401" s="4" t="s">
        <v>303</v>
      </c>
      <c r="B401" s="3">
        <v>45537</v>
      </c>
      <c r="C401" s="1" t="str">
        <f t="shared" si="12"/>
        <v>September</v>
      </c>
      <c r="D401" s="1" t="s">
        <v>355</v>
      </c>
      <c r="E401" s="1" t="s">
        <v>785</v>
      </c>
      <c r="F401" s="1" t="s">
        <v>803</v>
      </c>
      <c r="G401" s="1" t="s">
        <v>807</v>
      </c>
      <c r="H401" s="1" t="s">
        <v>809</v>
      </c>
      <c r="I401" s="1" t="s">
        <v>814</v>
      </c>
      <c r="J401" s="1" t="s">
        <v>819</v>
      </c>
      <c r="K401" s="1" t="s">
        <v>820</v>
      </c>
      <c r="L401" s="1" t="s">
        <v>863</v>
      </c>
      <c r="M401" s="1">
        <v>1.9</v>
      </c>
      <c r="N401" s="1">
        <v>2486.5500000000002</v>
      </c>
      <c r="O401" s="1">
        <v>5999.18</v>
      </c>
      <c r="P401" s="1">
        <v>0</v>
      </c>
      <c r="Q401" s="1">
        <v>5325.13</v>
      </c>
      <c r="R401" s="1">
        <v>3754.68</v>
      </c>
      <c r="S401" s="1">
        <f t="shared" si="13"/>
        <v>1570.4500000000003</v>
      </c>
      <c r="T401" s="1" t="s">
        <v>876</v>
      </c>
      <c r="U401" s="1" t="s">
        <v>881</v>
      </c>
      <c r="V401" s="5" t="s">
        <v>883</v>
      </c>
    </row>
    <row r="402" spans="1:22" x14ac:dyDescent="0.3">
      <c r="A402" s="4" t="s">
        <v>224</v>
      </c>
      <c r="B402" s="3">
        <v>45430</v>
      </c>
      <c r="C402" s="1" t="str">
        <f t="shared" si="12"/>
        <v>May</v>
      </c>
      <c r="D402" s="1" t="s">
        <v>477</v>
      </c>
      <c r="E402" s="1" t="s">
        <v>707</v>
      </c>
      <c r="F402" s="1" t="s">
        <v>801</v>
      </c>
      <c r="G402" s="1" t="s">
        <v>807</v>
      </c>
      <c r="H402" s="1" t="s">
        <v>809</v>
      </c>
      <c r="I402" s="1" t="s">
        <v>816</v>
      </c>
      <c r="J402" s="1" t="s">
        <v>819</v>
      </c>
      <c r="K402" s="1" t="s">
        <v>821</v>
      </c>
      <c r="L402" s="1" t="s">
        <v>828</v>
      </c>
      <c r="M402" s="1">
        <v>11.32</v>
      </c>
      <c r="N402" s="1">
        <v>3371.35</v>
      </c>
      <c r="O402" s="1">
        <v>34170.07</v>
      </c>
      <c r="P402" s="1">
        <v>0.1</v>
      </c>
      <c r="Q402" s="1">
        <v>33240.99</v>
      </c>
      <c r="R402" s="1">
        <v>26583.58</v>
      </c>
      <c r="S402" s="1">
        <f t="shared" si="13"/>
        <v>6657.4099999999962</v>
      </c>
      <c r="T402" s="1" t="s">
        <v>874</v>
      </c>
      <c r="U402" s="1" t="s">
        <v>880</v>
      </c>
      <c r="V402" s="5" t="s">
        <v>882</v>
      </c>
    </row>
    <row r="403" spans="1:22" x14ac:dyDescent="0.3">
      <c r="A403" s="4" t="s">
        <v>189</v>
      </c>
      <c r="B403" s="3">
        <v>45582</v>
      </c>
      <c r="C403" s="1" t="str">
        <f t="shared" si="12"/>
        <v>October</v>
      </c>
      <c r="D403" s="1" t="s">
        <v>408</v>
      </c>
      <c r="E403" s="1" t="s">
        <v>673</v>
      </c>
      <c r="F403" s="1" t="s">
        <v>801</v>
      </c>
      <c r="G403" s="1" t="s">
        <v>806</v>
      </c>
      <c r="H403" s="1" t="s">
        <v>809</v>
      </c>
      <c r="I403" s="1" t="s">
        <v>809</v>
      </c>
      <c r="J403" s="1" t="s">
        <v>818</v>
      </c>
      <c r="K403" s="1" t="s">
        <v>822</v>
      </c>
      <c r="L403" s="1" t="s">
        <v>842</v>
      </c>
      <c r="M403" s="1">
        <v>4.8499999999999996</v>
      </c>
      <c r="N403" s="1">
        <v>404.38</v>
      </c>
      <c r="O403" s="1">
        <v>2114.04</v>
      </c>
      <c r="P403" s="1">
        <v>0</v>
      </c>
      <c r="Q403" s="1">
        <v>2134.44</v>
      </c>
      <c r="R403" s="1">
        <v>1777.45</v>
      </c>
      <c r="S403" s="1">
        <f t="shared" si="13"/>
        <v>356.99</v>
      </c>
      <c r="T403" s="1" t="s">
        <v>874</v>
      </c>
      <c r="U403" s="1" t="s">
        <v>880</v>
      </c>
      <c r="V403" s="5" t="s">
        <v>882</v>
      </c>
    </row>
    <row r="404" spans="1:22" x14ac:dyDescent="0.3">
      <c r="A404" s="4" t="s">
        <v>217</v>
      </c>
      <c r="B404" s="3">
        <v>45588</v>
      </c>
      <c r="C404" s="1" t="str">
        <f t="shared" si="12"/>
        <v>October</v>
      </c>
      <c r="D404" s="1" t="s">
        <v>425</v>
      </c>
      <c r="E404" s="1" t="s">
        <v>700</v>
      </c>
      <c r="F404" s="1" t="s">
        <v>802</v>
      </c>
      <c r="G404" s="1" t="s">
        <v>806</v>
      </c>
      <c r="H404" s="1" t="s">
        <v>810</v>
      </c>
      <c r="I404" s="1" t="s">
        <v>815</v>
      </c>
      <c r="J404" s="1" t="s">
        <v>819</v>
      </c>
      <c r="K404" s="1" t="s">
        <v>822</v>
      </c>
      <c r="L404" s="1" t="s">
        <v>863</v>
      </c>
      <c r="M404" s="1">
        <v>5.78</v>
      </c>
      <c r="N404" s="1">
        <v>1160.27</v>
      </c>
      <c r="O404" s="1">
        <v>5279.18</v>
      </c>
      <c r="P404" s="1">
        <v>0.05</v>
      </c>
      <c r="Q404" s="1">
        <v>6275.87</v>
      </c>
      <c r="R404" s="1">
        <v>4471.5200000000004</v>
      </c>
      <c r="S404" s="1">
        <f t="shared" si="13"/>
        <v>1804.3499999999995</v>
      </c>
      <c r="T404" s="1" t="s">
        <v>874</v>
      </c>
      <c r="U404" s="1" t="s">
        <v>879</v>
      </c>
      <c r="V404" s="5" t="s">
        <v>883</v>
      </c>
    </row>
    <row r="405" spans="1:22" x14ac:dyDescent="0.3">
      <c r="A405" s="4" t="s">
        <v>167</v>
      </c>
      <c r="B405" s="3">
        <v>45609</v>
      </c>
      <c r="C405" s="1" t="str">
        <f t="shared" si="12"/>
        <v>November</v>
      </c>
      <c r="D405" s="1" t="s">
        <v>473</v>
      </c>
      <c r="E405" s="1" t="s">
        <v>652</v>
      </c>
      <c r="F405" s="1" t="s">
        <v>803</v>
      </c>
      <c r="G405" s="1" t="s">
        <v>804</v>
      </c>
      <c r="H405" s="1" t="s">
        <v>811</v>
      </c>
      <c r="I405" s="1" t="s">
        <v>813</v>
      </c>
      <c r="J405" s="1" t="s">
        <v>817</v>
      </c>
      <c r="K405" s="1" t="s">
        <v>822</v>
      </c>
      <c r="L405" s="1" t="s">
        <v>866</v>
      </c>
      <c r="M405" s="1">
        <v>11.69</v>
      </c>
      <c r="N405" s="1">
        <v>2743.63</v>
      </c>
      <c r="O405" s="1">
        <v>22278.12</v>
      </c>
      <c r="P405" s="1">
        <v>0</v>
      </c>
      <c r="Q405" s="1">
        <v>23565.53</v>
      </c>
      <c r="R405" s="1">
        <v>19088.2</v>
      </c>
      <c r="S405" s="1">
        <f t="shared" si="13"/>
        <v>4477.3299999999981</v>
      </c>
      <c r="T405" s="1" t="s">
        <v>874</v>
      </c>
      <c r="U405" s="1" t="s">
        <v>879</v>
      </c>
      <c r="V405" s="5" t="s">
        <v>883</v>
      </c>
    </row>
    <row r="406" spans="1:22" x14ac:dyDescent="0.3">
      <c r="A406" s="4" t="s">
        <v>27</v>
      </c>
      <c r="B406" s="3">
        <v>45489</v>
      </c>
      <c r="C406" s="1" t="str">
        <f t="shared" si="12"/>
        <v>July</v>
      </c>
      <c r="D406" s="1" t="s">
        <v>440</v>
      </c>
      <c r="E406" s="1" t="s">
        <v>512</v>
      </c>
      <c r="F406" s="1" t="s">
        <v>801</v>
      </c>
      <c r="G406" s="1" t="s">
        <v>804</v>
      </c>
      <c r="H406" s="1" t="s">
        <v>810</v>
      </c>
      <c r="I406" s="1" t="s">
        <v>815</v>
      </c>
      <c r="J406" s="1" t="s">
        <v>817</v>
      </c>
      <c r="K406" s="1" t="s">
        <v>821</v>
      </c>
      <c r="L406" s="1" t="s">
        <v>829</v>
      </c>
      <c r="M406" s="1">
        <v>6.17</v>
      </c>
      <c r="N406" s="1">
        <v>462.85</v>
      </c>
      <c r="O406" s="1">
        <v>2443.0500000000002</v>
      </c>
      <c r="P406" s="1">
        <v>0.15</v>
      </c>
      <c r="Q406" s="1">
        <v>2116.35</v>
      </c>
      <c r="R406" s="1">
        <v>1728.06</v>
      </c>
      <c r="S406" s="1">
        <f t="shared" si="13"/>
        <v>388.28999999999996</v>
      </c>
      <c r="T406" s="1" t="s">
        <v>873</v>
      </c>
      <c r="U406" s="1" t="s">
        <v>878</v>
      </c>
      <c r="V406" s="5" t="s">
        <v>884</v>
      </c>
    </row>
    <row r="407" spans="1:22" x14ac:dyDescent="0.3">
      <c r="A407" s="4" t="s">
        <v>292</v>
      </c>
      <c r="B407" s="3">
        <v>45550</v>
      </c>
      <c r="C407" s="1" t="str">
        <f t="shared" si="12"/>
        <v>September</v>
      </c>
      <c r="D407" s="1" t="s">
        <v>398</v>
      </c>
      <c r="E407" s="1" t="s">
        <v>774</v>
      </c>
      <c r="F407" s="1" t="s">
        <v>801</v>
      </c>
      <c r="G407" s="1" t="s">
        <v>805</v>
      </c>
      <c r="H407" s="1" t="s">
        <v>808</v>
      </c>
      <c r="I407" s="1" t="s">
        <v>814</v>
      </c>
      <c r="J407" s="1" t="s">
        <v>819</v>
      </c>
      <c r="K407" s="1" t="s">
        <v>820</v>
      </c>
      <c r="L407" s="1" t="s">
        <v>864</v>
      </c>
      <c r="M407" s="1">
        <v>6.37</v>
      </c>
      <c r="N407" s="1">
        <v>1486.18</v>
      </c>
      <c r="O407" s="1">
        <v>11888.5</v>
      </c>
      <c r="P407" s="1">
        <v>0.1</v>
      </c>
      <c r="Q407" s="1">
        <v>8926.09</v>
      </c>
      <c r="R407" s="1">
        <v>8020.64</v>
      </c>
      <c r="S407" s="1">
        <f t="shared" si="13"/>
        <v>905.44999999999982</v>
      </c>
      <c r="T407" s="1" t="s">
        <v>876</v>
      </c>
      <c r="U407" s="1" t="s">
        <v>879</v>
      </c>
      <c r="V407" s="5" t="s">
        <v>883</v>
      </c>
    </row>
    <row r="408" spans="1:22" x14ac:dyDescent="0.3">
      <c r="A408" s="4" t="s">
        <v>169</v>
      </c>
      <c r="B408" s="3">
        <v>45336</v>
      </c>
      <c r="C408" s="1" t="str">
        <f t="shared" si="12"/>
        <v>February</v>
      </c>
      <c r="D408" s="1" t="s">
        <v>373</v>
      </c>
      <c r="E408" s="1" t="s">
        <v>654</v>
      </c>
      <c r="F408" s="1" t="s">
        <v>802</v>
      </c>
      <c r="G408" s="1" t="s">
        <v>805</v>
      </c>
      <c r="H408" s="1" t="s">
        <v>810</v>
      </c>
      <c r="I408" s="1" t="s">
        <v>814</v>
      </c>
      <c r="J408" s="1" t="s">
        <v>818</v>
      </c>
      <c r="K408" s="1" t="s">
        <v>822</v>
      </c>
      <c r="L408" s="1" t="s">
        <v>861</v>
      </c>
      <c r="M408" s="1">
        <v>8.4700000000000006</v>
      </c>
      <c r="N408" s="1">
        <v>1280.18</v>
      </c>
      <c r="O408" s="1">
        <v>11686.24</v>
      </c>
      <c r="P408" s="1">
        <v>0.15</v>
      </c>
      <c r="Q408" s="1">
        <v>9026.86</v>
      </c>
      <c r="R408" s="1">
        <v>6718.58</v>
      </c>
      <c r="S408" s="1">
        <f t="shared" si="13"/>
        <v>2308.2800000000007</v>
      </c>
      <c r="T408" s="1" t="s">
        <v>874</v>
      </c>
      <c r="U408" s="1" t="s">
        <v>881</v>
      </c>
      <c r="V408" s="5" t="s">
        <v>884</v>
      </c>
    </row>
    <row r="409" spans="1:22" x14ac:dyDescent="0.3">
      <c r="A409" s="4" t="s">
        <v>201</v>
      </c>
      <c r="B409" s="3">
        <v>45362</v>
      </c>
      <c r="C409" s="1" t="str">
        <f t="shared" si="12"/>
        <v>March</v>
      </c>
      <c r="D409" s="1" t="s">
        <v>421</v>
      </c>
      <c r="E409" s="1" t="s">
        <v>685</v>
      </c>
      <c r="F409" s="1" t="s">
        <v>801</v>
      </c>
      <c r="G409" s="1" t="s">
        <v>806</v>
      </c>
      <c r="H409" s="1" t="s">
        <v>808</v>
      </c>
      <c r="I409" s="1" t="s">
        <v>813</v>
      </c>
      <c r="J409" s="1" t="s">
        <v>817</v>
      </c>
      <c r="K409" s="1" t="s">
        <v>821</v>
      </c>
      <c r="L409" s="1" t="s">
        <v>852</v>
      </c>
      <c r="M409" s="1">
        <v>0.99</v>
      </c>
      <c r="N409" s="1">
        <v>515.52</v>
      </c>
      <c r="O409" s="1">
        <v>433.53</v>
      </c>
      <c r="P409" s="1">
        <v>0.14000000000000001</v>
      </c>
      <c r="Q409" s="1">
        <v>439.07</v>
      </c>
      <c r="R409" s="1">
        <v>301.02999999999997</v>
      </c>
      <c r="S409" s="1">
        <f t="shared" si="13"/>
        <v>138.04000000000002</v>
      </c>
      <c r="T409" s="1" t="s">
        <v>874</v>
      </c>
      <c r="U409" s="1" t="s">
        <v>878</v>
      </c>
      <c r="V409" s="5" t="s">
        <v>882</v>
      </c>
    </row>
    <row r="410" spans="1:22" x14ac:dyDescent="0.3">
      <c r="A410" s="4" t="s">
        <v>150</v>
      </c>
      <c r="B410" s="3">
        <v>45526</v>
      </c>
      <c r="C410" s="1" t="str">
        <f t="shared" si="12"/>
        <v>August</v>
      </c>
      <c r="D410" s="1" t="s">
        <v>423</v>
      </c>
      <c r="E410" s="1" t="s">
        <v>635</v>
      </c>
      <c r="F410" s="1" t="s">
        <v>801</v>
      </c>
      <c r="G410" s="1" t="s">
        <v>807</v>
      </c>
      <c r="H410" s="1" t="s">
        <v>808</v>
      </c>
      <c r="I410" s="1" t="s">
        <v>813</v>
      </c>
      <c r="J410" s="1" t="s">
        <v>818</v>
      </c>
      <c r="K410" s="1" t="s">
        <v>820</v>
      </c>
      <c r="L410" s="1" t="s">
        <v>864</v>
      </c>
      <c r="M410" s="1">
        <v>2.14</v>
      </c>
      <c r="N410" s="1">
        <v>3328.26</v>
      </c>
      <c r="O410" s="1">
        <v>5665.19</v>
      </c>
      <c r="P410" s="1">
        <v>0.16</v>
      </c>
      <c r="Q410" s="1">
        <v>4765.6099999999997</v>
      </c>
      <c r="R410" s="1">
        <v>4636.3599999999997</v>
      </c>
      <c r="S410" s="1">
        <f t="shared" si="13"/>
        <v>129.25</v>
      </c>
      <c r="T410" s="1" t="s">
        <v>873</v>
      </c>
      <c r="U410" s="1" t="s">
        <v>880</v>
      </c>
      <c r="V410" s="5" t="s">
        <v>884</v>
      </c>
    </row>
    <row r="411" spans="1:22" x14ac:dyDescent="0.3">
      <c r="A411" s="4" t="s">
        <v>136</v>
      </c>
      <c r="B411" s="3">
        <v>45605</v>
      </c>
      <c r="C411" s="1" t="str">
        <f t="shared" si="12"/>
        <v>November</v>
      </c>
      <c r="D411" s="1" t="s">
        <v>393</v>
      </c>
      <c r="E411" s="1" t="s">
        <v>621</v>
      </c>
      <c r="F411" s="1" t="s">
        <v>802</v>
      </c>
      <c r="G411" s="1" t="s">
        <v>806</v>
      </c>
      <c r="H411" s="1" t="s">
        <v>809</v>
      </c>
      <c r="I411" s="1" t="s">
        <v>813</v>
      </c>
      <c r="J411" s="1" t="s">
        <v>817</v>
      </c>
      <c r="K411" s="1" t="s">
        <v>822</v>
      </c>
      <c r="L411" s="1" t="s">
        <v>857</v>
      </c>
      <c r="M411" s="1">
        <v>10.02</v>
      </c>
      <c r="N411" s="1">
        <v>920.25</v>
      </c>
      <c r="O411" s="1">
        <v>9396.39</v>
      </c>
      <c r="P411" s="1">
        <v>0</v>
      </c>
      <c r="Q411" s="1">
        <v>9161.81</v>
      </c>
      <c r="R411" s="1">
        <v>6075.96</v>
      </c>
      <c r="S411" s="1">
        <f t="shared" si="13"/>
        <v>3085.8499999999995</v>
      </c>
      <c r="T411" s="1" t="s">
        <v>876</v>
      </c>
      <c r="U411" s="1" t="s">
        <v>877</v>
      </c>
      <c r="V411" s="5" t="s">
        <v>884</v>
      </c>
    </row>
    <row r="412" spans="1:22" x14ac:dyDescent="0.3">
      <c r="A412" s="4" t="s">
        <v>190</v>
      </c>
      <c r="B412" s="3">
        <v>45451</v>
      </c>
      <c r="C412" s="1" t="str">
        <f t="shared" si="12"/>
        <v>June</v>
      </c>
      <c r="D412" s="1" t="s">
        <v>365</v>
      </c>
      <c r="E412" s="1" t="s">
        <v>674</v>
      </c>
      <c r="F412" s="1" t="s">
        <v>801</v>
      </c>
      <c r="G412" s="1" t="s">
        <v>806</v>
      </c>
      <c r="H412" s="1" t="s">
        <v>812</v>
      </c>
      <c r="I412" s="1" t="s">
        <v>813</v>
      </c>
      <c r="J412" s="1" t="s">
        <v>817</v>
      </c>
      <c r="K412" s="1" t="s">
        <v>822</v>
      </c>
      <c r="L412" s="1" t="s">
        <v>828</v>
      </c>
      <c r="M412" s="1">
        <v>4.2</v>
      </c>
      <c r="N412" s="1">
        <v>1299.55</v>
      </c>
      <c r="O412" s="1">
        <v>4897.3900000000003</v>
      </c>
      <c r="P412" s="1">
        <v>0.15</v>
      </c>
      <c r="Q412" s="1">
        <v>4269.5200000000004</v>
      </c>
      <c r="R412" s="1">
        <v>3086.63</v>
      </c>
      <c r="S412" s="1">
        <f t="shared" si="13"/>
        <v>1182.8900000000003</v>
      </c>
      <c r="T412" s="1" t="s">
        <v>874</v>
      </c>
      <c r="U412" s="1" t="s">
        <v>878</v>
      </c>
      <c r="V412" s="5" t="s">
        <v>882</v>
      </c>
    </row>
    <row r="413" spans="1:22" x14ac:dyDescent="0.3">
      <c r="A413" s="4" t="s">
        <v>111</v>
      </c>
      <c r="B413" s="3">
        <v>45425</v>
      </c>
      <c r="C413" s="1" t="str">
        <f t="shared" si="12"/>
        <v>May</v>
      </c>
      <c r="D413" s="1" t="s">
        <v>354</v>
      </c>
      <c r="E413" s="1" t="s">
        <v>596</v>
      </c>
      <c r="F413" s="1" t="s">
        <v>801</v>
      </c>
      <c r="G413" s="1" t="s">
        <v>805</v>
      </c>
      <c r="H413" s="1" t="s">
        <v>812</v>
      </c>
      <c r="I413" s="1" t="s">
        <v>814</v>
      </c>
      <c r="J413" s="1" t="s">
        <v>818</v>
      </c>
      <c r="K413" s="1" t="s">
        <v>820</v>
      </c>
      <c r="L413" s="1" t="s">
        <v>858</v>
      </c>
      <c r="M413" s="1">
        <v>6.15</v>
      </c>
      <c r="N413" s="1">
        <v>1153.98</v>
      </c>
      <c r="O413" s="1">
        <v>6829.67</v>
      </c>
      <c r="P413" s="1">
        <v>0.11</v>
      </c>
      <c r="Q413" s="1">
        <v>6948.16</v>
      </c>
      <c r="R413" s="1">
        <v>3565.99</v>
      </c>
      <c r="S413" s="1">
        <f t="shared" si="13"/>
        <v>3382.17</v>
      </c>
      <c r="T413" s="1" t="s">
        <v>876</v>
      </c>
      <c r="U413" s="1" t="s">
        <v>878</v>
      </c>
      <c r="V413" s="5" t="s">
        <v>883</v>
      </c>
    </row>
    <row r="414" spans="1:22" x14ac:dyDescent="0.3">
      <c r="A414" s="4" t="s">
        <v>193</v>
      </c>
      <c r="B414" s="3">
        <v>45292</v>
      </c>
      <c r="C414" s="1" t="str">
        <f t="shared" si="12"/>
        <v>January</v>
      </c>
      <c r="D414" s="1" t="s">
        <v>479</v>
      </c>
      <c r="E414" s="1" t="s">
        <v>677</v>
      </c>
      <c r="F414" s="1" t="s">
        <v>803</v>
      </c>
      <c r="G414" s="1" t="s">
        <v>804</v>
      </c>
      <c r="H414" s="1" t="s">
        <v>809</v>
      </c>
      <c r="I414" s="1" t="s">
        <v>815</v>
      </c>
      <c r="J414" s="1" t="s">
        <v>817</v>
      </c>
      <c r="K414" s="1" t="s">
        <v>822</v>
      </c>
      <c r="L414" s="1" t="s">
        <v>855</v>
      </c>
      <c r="M414" s="1">
        <v>11.07</v>
      </c>
      <c r="N414" s="1">
        <v>1257.06</v>
      </c>
      <c r="O414" s="1">
        <v>13483.06</v>
      </c>
      <c r="P414" s="1">
        <v>0</v>
      </c>
      <c r="Q414" s="1">
        <v>14026.1</v>
      </c>
      <c r="R414" s="1">
        <v>12384.05</v>
      </c>
      <c r="S414" s="1">
        <f t="shared" si="13"/>
        <v>1642.0500000000011</v>
      </c>
      <c r="T414" s="1" t="s">
        <v>876</v>
      </c>
      <c r="U414" s="1" t="s">
        <v>878</v>
      </c>
      <c r="V414" s="5" t="s">
        <v>883</v>
      </c>
    </row>
    <row r="415" spans="1:22" x14ac:dyDescent="0.3">
      <c r="A415" s="4" t="s">
        <v>183</v>
      </c>
      <c r="B415" s="3">
        <v>45314</v>
      </c>
      <c r="C415" s="1" t="str">
        <f t="shared" si="12"/>
        <v>January</v>
      </c>
      <c r="D415" s="1" t="s">
        <v>362</v>
      </c>
      <c r="E415" s="1" t="s">
        <v>667</v>
      </c>
      <c r="F415" s="1" t="s">
        <v>802</v>
      </c>
      <c r="G415" s="1" t="s">
        <v>806</v>
      </c>
      <c r="H415" s="1" t="s">
        <v>812</v>
      </c>
      <c r="I415" s="1" t="s">
        <v>809</v>
      </c>
      <c r="J415" s="1" t="s">
        <v>819</v>
      </c>
      <c r="K415" s="1" t="s">
        <v>822</v>
      </c>
      <c r="L415" s="1" t="s">
        <v>858</v>
      </c>
      <c r="M415" s="1">
        <v>1.08</v>
      </c>
      <c r="N415" s="1">
        <v>2234.85</v>
      </c>
      <c r="O415" s="1">
        <v>2449.2600000000002</v>
      </c>
      <c r="P415" s="1">
        <v>0.05</v>
      </c>
      <c r="Q415" s="1">
        <v>1986.27</v>
      </c>
      <c r="R415" s="1">
        <v>1444.23</v>
      </c>
      <c r="S415" s="1">
        <f t="shared" si="13"/>
        <v>542.04</v>
      </c>
      <c r="T415" s="1" t="s">
        <v>874</v>
      </c>
      <c r="U415" s="1" t="s">
        <v>878</v>
      </c>
      <c r="V415" s="5" t="s">
        <v>882</v>
      </c>
    </row>
    <row r="416" spans="1:22" x14ac:dyDescent="0.3">
      <c r="A416" s="4" t="s">
        <v>248</v>
      </c>
      <c r="B416" s="3">
        <v>45603</v>
      </c>
      <c r="C416" s="1" t="str">
        <f t="shared" si="12"/>
        <v>November</v>
      </c>
      <c r="D416" s="1" t="s">
        <v>490</v>
      </c>
      <c r="E416" s="1" t="s">
        <v>731</v>
      </c>
      <c r="F416" s="1" t="s">
        <v>802</v>
      </c>
      <c r="G416" s="1" t="s">
        <v>806</v>
      </c>
      <c r="H416" s="1" t="s">
        <v>808</v>
      </c>
      <c r="I416" s="1" t="s">
        <v>815</v>
      </c>
      <c r="J416" s="1" t="s">
        <v>817</v>
      </c>
      <c r="K416" s="1" t="s">
        <v>821</v>
      </c>
      <c r="L416" s="1" t="s">
        <v>833</v>
      </c>
      <c r="M416" s="1">
        <v>4.92</v>
      </c>
      <c r="N416" s="1">
        <v>1428.86</v>
      </c>
      <c r="O416" s="1">
        <v>7263.01</v>
      </c>
      <c r="P416" s="1">
        <v>0.14000000000000001</v>
      </c>
      <c r="Q416" s="1">
        <v>6656.93</v>
      </c>
      <c r="R416" s="1">
        <v>5404.79</v>
      </c>
      <c r="S416" s="1">
        <f t="shared" si="13"/>
        <v>1252.1400000000003</v>
      </c>
      <c r="T416" s="1" t="s">
        <v>874</v>
      </c>
      <c r="U416" s="1" t="s">
        <v>877</v>
      </c>
      <c r="V416" s="5" t="s">
        <v>882</v>
      </c>
    </row>
    <row r="417" spans="1:22" x14ac:dyDescent="0.3">
      <c r="A417" s="4" t="s">
        <v>170</v>
      </c>
      <c r="B417" s="3">
        <v>45532</v>
      </c>
      <c r="C417" s="1" t="str">
        <f t="shared" si="12"/>
        <v>August</v>
      </c>
      <c r="D417" s="1" t="s">
        <v>361</v>
      </c>
      <c r="E417" s="1" t="s">
        <v>655</v>
      </c>
      <c r="F417" s="1" t="s">
        <v>802</v>
      </c>
      <c r="G417" s="1" t="s">
        <v>805</v>
      </c>
      <c r="H417" s="1" t="s">
        <v>808</v>
      </c>
      <c r="I417" s="1" t="s">
        <v>816</v>
      </c>
      <c r="J417" s="1" t="s">
        <v>817</v>
      </c>
      <c r="K417" s="1" t="s">
        <v>822</v>
      </c>
      <c r="L417" s="1" t="s">
        <v>835</v>
      </c>
      <c r="M417" s="1">
        <v>5.23</v>
      </c>
      <c r="N417" s="1">
        <v>456.51</v>
      </c>
      <c r="O417" s="1">
        <v>2425.19</v>
      </c>
      <c r="P417" s="1">
        <v>0.1</v>
      </c>
      <c r="Q417" s="1">
        <v>2073.0100000000002</v>
      </c>
      <c r="R417" s="1">
        <v>1385.12</v>
      </c>
      <c r="S417" s="1">
        <f t="shared" si="13"/>
        <v>687.89000000000033</v>
      </c>
      <c r="T417" s="1" t="s">
        <v>875</v>
      </c>
      <c r="U417" s="1" t="s">
        <v>879</v>
      </c>
      <c r="V417" s="5" t="s">
        <v>883</v>
      </c>
    </row>
    <row r="418" spans="1:22" x14ac:dyDescent="0.3">
      <c r="A418" s="4" t="s">
        <v>250</v>
      </c>
      <c r="B418" s="3">
        <v>45543</v>
      </c>
      <c r="C418" s="1" t="str">
        <f t="shared" si="12"/>
        <v>September</v>
      </c>
      <c r="D418" s="1" t="s">
        <v>351</v>
      </c>
      <c r="E418" s="1" t="s">
        <v>733</v>
      </c>
      <c r="F418" s="1" t="s">
        <v>801</v>
      </c>
      <c r="G418" s="1" t="s">
        <v>804</v>
      </c>
      <c r="H418" s="1" t="s">
        <v>812</v>
      </c>
      <c r="I418" s="1" t="s">
        <v>814</v>
      </c>
      <c r="J418" s="1" t="s">
        <v>819</v>
      </c>
      <c r="K418" s="1" t="s">
        <v>822</v>
      </c>
      <c r="L418" s="1" t="s">
        <v>857</v>
      </c>
      <c r="M418" s="1">
        <v>10.16</v>
      </c>
      <c r="N418" s="1">
        <v>2710.8</v>
      </c>
      <c r="O418" s="1">
        <v>27993.81</v>
      </c>
      <c r="P418" s="1">
        <v>0</v>
      </c>
      <c r="Q418" s="1">
        <v>23565.25</v>
      </c>
      <c r="R418" s="1">
        <v>18816.830000000002</v>
      </c>
      <c r="S418" s="1">
        <f t="shared" si="13"/>
        <v>4748.4199999999983</v>
      </c>
      <c r="T418" s="1" t="s">
        <v>873</v>
      </c>
      <c r="U418" s="1" t="s">
        <v>877</v>
      </c>
      <c r="V418" s="5" t="s">
        <v>882</v>
      </c>
    </row>
    <row r="419" spans="1:22" x14ac:dyDescent="0.3">
      <c r="A419" s="4" t="s">
        <v>97</v>
      </c>
      <c r="B419" s="3">
        <v>45543</v>
      </c>
      <c r="C419" s="1" t="str">
        <f t="shared" si="12"/>
        <v>September</v>
      </c>
      <c r="D419" s="1" t="s">
        <v>323</v>
      </c>
      <c r="E419" s="1" t="s">
        <v>582</v>
      </c>
      <c r="F419" s="1" t="s">
        <v>802</v>
      </c>
      <c r="G419" s="1" t="s">
        <v>807</v>
      </c>
      <c r="H419" s="1" t="s">
        <v>810</v>
      </c>
      <c r="I419" s="1" t="s">
        <v>815</v>
      </c>
      <c r="J419" s="1" t="s">
        <v>818</v>
      </c>
      <c r="K419" s="1" t="s">
        <v>822</v>
      </c>
      <c r="L419" s="1" t="s">
        <v>861</v>
      </c>
      <c r="M419" s="1">
        <v>3.25</v>
      </c>
      <c r="N419" s="1">
        <v>2346.88</v>
      </c>
      <c r="O419" s="1">
        <v>7554.2</v>
      </c>
      <c r="P419" s="1">
        <v>0.05</v>
      </c>
      <c r="Q419" s="1">
        <v>6982.79</v>
      </c>
      <c r="R419" s="1">
        <v>4754.6899999999996</v>
      </c>
      <c r="S419" s="1">
        <f t="shared" si="13"/>
        <v>2228.1000000000004</v>
      </c>
      <c r="T419" s="1" t="s">
        <v>875</v>
      </c>
      <c r="U419" s="1" t="s">
        <v>879</v>
      </c>
      <c r="V419" s="5" t="s">
        <v>883</v>
      </c>
    </row>
    <row r="420" spans="1:22" x14ac:dyDescent="0.3">
      <c r="A420" s="4" t="s">
        <v>131</v>
      </c>
      <c r="B420" s="3">
        <v>45376</v>
      </c>
      <c r="C420" s="1" t="str">
        <f t="shared" si="12"/>
        <v>March</v>
      </c>
      <c r="D420" s="1" t="s">
        <v>431</v>
      </c>
      <c r="E420" s="1" t="s">
        <v>616</v>
      </c>
      <c r="F420" s="1" t="s">
        <v>801</v>
      </c>
      <c r="G420" s="1" t="s">
        <v>805</v>
      </c>
      <c r="H420" s="1" t="s">
        <v>812</v>
      </c>
      <c r="I420" s="1" t="s">
        <v>816</v>
      </c>
      <c r="J420" s="1" t="s">
        <v>819</v>
      </c>
      <c r="K420" s="1" t="s">
        <v>822</v>
      </c>
      <c r="L420" s="1" t="s">
        <v>858</v>
      </c>
      <c r="M420" s="1">
        <v>9.8000000000000007</v>
      </c>
      <c r="N420" s="1">
        <v>3263.65</v>
      </c>
      <c r="O420" s="1">
        <v>29483.65</v>
      </c>
      <c r="P420" s="1">
        <v>0</v>
      </c>
      <c r="Q420" s="1">
        <v>31356.19</v>
      </c>
      <c r="R420" s="1">
        <v>20185.64</v>
      </c>
      <c r="S420" s="1">
        <f t="shared" si="13"/>
        <v>11170.55</v>
      </c>
      <c r="T420" s="1" t="s">
        <v>876</v>
      </c>
      <c r="U420" s="1" t="s">
        <v>880</v>
      </c>
      <c r="V420" s="5" t="s">
        <v>883</v>
      </c>
    </row>
    <row r="421" spans="1:22" x14ac:dyDescent="0.3">
      <c r="A421" s="4" t="s">
        <v>166</v>
      </c>
      <c r="B421" s="3">
        <v>45563</v>
      </c>
      <c r="C421" s="1" t="str">
        <f t="shared" si="12"/>
        <v>September</v>
      </c>
      <c r="D421" s="1" t="s">
        <v>472</v>
      </c>
      <c r="E421" s="1" t="s">
        <v>651</v>
      </c>
      <c r="F421" s="1" t="s">
        <v>803</v>
      </c>
      <c r="G421" s="1" t="s">
        <v>806</v>
      </c>
      <c r="H421" s="1" t="s">
        <v>811</v>
      </c>
      <c r="I421" s="1" t="s">
        <v>816</v>
      </c>
      <c r="J421" s="1" t="s">
        <v>819</v>
      </c>
      <c r="K421" s="1" t="s">
        <v>821</v>
      </c>
      <c r="L421" s="1" t="s">
        <v>847</v>
      </c>
      <c r="M421" s="1">
        <v>1.99</v>
      </c>
      <c r="N421" s="1">
        <v>1266.4100000000001</v>
      </c>
      <c r="O421" s="1">
        <v>2673.29</v>
      </c>
      <c r="P421" s="1">
        <v>0.05</v>
      </c>
      <c r="Q421" s="1">
        <v>2738.12</v>
      </c>
      <c r="R421" s="1">
        <v>2093.33</v>
      </c>
      <c r="S421" s="1">
        <f t="shared" si="13"/>
        <v>644.79</v>
      </c>
      <c r="T421" s="1" t="s">
        <v>876</v>
      </c>
      <c r="U421" s="1" t="s">
        <v>877</v>
      </c>
      <c r="V421" s="5" t="s">
        <v>883</v>
      </c>
    </row>
    <row r="422" spans="1:22" x14ac:dyDescent="0.3">
      <c r="A422" s="4" t="s">
        <v>283</v>
      </c>
      <c r="B422" s="3">
        <v>45609</v>
      </c>
      <c r="C422" s="1" t="str">
        <f t="shared" si="12"/>
        <v>November</v>
      </c>
      <c r="D422" s="1" t="s">
        <v>473</v>
      </c>
      <c r="E422" s="1" t="s">
        <v>766</v>
      </c>
      <c r="F422" s="1" t="s">
        <v>801</v>
      </c>
      <c r="G422" s="1" t="s">
        <v>805</v>
      </c>
      <c r="H422" s="1" t="s">
        <v>812</v>
      </c>
      <c r="I422" s="1" t="s">
        <v>809</v>
      </c>
      <c r="J422" s="1" t="s">
        <v>817</v>
      </c>
      <c r="K422" s="1" t="s">
        <v>821</v>
      </c>
      <c r="L422" s="1" t="s">
        <v>871</v>
      </c>
      <c r="M422" s="1">
        <v>7.25</v>
      </c>
      <c r="N422" s="1">
        <v>1578.23</v>
      </c>
      <c r="O422" s="1">
        <v>12594.72</v>
      </c>
      <c r="P422" s="1">
        <v>0.09</v>
      </c>
      <c r="Q422" s="1">
        <v>12562.32</v>
      </c>
      <c r="R422" s="1">
        <v>7992.15</v>
      </c>
      <c r="S422" s="1">
        <f t="shared" si="13"/>
        <v>4570.17</v>
      </c>
      <c r="T422" s="1" t="s">
        <v>873</v>
      </c>
      <c r="U422" s="1" t="s">
        <v>880</v>
      </c>
      <c r="V422" s="5" t="s">
        <v>884</v>
      </c>
    </row>
    <row r="423" spans="1:22" x14ac:dyDescent="0.3">
      <c r="A423" s="4" t="s">
        <v>112</v>
      </c>
      <c r="B423" s="3">
        <v>45342</v>
      </c>
      <c r="C423" s="1" t="str">
        <f t="shared" si="12"/>
        <v>February</v>
      </c>
      <c r="D423" s="1" t="s">
        <v>461</v>
      </c>
      <c r="E423" s="1" t="s">
        <v>597</v>
      </c>
      <c r="F423" s="1" t="s">
        <v>802</v>
      </c>
      <c r="G423" s="1" t="s">
        <v>807</v>
      </c>
      <c r="H423" s="1" t="s">
        <v>810</v>
      </c>
      <c r="I423" s="1" t="s">
        <v>816</v>
      </c>
      <c r="J423" s="1" t="s">
        <v>817</v>
      </c>
      <c r="K423" s="1" t="s">
        <v>821</v>
      </c>
      <c r="L423" s="1" t="s">
        <v>837</v>
      </c>
      <c r="M423" s="1">
        <v>8.39</v>
      </c>
      <c r="N423" s="1">
        <v>2329.3000000000002</v>
      </c>
      <c r="O423" s="1">
        <v>18681.13</v>
      </c>
      <c r="P423" s="1">
        <v>0.05</v>
      </c>
      <c r="Q423" s="1">
        <v>20699.439999999999</v>
      </c>
      <c r="R423" s="1">
        <v>15621.58</v>
      </c>
      <c r="S423" s="1">
        <f t="shared" si="13"/>
        <v>5077.8599999999988</v>
      </c>
      <c r="T423" s="1" t="s">
        <v>874</v>
      </c>
      <c r="U423" s="1" t="s">
        <v>877</v>
      </c>
      <c r="V423" s="5" t="s">
        <v>882</v>
      </c>
    </row>
    <row r="424" spans="1:22" x14ac:dyDescent="0.3">
      <c r="A424" s="4" t="s">
        <v>46</v>
      </c>
      <c r="B424" s="3">
        <v>45430</v>
      </c>
      <c r="C424" s="1" t="str">
        <f t="shared" si="12"/>
        <v>May</v>
      </c>
      <c r="D424" s="1" t="s">
        <v>445</v>
      </c>
      <c r="E424" s="1" t="s">
        <v>531</v>
      </c>
      <c r="F424" s="1" t="s">
        <v>802</v>
      </c>
      <c r="G424" s="1" t="s">
        <v>805</v>
      </c>
      <c r="H424" s="1" t="s">
        <v>812</v>
      </c>
      <c r="I424" s="1" t="s">
        <v>809</v>
      </c>
      <c r="J424" s="1" t="s">
        <v>819</v>
      </c>
      <c r="K424" s="1" t="s">
        <v>820</v>
      </c>
      <c r="L424" s="1" t="s">
        <v>845</v>
      </c>
      <c r="M424" s="1">
        <v>2.93</v>
      </c>
      <c r="N424" s="1">
        <v>2954.2</v>
      </c>
      <c r="O424" s="1">
        <v>8008.36</v>
      </c>
      <c r="P424" s="1">
        <v>0.09</v>
      </c>
      <c r="Q424" s="1">
        <v>8667.3799999999992</v>
      </c>
      <c r="R424" s="1">
        <v>5849.83</v>
      </c>
      <c r="S424" s="1">
        <f t="shared" si="13"/>
        <v>2817.5499999999993</v>
      </c>
      <c r="T424" s="1" t="s">
        <v>875</v>
      </c>
      <c r="U424" s="1" t="s">
        <v>878</v>
      </c>
      <c r="V424" s="5" t="s">
        <v>882</v>
      </c>
    </row>
    <row r="425" spans="1:22" x14ac:dyDescent="0.3">
      <c r="A425" s="4" t="s">
        <v>310</v>
      </c>
      <c r="B425" s="3">
        <v>45613</v>
      </c>
      <c r="C425" s="1" t="str">
        <f t="shared" si="12"/>
        <v>November</v>
      </c>
      <c r="D425" s="1" t="s">
        <v>417</v>
      </c>
      <c r="E425" s="1" t="s">
        <v>792</v>
      </c>
      <c r="F425" s="1" t="s">
        <v>803</v>
      </c>
      <c r="G425" s="1" t="s">
        <v>804</v>
      </c>
      <c r="H425" s="1" t="s">
        <v>808</v>
      </c>
      <c r="I425" s="1" t="s">
        <v>813</v>
      </c>
      <c r="J425" s="1" t="s">
        <v>819</v>
      </c>
      <c r="K425" s="1" t="s">
        <v>821</v>
      </c>
      <c r="L425" s="1" t="s">
        <v>845</v>
      </c>
      <c r="M425" s="1">
        <v>6.46</v>
      </c>
      <c r="N425" s="1">
        <v>577.52</v>
      </c>
      <c r="O425" s="1">
        <v>3846.2</v>
      </c>
      <c r="P425" s="1">
        <v>0</v>
      </c>
      <c r="Q425" s="1">
        <v>3391.52</v>
      </c>
      <c r="R425" s="1">
        <v>3129.44</v>
      </c>
      <c r="S425" s="1">
        <f t="shared" si="13"/>
        <v>262.07999999999993</v>
      </c>
      <c r="T425" s="1" t="s">
        <v>876</v>
      </c>
      <c r="U425" s="1" t="s">
        <v>880</v>
      </c>
      <c r="V425" s="5" t="s">
        <v>882</v>
      </c>
    </row>
    <row r="426" spans="1:22" x14ac:dyDescent="0.3">
      <c r="A426" s="4" t="s">
        <v>90</v>
      </c>
      <c r="B426" s="3">
        <v>45338</v>
      </c>
      <c r="C426" s="1" t="str">
        <f t="shared" si="12"/>
        <v>February</v>
      </c>
      <c r="D426" s="1" t="s">
        <v>373</v>
      </c>
      <c r="E426" s="1" t="s">
        <v>575</v>
      </c>
      <c r="F426" s="1" t="s">
        <v>803</v>
      </c>
      <c r="G426" s="1" t="s">
        <v>804</v>
      </c>
      <c r="H426" s="1" t="s">
        <v>808</v>
      </c>
      <c r="I426" s="1" t="s">
        <v>813</v>
      </c>
      <c r="J426" s="1" t="s">
        <v>818</v>
      </c>
      <c r="K426" s="1" t="s">
        <v>822</v>
      </c>
      <c r="L426" s="1" t="s">
        <v>859</v>
      </c>
      <c r="M426" s="1">
        <v>9.0399999999999991</v>
      </c>
      <c r="N426" s="1">
        <v>3027.48</v>
      </c>
      <c r="O426" s="1">
        <v>27932.04</v>
      </c>
      <c r="P426" s="1">
        <v>0.14000000000000001</v>
      </c>
      <c r="Q426" s="1">
        <v>26352.77</v>
      </c>
      <c r="R426" s="1">
        <v>17233.650000000001</v>
      </c>
      <c r="S426" s="1">
        <f t="shared" si="13"/>
        <v>9119.119999999999</v>
      </c>
      <c r="T426" s="1" t="s">
        <v>874</v>
      </c>
      <c r="U426" s="1" t="s">
        <v>881</v>
      </c>
      <c r="V426" s="5" t="s">
        <v>882</v>
      </c>
    </row>
    <row r="427" spans="1:22" x14ac:dyDescent="0.3">
      <c r="A427" s="4" t="s">
        <v>144</v>
      </c>
      <c r="B427" s="3">
        <v>45523</v>
      </c>
      <c r="C427" s="1" t="str">
        <f t="shared" si="12"/>
        <v>August</v>
      </c>
      <c r="D427" s="1" t="s">
        <v>386</v>
      </c>
      <c r="E427" s="1" t="s">
        <v>629</v>
      </c>
      <c r="F427" s="1" t="s">
        <v>802</v>
      </c>
      <c r="G427" s="1" t="s">
        <v>804</v>
      </c>
      <c r="H427" s="1" t="s">
        <v>812</v>
      </c>
      <c r="I427" s="1" t="s">
        <v>813</v>
      </c>
      <c r="J427" s="1" t="s">
        <v>818</v>
      </c>
      <c r="K427" s="1" t="s">
        <v>820</v>
      </c>
      <c r="L427" s="1" t="s">
        <v>849</v>
      </c>
      <c r="M427" s="1">
        <v>11.59</v>
      </c>
      <c r="N427" s="1">
        <v>427.68</v>
      </c>
      <c r="O427" s="1">
        <v>5059.7</v>
      </c>
      <c r="P427" s="1">
        <v>0.11</v>
      </c>
      <c r="Q427" s="1">
        <v>4545.47</v>
      </c>
      <c r="R427" s="1">
        <v>3176.59</v>
      </c>
      <c r="S427" s="1">
        <f t="shared" si="13"/>
        <v>1368.88</v>
      </c>
      <c r="T427" s="1" t="s">
        <v>873</v>
      </c>
      <c r="U427" s="1" t="s">
        <v>879</v>
      </c>
      <c r="V427" s="5" t="s">
        <v>883</v>
      </c>
    </row>
    <row r="428" spans="1:22" x14ac:dyDescent="0.3">
      <c r="A428" s="4" t="s">
        <v>139</v>
      </c>
      <c r="B428" s="3">
        <v>45572</v>
      </c>
      <c r="C428" s="1" t="str">
        <f t="shared" si="12"/>
        <v>October</v>
      </c>
      <c r="D428" s="1" t="s">
        <v>468</v>
      </c>
      <c r="E428" s="1" t="s">
        <v>624</v>
      </c>
      <c r="F428" s="1" t="s">
        <v>801</v>
      </c>
      <c r="G428" s="1" t="s">
        <v>804</v>
      </c>
      <c r="H428" s="1" t="s">
        <v>809</v>
      </c>
      <c r="I428" s="1" t="s">
        <v>809</v>
      </c>
      <c r="J428" s="1" t="s">
        <v>817</v>
      </c>
      <c r="K428" s="1" t="s">
        <v>820</v>
      </c>
      <c r="L428" s="1" t="s">
        <v>866</v>
      </c>
      <c r="M428" s="1">
        <v>1.94</v>
      </c>
      <c r="N428" s="1">
        <v>2372.06</v>
      </c>
      <c r="O428" s="1">
        <v>4817.8100000000004</v>
      </c>
      <c r="P428" s="1">
        <v>0.05</v>
      </c>
      <c r="Q428" s="1">
        <v>4829.6400000000003</v>
      </c>
      <c r="R428" s="1">
        <v>3873.15</v>
      </c>
      <c r="S428" s="1">
        <f t="shared" si="13"/>
        <v>956.49000000000024</v>
      </c>
      <c r="T428" s="1" t="s">
        <v>875</v>
      </c>
      <c r="U428" s="1" t="s">
        <v>878</v>
      </c>
      <c r="V428" s="5" t="s">
        <v>882</v>
      </c>
    </row>
    <row r="429" spans="1:22" x14ac:dyDescent="0.3">
      <c r="A429" s="4" t="s">
        <v>296</v>
      </c>
      <c r="B429" s="3">
        <v>45381</v>
      </c>
      <c r="C429" s="1" t="str">
        <f t="shared" si="12"/>
        <v>March</v>
      </c>
      <c r="D429" s="1" t="s">
        <v>502</v>
      </c>
      <c r="E429" s="1" t="s">
        <v>778</v>
      </c>
      <c r="F429" s="1" t="s">
        <v>803</v>
      </c>
      <c r="G429" s="1" t="s">
        <v>807</v>
      </c>
      <c r="H429" s="1" t="s">
        <v>809</v>
      </c>
      <c r="I429" s="1" t="s">
        <v>813</v>
      </c>
      <c r="J429" s="1" t="s">
        <v>819</v>
      </c>
      <c r="K429" s="1" t="s">
        <v>822</v>
      </c>
      <c r="L429" s="1" t="s">
        <v>826</v>
      </c>
      <c r="M429" s="1">
        <v>6</v>
      </c>
      <c r="N429" s="1">
        <v>1697.99</v>
      </c>
      <c r="O429" s="1">
        <v>10418.780000000001</v>
      </c>
      <c r="P429" s="1">
        <v>0</v>
      </c>
      <c r="Q429" s="1">
        <v>10816.84</v>
      </c>
      <c r="R429" s="1">
        <v>7541.55</v>
      </c>
      <c r="S429" s="1">
        <f t="shared" si="13"/>
        <v>3275.29</v>
      </c>
      <c r="T429" s="1" t="s">
        <v>876</v>
      </c>
      <c r="U429" s="1" t="s">
        <v>879</v>
      </c>
      <c r="V429" s="5" t="s">
        <v>884</v>
      </c>
    </row>
    <row r="430" spans="1:22" x14ac:dyDescent="0.3">
      <c r="A430" s="4" t="s">
        <v>119</v>
      </c>
      <c r="B430" s="3">
        <v>45490</v>
      </c>
      <c r="C430" s="1" t="str">
        <f t="shared" si="12"/>
        <v>July</v>
      </c>
      <c r="D430" s="1" t="s">
        <v>329</v>
      </c>
      <c r="E430" s="1" t="s">
        <v>604</v>
      </c>
      <c r="F430" s="1" t="s">
        <v>802</v>
      </c>
      <c r="G430" s="1" t="s">
        <v>807</v>
      </c>
      <c r="H430" s="1" t="s">
        <v>811</v>
      </c>
      <c r="I430" s="1" t="s">
        <v>809</v>
      </c>
      <c r="J430" s="1" t="s">
        <v>817</v>
      </c>
      <c r="K430" s="1" t="s">
        <v>822</v>
      </c>
      <c r="L430" s="1" t="s">
        <v>854</v>
      </c>
      <c r="M430" s="1">
        <v>1.0900000000000001</v>
      </c>
      <c r="N430" s="1">
        <v>460.09</v>
      </c>
      <c r="O430" s="1">
        <v>421.07</v>
      </c>
      <c r="P430" s="1">
        <v>0.15</v>
      </c>
      <c r="Q430" s="1">
        <v>368.03</v>
      </c>
      <c r="R430" s="1">
        <v>301.87</v>
      </c>
      <c r="S430" s="1">
        <f t="shared" si="13"/>
        <v>66.159999999999968</v>
      </c>
      <c r="T430" s="1" t="s">
        <v>873</v>
      </c>
      <c r="U430" s="1" t="s">
        <v>877</v>
      </c>
      <c r="V430" s="5" t="s">
        <v>883</v>
      </c>
    </row>
    <row r="431" spans="1:22" x14ac:dyDescent="0.3">
      <c r="A431" s="4" t="s">
        <v>282</v>
      </c>
      <c r="B431" s="3">
        <v>45323</v>
      </c>
      <c r="C431" s="1" t="str">
        <f t="shared" si="12"/>
        <v>February</v>
      </c>
      <c r="D431" s="1" t="s">
        <v>414</v>
      </c>
      <c r="E431" s="1" t="s">
        <v>765</v>
      </c>
      <c r="F431" s="1" t="s">
        <v>802</v>
      </c>
      <c r="G431" s="1" t="s">
        <v>807</v>
      </c>
      <c r="H431" s="1" t="s">
        <v>811</v>
      </c>
      <c r="I431" s="1" t="s">
        <v>815</v>
      </c>
      <c r="J431" s="1" t="s">
        <v>818</v>
      </c>
      <c r="K431" s="1" t="s">
        <v>820</v>
      </c>
      <c r="L431" s="1" t="s">
        <v>849</v>
      </c>
      <c r="M431" s="1">
        <v>5</v>
      </c>
      <c r="N431" s="1">
        <v>2337.89</v>
      </c>
      <c r="O431" s="1">
        <v>11172.07</v>
      </c>
      <c r="P431" s="1">
        <v>0.05</v>
      </c>
      <c r="Q431" s="1">
        <v>11631.43</v>
      </c>
      <c r="R431" s="1">
        <v>9030.68</v>
      </c>
      <c r="S431" s="1">
        <f t="shared" si="13"/>
        <v>2600.75</v>
      </c>
      <c r="T431" s="1" t="s">
        <v>874</v>
      </c>
      <c r="U431" s="1" t="s">
        <v>878</v>
      </c>
      <c r="V431" s="5" t="s">
        <v>882</v>
      </c>
    </row>
    <row r="432" spans="1:22" x14ac:dyDescent="0.3">
      <c r="A432" s="4" t="s">
        <v>205</v>
      </c>
      <c r="B432" s="3">
        <v>45516</v>
      </c>
      <c r="C432" s="1" t="str">
        <f t="shared" si="12"/>
        <v>August</v>
      </c>
      <c r="D432" s="1" t="s">
        <v>482</v>
      </c>
      <c r="E432" s="1" t="s">
        <v>689</v>
      </c>
      <c r="F432" s="1" t="s">
        <v>801</v>
      </c>
      <c r="G432" s="1" t="s">
        <v>807</v>
      </c>
      <c r="H432" s="1" t="s">
        <v>809</v>
      </c>
      <c r="I432" s="1" t="s">
        <v>816</v>
      </c>
      <c r="J432" s="1" t="s">
        <v>818</v>
      </c>
      <c r="K432" s="1" t="s">
        <v>821</v>
      </c>
      <c r="L432" s="1" t="s">
        <v>836</v>
      </c>
      <c r="M432" s="1">
        <v>10.78</v>
      </c>
      <c r="N432" s="1">
        <v>3363.33</v>
      </c>
      <c r="O432" s="1">
        <v>35664.79</v>
      </c>
      <c r="P432" s="1">
        <v>0.05</v>
      </c>
      <c r="Q432" s="1">
        <v>32774.21</v>
      </c>
      <c r="R432" s="1">
        <v>30006.45</v>
      </c>
      <c r="S432" s="1">
        <f t="shared" si="13"/>
        <v>2767.7599999999984</v>
      </c>
      <c r="T432" s="1" t="s">
        <v>875</v>
      </c>
      <c r="U432" s="1" t="s">
        <v>878</v>
      </c>
      <c r="V432" s="5" t="s">
        <v>882</v>
      </c>
    </row>
    <row r="433" spans="1:22" x14ac:dyDescent="0.3">
      <c r="A433" s="4" t="s">
        <v>220</v>
      </c>
      <c r="B433" s="3">
        <v>45369</v>
      </c>
      <c r="C433" s="1" t="str">
        <f t="shared" si="12"/>
        <v>March</v>
      </c>
      <c r="D433" s="1" t="s">
        <v>400</v>
      </c>
      <c r="E433" s="1" t="s">
        <v>703</v>
      </c>
      <c r="F433" s="1" t="s">
        <v>802</v>
      </c>
      <c r="G433" s="1" t="s">
        <v>807</v>
      </c>
      <c r="H433" s="1" t="s">
        <v>810</v>
      </c>
      <c r="I433" s="1" t="s">
        <v>814</v>
      </c>
      <c r="J433" s="1" t="s">
        <v>817</v>
      </c>
      <c r="K433" s="1" t="s">
        <v>820</v>
      </c>
      <c r="L433" s="1" t="s">
        <v>852</v>
      </c>
      <c r="M433" s="1">
        <v>3.87</v>
      </c>
      <c r="N433" s="1">
        <v>416.4</v>
      </c>
      <c r="O433" s="1">
        <v>1761.33</v>
      </c>
      <c r="P433" s="1">
        <v>0.15</v>
      </c>
      <c r="Q433" s="1">
        <v>1572.29</v>
      </c>
      <c r="R433" s="1">
        <v>1077.0899999999999</v>
      </c>
      <c r="S433" s="1">
        <f t="shared" si="13"/>
        <v>495.20000000000005</v>
      </c>
      <c r="T433" s="1" t="s">
        <v>874</v>
      </c>
      <c r="U433" s="1" t="s">
        <v>879</v>
      </c>
      <c r="V433" s="5" t="s">
        <v>883</v>
      </c>
    </row>
    <row r="434" spans="1:22" x14ac:dyDescent="0.3">
      <c r="A434" s="4" t="s">
        <v>217</v>
      </c>
      <c r="B434" s="3">
        <v>45588</v>
      </c>
      <c r="C434" s="1" t="str">
        <f t="shared" si="12"/>
        <v>October</v>
      </c>
      <c r="D434" s="1" t="s">
        <v>425</v>
      </c>
      <c r="E434" s="1" t="s">
        <v>700</v>
      </c>
      <c r="F434" s="1" t="s">
        <v>802</v>
      </c>
      <c r="G434" s="1" t="s">
        <v>806</v>
      </c>
      <c r="H434" s="1" t="s">
        <v>810</v>
      </c>
      <c r="I434" s="1" t="s">
        <v>815</v>
      </c>
      <c r="J434" s="1" t="s">
        <v>819</v>
      </c>
      <c r="K434" s="1" t="s">
        <v>822</v>
      </c>
      <c r="L434" s="1" t="s">
        <v>863</v>
      </c>
      <c r="M434" s="1">
        <v>5.37</v>
      </c>
      <c r="N434" s="1">
        <v>1292.1099999999999</v>
      </c>
      <c r="O434" s="1">
        <v>5049.7700000000004</v>
      </c>
      <c r="P434" s="1">
        <v>0.05</v>
      </c>
      <c r="Q434" s="1">
        <v>6776.73</v>
      </c>
      <c r="R434" s="1">
        <v>4979.7700000000004</v>
      </c>
      <c r="S434" s="1">
        <f t="shared" si="13"/>
        <v>1796.9599999999991</v>
      </c>
      <c r="T434" s="1" t="s">
        <v>874</v>
      </c>
      <c r="U434" s="1" t="s">
        <v>879</v>
      </c>
      <c r="V434" s="5" t="s">
        <v>883</v>
      </c>
    </row>
    <row r="435" spans="1:22" x14ac:dyDescent="0.3">
      <c r="A435" s="4" t="s">
        <v>306</v>
      </c>
      <c r="B435" s="3">
        <v>45337</v>
      </c>
      <c r="C435" s="1" t="str">
        <f t="shared" si="12"/>
        <v>February</v>
      </c>
      <c r="D435" s="1" t="s">
        <v>380</v>
      </c>
      <c r="E435" s="1" t="s">
        <v>788</v>
      </c>
      <c r="F435" s="1" t="s">
        <v>803</v>
      </c>
      <c r="G435" s="1" t="s">
        <v>804</v>
      </c>
      <c r="H435" s="1" t="s">
        <v>809</v>
      </c>
      <c r="I435" s="1" t="s">
        <v>809</v>
      </c>
      <c r="J435" s="1" t="s">
        <v>817</v>
      </c>
      <c r="K435" s="1" t="s">
        <v>820</v>
      </c>
      <c r="L435" s="1" t="s">
        <v>828</v>
      </c>
      <c r="M435" s="1">
        <v>4.82</v>
      </c>
      <c r="N435" s="1">
        <v>1363.58</v>
      </c>
      <c r="O435" s="1">
        <v>6104.29</v>
      </c>
      <c r="P435" s="1">
        <v>0.1</v>
      </c>
      <c r="Q435" s="1">
        <v>5492.12</v>
      </c>
      <c r="R435" s="1">
        <v>3697</v>
      </c>
      <c r="S435" s="1">
        <f t="shared" si="13"/>
        <v>1795.12</v>
      </c>
      <c r="T435" s="1" t="s">
        <v>875</v>
      </c>
      <c r="U435" s="1" t="s">
        <v>881</v>
      </c>
      <c r="V435" s="5" t="s">
        <v>884</v>
      </c>
    </row>
    <row r="436" spans="1:22" x14ac:dyDescent="0.3">
      <c r="A436" s="4" t="s">
        <v>199</v>
      </c>
      <c r="B436" s="3">
        <v>45374</v>
      </c>
      <c r="C436" s="1" t="str">
        <f t="shared" si="12"/>
        <v>March</v>
      </c>
      <c r="D436" s="1" t="s">
        <v>394</v>
      </c>
      <c r="E436" s="1" t="s">
        <v>683</v>
      </c>
      <c r="F436" s="1" t="s">
        <v>803</v>
      </c>
      <c r="G436" s="1" t="s">
        <v>804</v>
      </c>
      <c r="H436" s="1" t="s">
        <v>811</v>
      </c>
      <c r="I436" s="1" t="s">
        <v>816</v>
      </c>
      <c r="J436" s="1" t="s">
        <v>817</v>
      </c>
      <c r="K436" s="1" t="s">
        <v>821</v>
      </c>
      <c r="L436" s="1" t="s">
        <v>850</v>
      </c>
      <c r="M436" s="1">
        <v>7.79</v>
      </c>
      <c r="N436" s="1">
        <v>1799.66</v>
      </c>
      <c r="O436" s="1">
        <v>14855.66</v>
      </c>
      <c r="P436" s="1">
        <v>0.1</v>
      </c>
      <c r="Q436" s="1">
        <v>12788.76</v>
      </c>
      <c r="R436" s="1">
        <v>9198.06</v>
      </c>
      <c r="S436" s="1">
        <f t="shared" si="13"/>
        <v>3590.7000000000007</v>
      </c>
      <c r="T436" s="1" t="s">
        <v>874</v>
      </c>
      <c r="U436" s="1" t="s">
        <v>881</v>
      </c>
      <c r="V436" s="5" t="s">
        <v>884</v>
      </c>
    </row>
    <row r="437" spans="1:22" x14ac:dyDescent="0.3">
      <c r="A437" s="4" t="s">
        <v>59</v>
      </c>
      <c r="B437" s="3">
        <v>45542</v>
      </c>
      <c r="C437" s="1" t="str">
        <f t="shared" si="12"/>
        <v>September</v>
      </c>
      <c r="D437" s="1" t="s">
        <v>351</v>
      </c>
      <c r="E437" s="1" t="s">
        <v>544</v>
      </c>
      <c r="F437" s="1" t="s">
        <v>802</v>
      </c>
      <c r="G437" s="1" t="s">
        <v>806</v>
      </c>
      <c r="H437" s="1" t="s">
        <v>812</v>
      </c>
      <c r="I437" s="1" t="s">
        <v>809</v>
      </c>
      <c r="J437" s="1" t="s">
        <v>819</v>
      </c>
      <c r="K437" s="1" t="s">
        <v>820</v>
      </c>
      <c r="L437" s="1" t="s">
        <v>839</v>
      </c>
      <c r="M437" s="1">
        <v>12.07</v>
      </c>
      <c r="N437" s="1">
        <v>1954.83</v>
      </c>
      <c r="O437" s="1">
        <v>21764.880000000001</v>
      </c>
      <c r="P437" s="1">
        <v>0.14000000000000001</v>
      </c>
      <c r="Q437" s="1">
        <v>18826</v>
      </c>
      <c r="R437" s="1">
        <v>14139.49</v>
      </c>
      <c r="S437" s="1">
        <f t="shared" si="13"/>
        <v>4686.51</v>
      </c>
      <c r="T437" s="1" t="s">
        <v>873</v>
      </c>
      <c r="U437" s="1" t="s">
        <v>877</v>
      </c>
      <c r="V437" s="5" t="s">
        <v>883</v>
      </c>
    </row>
    <row r="438" spans="1:22" x14ac:dyDescent="0.3">
      <c r="A438" s="4" t="s">
        <v>46</v>
      </c>
      <c r="B438" s="3">
        <v>45430</v>
      </c>
      <c r="C438" s="1" t="str">
        <f t="shared" si="12"/>
        <v>May</v>
      </c>
      <c r="D438" s="1" t="s">
        <v>445</v>
      </c>
      <c r="E438" s="1" t="s">
        <v>531</v>
      </c>
      <c r="F438" s="1" t="s">
        <v>802</v>
      </c>
      <c r="G438" s="1" t="s">
        <v>805</v>
      </c>
      <c r="H438" s="1" t="s">
        <v>812</v>
      </c>
      <c r="I438" s="1" t="s">
        <v>809</v>
      </c>
      <c r="J438" s="1" t="s">
        <v>819</v>
      </c>
      <c r="K438" s="1" t="s">
        <v>820</v>
      </c>
      <c r="L438" s="1" t="s">
        <v>845</v>
      </c>
      <c r="M438" s="1">
        <v>2.82</v>
      </c>
      <c r="N438" s="1">
        <v>3083.38</v>
      </c>
      <c r="O438" s="1">
        <v>8037.5</v>
      </c>
      <c r="P438" s="1">
        <v>0.09</v>
      </c>
      <c r="Q438" s="1">
        <v>8205.77</v>
      </c>
      <c r="R438" s="1">
        <v>6205.09</v>
      </c>
      <c r="S438" s="1">
        <f t="shared" si="13"/>
        <v>2000.6800000000003</v>
      </c>
      <c r="T438" s="1" t="s">
        <v>875</v>
      </c>
      <c r="U438" s="1" t="s">
        <v>878</v>
      </c>
      <c r="V438" s="5" t="s">
        <v>882</v>
      </c>
    </row>
    <row r="439" spans="1:22" x14ac:dyDescent="0.3">
      <c r="A439" s="4" t="s">
        <v>168</v>
      </c>
      <c r="B439" s="3">
        <v>45377</v>
      </c>
      <c r="C439" s="1" t="str">
        <f t="shared" si="12"/>
        <v>March</v>
      </c>
      <c r="D439" s="1" t="s">
        <v>402</v>
      </c>
      <c r="E439" s="1" t="s">
        <v>653</v>
      </c>
      <c r="F439" s="1" t="s">
        <v>803</v>
      </c>
      <c r="G439" s="1" t="s">
        <v>805</v>
      </c>
      <c r="H439" s="1" t="s">
        <v>809</v>
      </c>
      <c r="I439" s="1" t="s">
        <v>814</v>
      </c>
      <c r="J439" s="1" t="s">
        <v>817</v>
      </c>
      <c r="K439" s="1" t="s">
        <v>822</v>
      </c>
      <c r="L439" s="1" t="s">
        <v>858</v>
      </c>
      <c r="M439" s="1">
        <v>0.97</v>
      </c>
      <c r="N439" s="1">
        <v>2442.04</v>
      </c>
      <c r="O439" s="1">
        <v>2376.3200000000002</v>
      </c>
      <c r="P439" s="1">
        <v>0.1</v>
      </c>
      <c r="Q439" s="1">
        <v>2216.44</v>
      </c>
      <c r="R439" s="1">
        <v>1231.52</v>
      </c>
      <c r="S439" s="1">
        <f t="shared" si="13"/>
        <v>984.92000000000007</v>
      </c>
      <c r="T439" s="1" t="s">
        <v>874</v>
      </c>
      <c r="U439" s="1" t="s">
        <v>879</v>
      </c>
      <c r="V439" s="5" t="s">
        <v>882</v>
      </c>
    </row>
    <row r="440" spans="1:22" x14ac:dyDescent="0.3">
      <c r="A440" s="4" t="s">
        <v>255</v>
      </c>
      <c r="B440" s="3">
        <v>45564</v>
      </c>
      <c r="C440" s="1" t="str">
        <f t="shared" si="12"/>
        <v>September</v>
      </c>
      <c r="D440" s="1" t="s">
        <v>472</v>
      </c>
      <c r="E440" s="1" t="s">
        <v>738</v>
      </c>
      <c r="F440" s="1" t="s">
        <v>801</v>
      </c>
      <c r="G440" s="1" t="s">
        <v>807</v>
      </c>
      <c r="H440" s="1" t="s">
        <v>810</v>
      </c>
      <c r="I440" s="1" t="s">
        <v>813</v>
      </c>
      <c r="J440" s="1" t="s">
        <v>818</v>
      </c>
      <c r="K440" s="1" t="s">
        <v>821</v>
      </c>
      <c r="L440" s="1" t="s">
        <v>861</v>
      </c>
      <c r="M440" s="1">
        <v>7.12</v>
      </c>
      <c r="N440" s="1">
        <v>3097.02</v>
      </c>
      <c r="O440" s="1">
        <v>19741.29</v>
      </c>
      <c r="P440" s="1">
        <v>0.12</v>
      </c>
      <c r="Q440" s="1">
        <v>24229.79</v>
      </c>
      <c r="R440" s="1">
        <v>10535.55</v>
      </c>
      <c r="S440" s="1">
        <f t="shared" si="13"/>
        <v>13694.240000000002</v>
      </c>
      <c r="T440" s="1" t="s">
        <v>873</v>
      </c>
      <c r="U440" s="1" t="s">
        <v>878</v>
      </c>
      <c r="V440" s="5" t="s">
        <v>882</v>
      </c>
    </row>
    <row r="441" spans="1:22" x14ac:dyDescent="0.3">
      <c r="A441" s="4" t="s">
        <v>289</v>
      </c>
      <c r="B441" s="3">
        <v>45488</v>
      </c>
      <c r="C441" s="1" t="str">
        <f t="shared" si="12"/>
        <v>July</v>
      </c>
      <c r="D441" s="1" t="s">
        <v>401</v>
      </c>
      <c r="E441" s="1" t="s">
        <v>772</v>
      </c>
      <c r="F441" s="1" t="s">
        <v>801</v>
      </c>
      <c r="G441" s="1" t="s">
        <v>804</v>
      </c>
      <c r="H441" s="1" t="s">
        <v>812</v>
      </c>
      <c r="I441" s="1" t="s">
        <v>814</v>
      </c>
      <c r="J441" s="1" t="s">
        <v>817</v>
      </c>
      <c r="K441" s="1" t="s">
        <v>822</v>
      </c>
      <c r="L441" s="1" t="s">
        <v>856</v>
      </c>
      <c r="M441" s="1">
        <v>5.21</v>
      </c>
      <c r="N441" s="1">
        <v>2419.7600000000002</v>
      </c>
      <c r="O441" s="1">
        <v>12904.51</v>
      </c>
      <c r="P441" s="1">
        <v>0.09</v>
      </c>
      <c r="Q441" s="1">
        <v>12253.87</v>
      </c>
      <c r="R441" s="1">
        <v>8301.2900000000009</v>
      </c>
      <c r="S441" s="1">
        <f t="shared" si="13"/>
        <v>3952.58</v>
      </c>
      <c r="T441" s="1" t="s">
        <v>876</v>
      </c>
      <c r="U441" s="1" t="s">
        <v>877</v>
      </c>
      <c r="V441" s="5" t="s">
        <v>884</v>
      </c>
    </row>
    <row r="442" spans="1:22" x14ac:dyDescent="0.3">
      <c r="A442" s="4" t="s">
        <v>45</v>
      </c>
      <c r="B442" s="3">
        <v>45575</v>
      </c>
      <c r="C442" s="1" t="str">
        <f t="shared" si="12"/>
        <v>October</v>
      </c>
      <c r="D442" s="1" t="s">
        <v>444</v>
      </c>
      <c r="E442" s="1" t="s">
        <v>530</v>
      </c>
      <c r="F442" s="1" t="s">
        <v>802</v>
      </c>
      <c r="G442" s="1" t="s">
        <v>804</v>
      </c>
      <c r="H442" s="1" t="s">
        <v>809</v>
      </c>
      <c r="I442" s="1" t="s">
        <v>813</v>
      </c>
      <c r="J442" s="1" t="s">
        <v>817</v>
      </c>
      <c r="K442" s="1" t="s">
        <v>820</v>
      </c>
      <c r="L442" s="1" t="s">
        <v>844</v>
      </c>
      <c r="M442" s="1">
        <v>8.39</v>
      </c>
      <c r="N442" s="1">
        <v>2681.45</v>
      </c>
      <c r="O442" s="1">
        <v>21386.82</v>
      </c>
      <c r="P442" s="1">
        <v>0.14000000000000001</v>
      </c>
      <c r="Q442" s="1">
        <v>16690.669999999998</v>
      </c>
      <c r="R442" s="1">
        <v>9637.7999999999993</v>
      </c>
      <c r="S442" s="1">
        <f t="shared" si="13"/>
        <v>7052.869999999999</v>
      </c>
      <c r="T442" s="1" t="s">
        <v>874</v>
      </c>
      <c r="U442" s="1" t="s">
        <v>877</v>
      </c>
      <c r="V442" s="5" t="s">
        <v>882</v>
      </c>
    </row>
    <row r="443" spans="1:22" x14ac:dyDescent="0.3">
      <c r="A443" s="4" t="s">
        <v>141</v>
      </c>
      <c r="B443" s="3">
        <v>45422</v>
      </c>
      <c r="C443" s="1" t="str">
        <f t="shared" si="12"/>
        <v>May</v>
      </c>
      <c r="D443" s="1" t="s">
        <v>420</v>
      </c>
      <c r="E443" s="1" t="s">
        <v>626</v>
      </c>
      <c r="F443" s="1" t="s">
        <v>801</v>
      </c>
      <c r="G443" s="1" t="s">
        <v>807</v>
      </c>
      <c r="H443" s="1" t="s">
        <v>812</v>
      </c>
      <c r="I443" s="1" t="s">
        <v>814</v>
      </c>
      <c r="J443" s="1" t="s">
        <v>817</v>
      </c>
      <c r="K443" s="1" t="s">
        <v>822</v>
      </c>
      <c r="L443" s="1" t="s">
        <v>854</v>
      </c>
      <c r="M443" s="1">
        <v>12.93</v>
      </c>
      <c r="N443" s="1">
        <v>453.16</v>
      </c>
      <c r="O443" s="1">
        <v>6486.26</v>
      </c>
      <c r="P443" s="1">
        <v>0</v>
      </c>
      <c r="Q443" s="1">
        <v>5528.76</v>
      </c>
      <c r="R443" s="1">
        <v>3357.91</v>
      </c>
      <c r="S443" s="1">
        <f t="shared" si="13"/>
        <v>2170.8500000000004</v>
      </c>
      <c r="T443" s="1" t="s">
        <v>876</v>
      </c>
      <c r="U443" s="1" t="s">
        <v>879</v>
      </c>
      <c r="V443" s="5" t="s">
        <v>884</v>
      </c>
    </row>
    <row r="444" spans="1:22" x14ac:dyDescent="0.3">
      <c r="A444" s="4" t="s">
        <v>296</v>
      </c>
      <c r="B444" s="3">
        <v>45381</v>
      </c>
      <c r="C444" s="1" t="str">
        <f t="shared" si="12"/>
        <v>March</v>
      </c>
      <c r="D444" s="1" t="s">
        <v>502</v>
      </c>
      <c r="E444" s="1" t="s">
        <v>778</v>
      </c>
      <c r="F444" s="1" t="s">
        <v>803</v>
      </c>
      <c r="G444" s="1" t="s">
        <v>807</v>
      </c>
      <c r="H444" s="1" t="s">
        <v>809</v>
      </c>
      <c r="I444" s="1" t="s">
        <v>813</v>
      </c>
      <c r="J444" s="1" t="s">
        <v>819</v>
      </c>
      <c r="K444" s="1" t="s">
        <v>822</v>
      </c>
      <c r="L444" s="1" t="s">
        <v>826</v>
      </c>
      <c r="M444" s="1">
        <v>5.55</v>
      </c>
      <c r="N444" s="1">
        <v>1668.76</v>
      </c>
      <c r="O444" s="1">
        <v>10341.02</v>
      </c>
      <c r="P444" s="1">
        <v>0</v>
      </c>
      <c r="Q444" s="1">
        <v>10174.86</v>
      </c>
      <c r="R444" s="1">
        <v>7290.31</v>
      </c>
      <c r="S444" s="1">
        <f t="shared" si="13"/>
        <v>2884.55</v>
      </c>
      <c r="T444" s="1" t="s">
        <v>876</v>
      </c>
      <c r="U444" s="1" t="s">
        <v>879</v>
      </c>
      <c r="V444" s="5" t="s">
        <v>884</v>
      </c>
    </row>
    <row r="445" spans="1:22" x14ac:dyDescent="0.3">
      <c r="A445" s="4" t="s">
        <v>199</v>
      </c>
      <c r="B445" s="3">
        <v>45374</v>
      </c>
      <c r="C445" s="1" t="str">
        <f t="shared" si="12"/>
        <v>March</v>
      </c>
      <c r="D445" s="1" t="s">
        <v>394</v>
      </c>
      <c r="E445" s="1" t="s">
        <v>683</v>
      </c>
      <c r="F445" s="1" t="s">
        <v>803</v>
      </c>
      <c r="G445" s="1" t="s">
        <v>804</v>
      </c>
      <c r="H445" s="1" t="s">
        <v>811</v>
      </c>
      <c r="I445" s="1" t="s">
        <v>816</v>
      </c>
      <c r="J445" s="1" t="s">
        <v>817</v>
      </c>
      <c r="K445" s="1" t="s">
        <v>821</v>
      </c>
      <c r="L445" s="1" t="s">
        <v>850</v>
      </c>
      <c r="M445" s="1">
        <v>7.49</v>
      </c>
      <c r="N445" s="1">
        <v>2010.39</v>
      </c>
      <c r="O445" s="1">
        <v>16187.82</v>
      </c>
      <c r="P445" s="1">
        <v>0.1</v>
      </c>
      <c r="Q445" s="1">
        <v>12218.04</v>
      </c>
      <c r="R445" s="1">
        <v>8819.0300000000007</v>
      </c>
      <c r="S445" s="1">
        <f t="shared" si="13"/>
        <v>3399.01</v>
      </c>
      <c r="T445" s="1" t="s">
        <v>874</v>
      </c>
      <c r="U445" s="1" t="s">
        <v>881</v>
      </c>
      <c r="V445" s="5" t="s">
        <v>884</v>
      </c>
    </row>
    <row r="446" spans="1:22" x14ac:dyDescent="0.3">
      <c r="A446" s="4" t="s">
        <v>289</v>
      </c>
      <c r="B446" s="3">
        <v>45488</v>
      </c>
      <c r="C446" s="1" t="str">
        <f t="shared" si="12"/>
        <v>July</v>
      </c>
      <c r="D446" s="1" t="s">
        <v>401</v>
      </c>
      <c r="E446" s="1" t="s">
        <v>772</v>
      </c>
      <c r="F446" s="1" t="s">
        <v>801</v>
      </c>
      <c r="G446" s="1" t="s">
        <v>804</v>
      </c>
      <c r="H446" s="1" t="s">
        <v>812</v>
      </c>
      <c r="I446" s="1" t="s">
        <v>814</v>
      </c>
      <c r="J446" s="1" t="s">
        <v>817</v>
      </c>
      <c r="K446" s="1" t="s">
        <v>822</v>
      </c>
      <c r="L446" s="1" t="s">
        <v>856</v>
      </c>
      <c r="M446" s="1">
        <v>5.05</v>
      </c>
      <c r="N446" s="1">
        <v>2616.15</v>
      </c>
      <c r="O446" s="1">
        <v>13057.49</v>
      </c>
      <c r="P446" s="1">
        <v>0.09</v>
      </c>
      <c r="Q446" s="1">
        <v>11280.95</v>
      </c>
      <c r="R446" s="1">
        <v>8930.69</v>
      </c>
      <c r="S446" s="1">
        <f t="shared" si="13"/>
        <v>2350.2600000000002</v>
      </c>
      <c r="T446" s="1" t="s">
        <v>876</v>
      </c>
      <c r="U446" s="1" t="s">
        <v>877</v>
      </c>
      <c r="V446" s="5" t="s">
        <v>884</v>
      </c>
    </row>
    <row r="447" spans="1:22" x14ac:dyDescent="0.3">
      <c r="A447" s="4" t="s">
        <v>175</v>
      </c>
      <c r="B447" s="3">
        <v>45366</v>
      </c>
      <c r="C447" s="1" t="str">
        <f t="shared" si="12"/>
        <v>March</v>
      </c>
      <c r="D447" s="1" t="s">
        <v>416</v>
      </c>
      <c r="E447" s="1" t="s">
        <v>660</v>
      </c>
      <c r="F447" s="1" t="s">
        <v>801</v>
      </c>
      <c r="G447" s="1" t="s">
        <v>806</v>
      </c>
      <c r="H447" s="1" t="s">
        <v>812</v>
      </c>
      <c r="I447" s="1" t="s">
        <v>813</v>
      </c>
      <c r="J447" s="1" t="s">
        <v>819</v>
      </c>
      <c r="K447" s="1" t="s">
        <v>820</v>
      </c>
      <c r="L447" s="1" t="s">
        <v>856</v>
      </c>
      <c r="M447" s="1">
        <v>9.3699999999999992</v>
      </c>
      <c r="N447" s="1">
        <v>1516.94</v>
      </c>
      <c r="O447" s="1">
        <v>17178.84</v>
      </c>
      <c r="P447" s="1">
        <v>0.05</v>
      </c>
      <c r="Q447" s="1">
        <v>16282.02</v>
      </c>
      <c r="R447" s="1">
        <v>10073.42</v>
      </c>
      <c r="S447" s="1">
        <f t="shared" si="13"/>
        <v>6208.6</v>
      </c>
      <c r="T447" s="1" t="s">
        <v>876</v>
      </c>
      <c r="U447" s="1" t="s">
        <v>879</v>
      </c>
      <c r="V447" s="5" t="s">
        <v>883</v>
      </c>
    </row>
    <row r="448" spans="1:22" x14ac:dyDescent="0.3">
      <c r="A448" s="4" t="s">
        <v>283</v>
      </c>
      <c r="B448" s="3">
        <v>45609</v>
      </c>
      <c r="C448" s="1" t="str">
        <f t="shared" si="12"/>
        <v>November</v>
      </c>
      <c r="D448" s="1" t="s">
        <v>473</v>
      </c>
      <c r="E448" s="1" t="s">
        <v>766</v>
      </c>
      <c r="F448" s="1" t="s">
        <v>801</v>
      </c>
      <c r="G448" s="1" t="s">
        <v>805</v>
      </c>
      <c r="H448" s="1" t="s">
        <v>812</v>
      </c>
      <c r="I448" s="1" t="s">
        <v>809</v>
      </c>
      <c r="J448" s="1" t="s">
        <v>817</v>
      </c>
      <c r="K448" s="1" t="s">
        <v>821</v>
      </c>
      <c r="L448" s="1" t="s">
        <v>871</v>
      </c>
      <c r="M448" s="1">
        <v>8.77</v>
      </c>
      <c r="N448" s="1">
        <v>1873.34</v>
      </c>
      <c r="O448" s="1">
        <v>13882.35</v>
      </c>
      <c r="P448" s="1">
        <v>0.09</v>
      </c>
      <c r="Q448" s="1">
        <v>12235.23</v>
      </c>
      <c r="R448" s="1">
        <v>8216.14</v>
      </c>
      <c r="S448" s="1">
        <f t="shared" si="13"/>
        <v>4019.09</v>
      </c>
      <c r="T448" s="1" t="s">
        <v>873</v>
      </c>
      <c r="U448" s="1" t="s">
        <v>880</v>
      </c>
      <c r="V448" s="5" t="s">
        <v>884</v>
      </c>
    </row>
    <row r="449" spans="1:22" x14ac:dyDescent="0.3">
      <c r="A449" s="4" t="s">
        <v>164</v>
      </c>
      <c r="B449" s="3">
        <v>45585</v>
      </c>
      <c r="C449" s="1" t="str">
        <f t="shared" si="12"/>
        <v>October</v>
      </c>
      <c r="D449" s="1" t="s">
        <v>471</v>
      </c>
      <c r="E449" s="1" t="s">
        <v>649</v>
      </c>
      <c r="F449" s="1" t="s">
        <v>802</v>
      </c>
      <c r="G449" s="1" t="s">
        <v>805</v>
      </c>
      <c r="H449" s="1" t="s">
        <v>808</v>
      </c>
      <c r="I449" s="1" t="s">
        <v>814</v>
      </c>
      <c r="J449" s="1" t="s">
        <v>818</v>
      </c>
      <c r="K449" s="1" t="s">
        <v>820</v>
      </c>
      <c r="L449" s="1" t="s">
        <v>832</v>
      </c>
      <c r="M449" s="1">
        <v>10.98</v>
      </c>
      <c r="N449" s="1">
        <v>1528</v>
      </c>
      <c r="O449" s="1">
        <v>19104.7</v>
      </c>
      <c r="P449" s="1">
        <v>0</v>
      </c>
      <c r="Q449" s="1">
        <v>18710.2</v>
      </c>
      <c r="R449" s="1">
        <v>15774.63</v>
      </c>
      <c r="S449" s="1">
        <f t="shared" si="13"/>
        <v>2935.5700000000015</v>
      </c>
      <c r="T449" s="1" t="s">
        <v>876</v>
      </c>
      <c r="U449" s="1" t="s">
        <v>879</v>
      </c>
      <c r="V449" s="5" t="s">
        <v>884</v>
      </c>
    </row>
    <row r="450" spans="1:22" x14ac:dyDescent="0.3">
      <c r="A450" s="4" t="s">
        <v>141</v>
      </c>
      <c r="B450" s="3">
        <v>45422</v>
      </c>
      <c r="C450" s="1" t="str">
        <f t="shared" ref="C450:C513" si="14">TEXT(B450,"MMMM")</f>
        <v>May</v>
      </c>
      <c r="D450" s="1" t="s">
        <v>420</v>
      </c>
      <c r="E450" s="1" t="s">
        <v>626</v>
      </c>
      <c r="F450" s="1" t="s">
        <v>801</v>
      </c>
      <c r="G450" s="1" t="s">
        <v>807</v>
      </c>
      <c r="H450" s="1" t="s">
        <v>812</v>
      </c>
      <c r="I450" s="1" t="s">
        <v>814</v>
      </c>
      <c r="J450" s="1" t="s">
        <v>817</v>
      </c>
      <c r="K450" s="1" t="s">
        <v>822</v>
      </c>
      <c r="L450" s="1" t="s">
        <v>854</v>
      </c>
      <c r="M450" s="1">
        <v>11.61</v>
      </c>
      <c r="N450" s="1">
        <v>474.51</v>
      </c>
      <c r="O450" s="1">
        <v>6271.58</v>
      </c>
      <c r="P450" s="1">
        <v>0</v>
      </c>
      <c r="Q450" s="1">
        <v>5503.42</v>
      </c>
      <c r="R450" s="1">
        <v>3304.84</v>
      </c>
      <c r="S450" s="1">
        <f t="shared" ref="S450:S513" si="15">Q450-R450</f>
        <v>2198.58</v>
      </c>
      <c r="T450" s="1" t="s">
        <v>876</v>
      </c>
      <c r="U450" s="1" t="s">
        <v>879</v>
      </c>
      <c r="V450" s="5" t="s">
        <v>884</v>
      </c>
    </row>
    <row r="451" spans="1:22" x14ac:dyDescent="0.3">
      <c r="A451" s="4" t="s">
        <v>194</v>
      </c>
      <c r="B451" s="3">
        <v>45493</v>
      </c>
      <c r="C451" s="1" t="str">
        <f t="shared" si="14"/>
        <v>July</v>
      </c>
      <c r="D451" s="1" t="s">
        <v>353</v>
      </c>
      <c r="E451" s="1" t="s">
        <v>678</v>
      </c>
      <c r="F451" s="1" t="s">
        <v>801</v>
      </c>
      <c r="G451" s="1" t="s">
        <v>805</v>
      </c>
      <c r="H451" s="1" t="s">
        <v>812</v>
      </c>
      <c r="I451" s="1" t="s">
        <v>814</v>
      </c>
      <c r="J451" s="1" t="s">
        <v>818</v>
      </c>
      <c r="K451" s="1" t="s">
        <v>821</v>
      </c>
      <c r="L451" s="1" t="s">
        <v>862</v>
      </c>
      <c r="M451" s="1">
        <v>9.44</v>
      </c>
      <c r="N451" s="1">
        <v>2706.31</v>
      </c>
      <c r="O451" s="1">
        <v>27336.89</v>
      </c>
      <c r="P451" s="1">
        <v>0.09</v>
      </c>
      <c r="Q451" s="1">
        <v>24971.119999999999</v>
      </c>
      <c r="R451" s="1">
        <v>20562.11</v>
      </c>
      <c r="S451" s="1">
        <f t="shared" si="15"/>
        <v>4409.0099999999984</v>
      </c>
      <c r="T451" s="1" t="s">
        <v>873</v>
      </c>
      <c r="U451" s="1" t="s">
        <v>881</v>
      </c>
      <c r="V451" s="5" t="s">
        <v>882</v>
      </c>
    </row>
    <row r="452" spans="1:22" x14ac:dyDescent="0.3">
      <c r="A452" s="4" t="s">
        <v>265</v>
      </c>
      <c r="B452" s="3">
        <v>45340</v>
      </c>
      <c r="C452" s="1" t="str">
        <f t="shared" si="14"/>
        <v>February</v>
      </c>
      <c r="D452" s="1" t="s">
        <v>387</v>
      </c>
      <c r="E452" s="1" t="s">
        <v>748</v>
      </c>
      <c r="F452" s="1" t="s">
        <v>803</v>
      </c>
      <c r="G452" s="1" t="s">
        <v>807</v>
      </c>
      <c r="H452" s="1" t="s">
        <v>811</v>
      </c>
      <c r="I452" s="1" t="s">
        <v>813</v>
      </c>
      <c r="J452" s="1" t="s">
        <v>817</v>
      </c>
      <c r="K452" s="1" t="s">
        <v>821</v>
      </c>
      <c r="L452" s="1" t="s">
        <v>869</v>
      </c>
      <c r="M452" s="1">
        <v>3.83</v>
      </c>
      <c r="N452" s="1">
        <v>700.27</v>
      </c>
      <c r="O452" s="1">
        <v>3113.14</v>
      </c>
      <c r="P452" s="1">
        <v>0.16</v>
      </c>
      <c r="Q452" s="1">
        <v>2433.52</v>
      </c>
      <c r="R452" s="1">
        <v>1675.24</v>
      </c>
      <c r="S452" s="1">
        <f t="shared" si="15"/>
        <v>758.28</v>
      </c>
      <c r="T452" s="1" t="s">
        <v>876</v>
      </c>
      <c r="U452" s="1" t="s">
        <v>881</v>
      </c>
      <c r="V452" s="5" t="s">
        <v>884</v>
      </c>
    </row>
    <row r="453" spans="1:22" x14ac:dyDescent="0.3">
      <c r="A453" s="4" t="s">
        <v>220</v>
      </c>
      <c r="B453" s="3">
        <v>45369</v>
      </c>
      <c r="C453" s="1" t="str">
        <f t="shared" si="14"/>
        <v>March</v>
      </c>
      <c r="D453" s="1" t="s">
        <v>400</v>
      </c>
      <c r="E453" s="1" t="s">
        <v>703</v>
      </c>
      <c r="F453" s="1" t="s">
        <v>802</v>
      </c>
      <c r="G453" s="1" t="s">
        <v>807</v>
      </c>
      <c r="H453" s="1" t="s">
        <v>810</v>
      </c>
      <c r="I453" s="1" t="s">
        <v>814</v>
      </c>
      <c r="J453" s="1" t="s">
        <v>817</v>
      </c>
      <c r="K453" s="1" t="s">
        <v>820</v>
      </c>
      <c r="L453" s="1" t="s">
        <v>852</v>
      </c>
      <c r="M453" s="1">
        <v>4.09</v>
      </c>
      <c r="N453" s="1">
        <v>390.38</v>
      </c>
      <c r="O453" s="1">
        <v>1624.15</v>
      </c>
      <c r="P453" s="1">
        <v>0.15</v>
      </c>
      <c r="Q453" s="1">
        <v>1601.95</v>
      </c>
      <c r="R453" s="1">
        <v>1106.44</v>
      </c>
      <c r="S453" s="1">
        <f t="shared" si="15"/>
        <v>495.51</v>
      </c>
      <c r="T453" s="1" t="s">
        <v>874</v>
      </c>
      <c r="U453" s="1" t="s">
        <v>879</v>
      </c>
      <c r="V453" s="5" t="s">
        <v>883</v>
      </c>
    </row>
    <row r="454" spans="1:22" x14ac:dyDescent="0.3">
      <c r="A454" s="4" t="s">
        <v>27</v>
      </c>
      <c r="B454" s="3">
        <v>45489</v>
      </c>
      <c r="C454" s="1" t="str">
        <f t="shared" si="14"/>
        <v>July</v>
      </c>
      <c r="D454" s="1" t="s">
        <v>440</v>
      </c>
      <c r="E454" s="1" t="s">
        <v>512</v>
      </c>
      <c r="F454" s="1" t="s">
        <v>801</v>
      </c>
      <c r="G454" s="1" t="s">
        <v>804</v>
      </c>
      <c r="H454" s="1" t="s">
        <v>810</v>
      </c>
      <c r="I454" s="1" t="s">
        <v>815</v>
      </c>
      <c r="J454" s="1" t="s">
        <v>817</v>
      </c>
      <c r="K454" s="1" t="s">
        <v>821</v>
      </c>
      <c r="L454" s="1" t="s">
        <v>829</v>
      </c>
      <c r="M454" s="1">
        <v>6.42</v>
      </c>
      <c r="N454" s="1">
        <v>434.36</v>
      </c>
      <c r="O454" s="1">
        <v>2535.0500000000002</v>
      </c>
      <c r="P454" s="1">
        <v>0.14000000000000001</v>
      </c>
      <c r="Q454" s="1">
        <v>2094.64</v>
      </c>
      <c r="R454" s="1">
        <v>1707.54</v>
      </c>
      <c r="S454" s="1">
        <f t="shared" si="15"/>
        <v>387.09999999999991</v>
      </c>
      <c r="T454" s="1" t="s">
        <v>873</v>
      </c>
      <c r="U454" s="1" t="s">
        <v>878</v>
      </c>
      <c r="V454" s="5" t="s">
        <v>884</v>
      </c>
    </row>
    <row r="455" spans="1:22" x14ac:dyDescent="0.3">
      <c r="A455" s="4" t="s">
        <v>124</v>
      </c>
      <c r="B455" s="3">
        <v>45618</v>
      </c>
      <c r="C455" s="1" t="str">
        <f t="shared" si="14"/>
        <v>November</v>
      </c>
      <c r="D455" s="1" t="s">
        <v>426</v>
      </c>
      <c r="E455" s="1" t="s">
        <v>609</v>
      </c>
      <c r="F455" s="1" t="s">
        <v>801</v>
      </c>
      <c r="G455" s="1" t="s">
        <v>805</v>
      </c>
      <c r="H455" s="1" t="s">
        <v>812</v>
      </c>
      <c r="I455" s="1" t="s">
        <v>814</v>
      </c>
      <c r="J455" s="1" t="s">
        <v>819</v>
      </c>
      <c r="K455" s="1" t="s">
        <v>820</v>
      </c>
      <c r="L455" s="1" t="s">
        <v>830</v>
      </c>
      <c r="M455" s="1">
        <v>5.37</v>
      </c>
      <c r="N455" s="1">
        <v>1224.96</v>
      </c>
      <c r="O455" s="1">
        <v>6036.76</v>
      </c>
      <c r="P455" s="1">
        <v>0.16</v>
      </c>
      <c r="Q455" s="1">
        <v>5120.6899999999996</v>
      </c>
      <c r="R455" s="1">
        <v>3205.74</v>
      </c>
      <c r="S455" s="1">
        <f t="shared" si="15"/>
        <v>1914.9499999999998</v>
      </c>
      <c r="T455" s="1" t="s">
        <v>874</v>
      </c>
      <c r="U455" s="1" t="s">
        <v>878</v>
      </c>
      <c r="V455" s="5" t="s">
        <v>883</v>
      </c>
    </row>
    <row r="456" spans="1:22" x14ac:dyDescent="0.3">
      <c r="A456" s="4" t="s">
        <v>27</v>
      </c>
      <c r="B456" s="3">
        <v>45489</v>
      </c>
      <c r="C456" s="1" t="str">
        <f t="shared" si="14"/>
        <v>July</v>
      </c>
      <c r="D456" s="1" t="s">
        <v>440</v>
      </c>
      <c r="E456" s="1" t="s">
        <v>512</v>
      </c>
      <c r="F456" s="1" t="s">
        <v>801</v>
      </c>
      <c r="G456" s="1" t="s">
        <v>804</v>
      </c>
      <c r="H456" s="1" t="s">
        <v>810</v>
      </c>
      <c r="I456" s="1" t="s">
        <v>815</v>
      </c>
      <c r="J456" s="1" t="s">
        <v>817</v>
      </c>
      <c r="K456" s="1" t="s">
        <v>821</v>
      </c>
      <c r="L456" s="1" t="s">
        <v>829</v>
      </c>
      <c r="M456" s="1">
        <v>6.23</v>
      </c>
      <c r="N456" s="1">
        <v>424.3</v>
      </c>
      <c r="O456" s="1">
        <v>2364.0100000000002</v>
      </c>
      <c r="P456" s="1">
        <v>0.15</v>
      </c>
      <c r="Q456" s="1">
        <v>2116.6</v>
      </c>
      <c r="R456" s="1">
        <v>1671.37</v>
      </c>
      <c r="S456" s="1">
        <f t="shared" si="15"/>
        <v>445.23</v>
      </c>
      <c r="T456" s="1" t="s">
        <v>873</v>
      </c>
      <c r="U456" s="1" t="s">
        <v>878</v>
      </c>
      <c r="V456" s="5" t="s">
        <v>884</v>
      </c>
    </row>
    <row r="457" spans="1:22" x14ac:dyDescent="0.3">
      <c r="A457" s="4" t="s">
        <v>299</v>
      </c>
      <c r="B457" s="3">
        <v>45611</v>
      </c>
      <c r="C457" s="1" t="str">
        <f t="shared" si="14"/>
        <v>November</v>
      </c>
      <c r="D457" s="1" t="s">
        <v>417</v>
      </c>
      <c r="E457" s="1" t="s">
        <v>781</v>
      </c>
      <c r="F457" s="1" t="s">
        <v>801</v>
      </c>
      <c r="G457" s="1" t="s">
        <v>805</v>
      </c>
      <c r="H457" s="1" t="s">
        <v>809</v>
      </c>
      <c r="I457" s="1" t="s">
        <v>809</v>
      </c>
      <c r="J457" s="1" t="s">
        <v>818</v>
      </c>
      <c r="K457" s="1" t="s">
        <v>820</v>
      </c>
      <c r="L457" s="1" t="s">
        <v>837</v>
      </c>
      <c r="M457" s="1">
        <v>9.02</v>
      </c>
      <c r="N457" s="1">
        <v>1900.99</v>
      </c>
      <c r="O457" s="1">
        <v>13928.19</v>
      </c>
      <c r="P457" s="1">
        <v>0.05</v>
      </c>
      <c r="Q457" s="1">
        <v>13812.43</v>
      </c>
      <c r="R457" s="1">
        <v>7416.98</v>
      </c>
      <c r="S457" s="1">
        <f t="shared" si="15"/>
        <v>6395.4500000000007</v>
      </c>
      <c r="T457" s="1" t="s">
        <v>873</v>
      </c>
      <c r="U457" s="1" t="s">
        <v>878</v>
      </c>
      <c r="V457" s="5" t="s">
        <v>883</v>
      </c>
    </row>
    <row r="458" spans="1:22" x14ac:dyDescent="0.3">
      <c r="A458" s="4" t="s">
        <v>307</v>
      </c>
      <c r="B458" s="3">
        <v>45525</v>
      </c>
      <c r="C458" s="1" t="str">
        <f t="shared" si="14"/>
        <v>August</v>
      </c>
      <c r="D458" s="1" t="s">
        <v>359</v>
      </c>
      <c r="E458" s="1" t="s">
        <v>789</v>
      </c>
      <c r="F458" s="1" t="s">
        <v>803</v>
      </c>
      <c r="G458" s="1" t="s">
        <v>804</v>
      </c>
      <c r="H458" s="1" t="s">
        <v>809</v>
      </c>
      <c r="I458" s="1" t="s">
        <v>813</v>
      </c>
      <c r="J458" s="1" t="s">
        <v>819</v>
      </c>
      <c r="K458" s="1" t="s">
        <v>820</v>
      </c>
      <c r="L458" s="1" t="s">
        <v>872</v>
      </c>
      <c r="M458" s="1">
        <v>9.67</v>
      </c>
      <c r="N458" s="1">
        <v>2242.21</v>
      </c>
      <c r="O458" s="1">
        <v>20926.21</v>
      </c>
      <c r="P458" s="1">
        <v>0.05</v>
      </c>
      <c r="Q458" s="1">
        <v>19614.400000000001</v>
      </c>
      <c r="R458" s="1">
        <v>16745.87</v>
      </c>
      <c r="S458" s="1">
        <f t="shared" si="15"/>
        <v>2868.5300000000025</v>
      </c>
      <c r="T458" s="1" t="s">
        <v>874</v>
      </c>
      <c r="U458" s="1" t="s">
        <v>878</v>
      </c>
      <c r="V458" s="5" t="s">
        <v>884</v>
      </c>
    </row>
    <row r="459" spans="1:22" x14ac:dyDescent="0.3">
      <c r="A459" s="4" t="s">
        <v>66</v>
      </c>
      <c r="B459" s="3">
        <v>45374</v>
      </c>
      <c r="C459" s="1" t="str">
        <f t="shared" si="14"/>
        <v>March</v>
      </c>
      <c r="D459" s="1" t="s">
        <v>334</v>
      </c>
      <c r="E459" s="1" t="s">
        <v>551</v>
      </c>
      <c r="F459" s="1" t="s">
        <v>801</v>
      </c>
      <c r="G459" s="1" t="s">
        <v>805</v>
      </c>
      <c r="H459" s="1" t="s">
        <v>811</v>
      </c>
      <c r="I459" s="1" t="s">
        <v>813</v>
      </c>
      <c r="J459" s="1" t="s">
        <v>818</v>
      </c>
      <c r="K459" s="1" t="s">
        <v>820</v>
      </c>
      <c r="L459" s="1" t="s">
        <v>829</v>
      </c>
      <c r="M459" s="1">
        <v>4.29</v>
      </c>
      <c r="N459" s="1">
        <v>1920.97</v>
      </c>
      <c r="O459" s="1">
        <v>7860.77</v>
      </c>
      <c r="P459" s="1">
        <v>0.15</v>
      </c>
      <c r="Q459" s="1">
        <v>6057.86</v>
      </c>
      <c r="R459" s="1">
        <v>4982.78</v>
      </c>
      <c r="S459" s="1">
        <f t="shared" si="15"/>
        <v>1075.08</v>
      </c>
      <c r="T459" s="1" t="s">
        <v>876</v>
      </c>
      <c r="U459" s="1" t="s">
        <v>880</v>
      </c>
      <c r="V459" s="5" t="s">
        <v>884</v>
      </c>
    </row>
    <row r="460" spans="1:22" x14ac:dyDescent="0.3">
      <c r="A460" s="4" t="s">
        <v>70</v>
      </c>
      <c r="B460" s="3">
        <v>45369</v>
      </c>
      <c r="C460" s="1" t="str">
        <f t="shared" si="14"/>
        <v>March</v>
      </c>
      <c r="D460" s="1" t="s">
        <v>327</v>
      </c>
      <c r="E460" s="1" t="s">
        <v>555</v>
      </c>
      <c r="F460" s="1" t="s">
        <v>803</v>
      </c>
      <c r="G460" s="1" t="s">
        <v>806</v>
      </c>
      <c r="H460" s="1" t="s">
        <v>810</v>
      </c>
      <c r="I460" s="1" t="s">
        <v>814</v>
      </c>
      <c r="J460" s="1" t="s">
        <v>817</v>
      </c>
      <c r="K460" s="1" t="s">
        <v>821</v>
      </c>
      <c r="L460" s="1" t="s">
        <v>850</v>
      </c>
      <c r="M460" s="1">
        <v>11.88</v>
      </c>
      <c r="N460" s="1">
        <v>800.54</v>
      </c>
      <c r="O460" s="1">
        <v>8589.69</v>
      </c>
      <c r="P460" s="1">
        <v>0.14000000000000001</v>
      </c>
      <c r="Q460" s="1">
        <v>7431.46</v>
      </c>
      <c r="R460" s="1">
        <v>4388.9399999999996</v>
      </c>
      <c r="S460" s="1">
        <f t="shared" si="15"/>
        <v>3042.5200000000004</v>
      </c>
      <c r="T460" s="1" t="s">
        <v>874</v>
      </c>
      <c r="U460" s="1" t="s">
        <v>880</v>
      </c>
      <c r="V460" s="5" t="s">
        <v>883</v>
      </c>
    </row>
    <row r="461" spans="1:22" x14ac:dyDescent="0.3">
      <c r="A461" s="4" t="s">
        <v>111</v>
      </c>
      <c r="B461" s="3">
        <v>45425</v>
      </c>
      <c r="C461" s="1" t="str">
        <f t="shared" si="14"/>
        <v>May</v>
      </c>
      <c r="D461" s="1" t="s">
        <v>354</v>
      </c>
      <c r="E461" s="1" t="s">
        <v>596</v>
      </c>
      <c r="F461" s="1" t="s">
        <v>801</v>
      </c>
      <c r="G461" s="1" t="s">
        <v>805</v>
      </c>
      <c r="H461" s="1" t="s">
        <v>812</v>
      </c>
      <c r="I461" s="1" t="s">
        <v>814</v>
      </c>
      <c r="J461" s="1" t="s">
        <v>818</v>
      </c>
      <c r="K461" s="1" t="s">
        <v>820</v>
      </c>
      <c r="L461" s="1" t="s">
        <v>858</v>
      </c>
      <c r="M461" s="1">
        <v>5.71</v>
      </c>
      <c r="N461" s="1">
        <v>1289.0899999999999</v>
      </c>
      <c r="O461" s="1">
        <v>6621.23</v>
      </c>
      <c r="P461" s="1">
        <v>0.1</v>
      </c>
      <c r="Q461" s="1">
        <v>6191.02</v>
      </c>
      <c r="R461" s="1">
        <v>4294.26</v>
      </c>
      <c r="S461" s="1">
        <f t="shared" si="15"/>
        <v>1896.7600000000002</v>
      </c>
      <c r="T461" s="1" t="s">
        <v>876</v>
      </c>
      <c r="U461" s="1" t="s">
        <v>878</v>
      </c>
      <c r="V461" s="5" t="s">
        <v>883</v>
      </c>
    </row>
    <row r="462" spans="1:22" x14ac:dyDescent="0.3">
      <c r="A462" s="4" t="s">
        <v>286</v>
      </c>
      <c r="B462" s="3">
        <v>45376</v>
      </c>
      <c r="C462" s="1" t="str">
        <f t="shared" si="14"/>
        <v>March</v>
      </c>
      <c r="D462" s="1" t="s">
        <v>499</v>
      </c>
      <c r="E462" s="1" t="s">
        <v>769</v>
      </c>
      <c r="F462" s="1" t="s">
        <v>802</v>
      </c>
      <c r="G462" s="1" t="s">
        <v>807</v>
      </c>
      <c r="H462" s="1" t="s">
        <v>811</v>
      </c>
      <c r="I462" s="1" t="s">
        <v>816</v>
      </c>
      <c r="J462" s="1" t="s">
        <v>819</v>
      </c>
      <c r="K462" s="1" t="s">
        <v>822</v>
      </c>
      <c r="L462" s="1" t="s">
        <v>836</v>
      </c>
      <c r="M462" s="1">
        <v>2.99</v>
      </c>
      <c r="N462" s="1">
        <v>3506.48</v>
      </c>
      <c r="O462" s="1">
        <v>9303.51</v>
      </c>
      <c r="P462" s="1">
        <v>0</v>
      </c>
      <c r="Q462" s="1">
        <v>10658.3</v>
      </c>
      <c r="R462" s="1">
        <v>8057.01</v>
      </c>
      <c r="S462" s="1">
        <f t="shared" si="15"/>
        <v>2601.2899999999991</v>
      </c>
      <c r="T462" s="1" t="s">
        <v>875</v>
      </c>
      <c r="U462" s="1" t="s">
        <v>880</v>
      </c>
      <c r="V462" s="5" t="s">
        <v>883</v>
      </c>
    </row>
    <row r="463" spans="1:22" x14ac:dyDescent="0.3">
      <c r="A463" s="4" t="s">
        <v>92</v>
      </c>
      <c r="B463" s="3">
        <v>45617</v>
      </c>
      <c r="C463" s="1" t="str">
        <f t="shared" si="14"/>
        <v>November</v>
      </c>
      <c r="D463" s="1" t="s">
        <v>448</v>
      </c>
      <c r="E463" s="1" t="s">
        <v>577</v>
      </c>
      <c r="F463" s="1" t="s">
        <v>802</v>
      </c>
      <c r="G463" s="1" t="s">
        <v>805</v>
      </c>
      <c r="H463" s="1" t="s">
        <v>808</v>
      </c>
      <c r="I463" s="1" t="s">
        <v>813</v>
      </c>
      <c r="J463" s="1" t="s">
        <v>819</v>
      </c>
      <c r="K463" s="1" t="s">
        <v>820</v>
      </c>
      <c r="L463" s="1" t="s">
        <v>860</v>
      </c>
      <c r="M463" s="1">
        <v>2.3199999999999998</v>
      </c>
      <c r="N463" s="1">
        <v>3141</v>
      </c>
      <c r="O463" s="1">
        <v>6124.53</v>
      </c>
      <c r="P463" s="1">
        <v>0.05</v>
      </c>
      <c r="Q463" s="1">
        <v>5386.74</v>
      </c>
      <c r="R463" s="1">
        <v>4487.66</v>
      </c>
      <c r="S463" s="1">
        <f t="shared" si="15"/>
        <v>899.07999999999993</v>
      </c>
      <c r="T463" s="1" t="s">
        <v>875</v>
      </c>
      <c r="U463" s="1" t="s">
        <v>877</v>
      </c>
      <c r="V463" s="5" t="s">
        <v>884</v>
      </c>
    </row>
    <row r="464" spans="1:22" x14ac:dyDescent="0.3">
      <c r="A464" s="4" t="s">
        <v>43</v>
      </c>
      <c r="B464" s="3">
        <v>45415</v>
      </c>
      <c r="C464" s="1" t="str">
        <f t="shared" si="14"/>
        <v>May</v>
      </c>
      <c r="D464" s="1" t="s">
        <v>332</v>
      </c>
      <c r="E464" s="1" t="s">
        <v>528</v>
      </c>
      <c r="F464" s="1" t="s">
        <v>802</v>
      </c>
      <c r="G464" s="1" t="s">
        <v>807</v>
      </c>
      <c r="H464" s="1" t="s">
        <v>810</v>
      </c>
      <c r="I464" s="1" t="s">
        <v>815</v>
      </c>
      <c r="J464" s="1" t="s">
        <v>817</v>
      </c>
      <c r="K464" s="1" t="s">
        <v>822</v>
      </c>
      <c r="L464" s="1" t="s">
        <v>830</v>
      </c>
      <c r="M464" s="1">
        <v>2.02</v>
      </c>
      <c r="N464" s="1">
        <v>1119.0999999999999</v>
      </c>
      <c r="O464" s="1">
        <v>2313.0700000000002</v>
      </c>
      <c r="P464" s="1">
        <v>0.12</v>
      </c>
      <c r="Q464" s="1">
        <v>2054.9499999999998</v>
      </c>
      <c r="R464" s="1">
        <v>1365.03</v>
      </c>
      <c r="S464" s="1">
        <f t="shared" si="15"/>
        <v>689.91999999999985</v>
      </c>
      <c r="T464" s="1" t="s">
        <v>876</v>
      </c>
      <c r="U464" s="1" t="s">
        <v>878</v>
      </c>
      <c r="V464" s="5" t="s">
        <v>884</v>
      </c>
    </row>
    <row r="465" spans="1:22" x14ac:dyDescent="0.3">
      <c r="A465" s="4" t="s">
        <v>146</v>
      </c>
      <c r="B465" s="3">
        <v>45568</v>
      </c>
      <c r="C465" s="1" t="str">
        <f t="shared" si="14"/>
        <v>October</v>
      </c>
      <c r="D465" s="1" t="s">
        <v>328</v>
      </c>
      <c r="E465" s="1" t="s">
        <v>631</v>
      </c>
      <c r="F465" s="1" t="s">
        <v>801</v>
      </c>
      <c r="G465" s="1" t="s">
        <v>807</v>
      </c>
      <c r="H465" s="1" t="s">
        <v>811</v>
      </c>
      <c r="I465" s="1" t="s">
        <v>814</v>
      </c>
      <c r="J465" s="1" t="s">
        <v>818</v>
      </c>
      <c r="K465" s="1" t="s">
        <v>820</v>
      </c>
      <c r="L465" s="1" t="s">
        <v>837</v>
      </c>
      <c r="M465" s="1">
        <v>9.35</v>
      </c>
      <c r="N465" s="1">
        <v>2927.86</v>
      </c>
      <c r="O465" s="1">
        <v>24593.89</v>
      </c>
      <c r="P465" s="1">
        <v>0</v>
      </c>
      <c r="Q465" s="1">
        <v>26806.400000000001</v>
      </c>
      <c r="R465" s="1">
        <v>16431.64</v>
      </c>
      <c r="S465" s="1">
        <f t="shared" si="15"/>
        <v>10374.760000000002</v>
      </c>
      <c r="T465" s="1" t="s">
        <v>875</v>
      </c>
      <c r="U465" s="1" t="s">
        <v>880</v>
      </c>
      <c r="V465" s="5" t="s">
        <v>882</v>
      </c>
    </row>
    <row r="466" spans="1:22" x14ac:dyDescent="0.3">
      <c r="A466" s="4" t="s">
        <v>212</v>
      </c>
      <c r="B466" s="3">
        <v>45479</v>
      </c>
      <c r="C466" s="1" t="str">
        <f t="shared" si="14"/>
        <v>July</v>
      </c>
      <c r="D466" s="1" t="s">
        <v>352</v>
      </c>
      <c r="E466" s="1" t="s">
        <v>695</v>
      </c>
      <c r="F466" s="1" t="s">
        <v>803</v>
      </c>
      <c r="G466" s="1" t="s">
        <v>807</v>
      </c>
      <c r="H466" s="1" t="s">
        <v>808</v>
      </c>
      <c r="I466" s="1" t="s">
        <v>814</v>
      </c>
      <c r="J466" s="1" t="s">
        <v>819</v>
      </c>
      <c r="K466" s="1" t="s">
        <v>821</v>
      </c>
      <c r="L466" s="1" t="s">
        <v>826</v>
      </c>
      <c r="M466" s="1">
        <v>5.52</v>
      </c>
      <c r="N466" s="1">
        <v>2737.02</v>
      </c>
      <c r="O466" s="1">
        <v>16613.62</v>
      </c>
      <c r="P466" s="1">
        <v>0</v>
      </c>
      <c r="Q466" s="1">
        <v>17256.96</v>
      </c>
      <c r="R466" s="1">
        <v>13498.89</v>
      </c>
      <c r="S466" s="1">
        <f t="shared" si="15"/>
        <v>3758.0699999999997</v>
      </c>
      <c r="T466" s="1" t="s">
        <v>876</v>
      </c>
      <c r="U466" s="1" t="s">
        <v>881</v>
      </c>
      <c r="V466" s="5" t="s">
        <v>884</v>
      </c>
    </row>
    <row r="467" spans="1:22" x14ac:dyDescent="0.3">
      <c r="A467" s="4" t="s">
        <v>258</v>
      </c>
      <c r="B467" s="3">
        <v>45423</v>
      </c>
      <c r="C467" s="1" t="str">
        <f t="shared" si="14"/>
        <v>May</v>
      </c>
      <c r="D467" s="1" t="s">
        <v>337</v>
      </c>
      <c r="E467" s="1" t="s">
        <v>741</v>
      </c>
      <c r="F467" s="1" t="s">
        <v>803</v>
      </c>
      <c r="G467" s="1" t="s">
        <v>806</v>
      </c>
      <c r="H467" s="1" t="s">
        <v>811</v>
      </c>
      <c r="I467" s="1" t="s">
        <v>815</v>
      </c>
      <c r="J467" s="1" t="s">
        <v>817</v>
      </c>
      <c r="K467" s="1" t="s">
        <v>821</v>
      </c>
      <c r="L467" s="1" t="s">
        <v>827</v>
      </c>
      <c r="M467" s="1">
        <v>7.54</v>
      </c>
      <c r="N467" s="1">
        <v>2554.64</v>
      </c>
      <c r="O467" s="1">
        <v>19343.3</v>
      </c>
      <c r="P467" s="1">
        <v>0.05</v>
      </c>
      <c r="Q467" s="1">
        <v>20821.560000000001</v>
      </c>
      <c r="R467" s="1">
        <v>15817.9</v>
      </c>
      <c r="S467" s="1">
        <f t="shared" si="15"/>
        <v>5003.6600000000017</v>
      </c>
      <c r="T467" s="1" t="s">
        <v>875</v>
      </c>
      <c r="U467" s="1" t="s">
        <v>879</v>
      </c>
      <c r="V467" s="5" t="s">
        <v>884</v>
      </c>
    </row>
    <row r="468" spans="1:22" x14ac:dyDescent="0.3">
      <c r="A468" s="4" t="s">
        <v>228</v>
      </c>
      <c r="B468" s="3">
        <v>45477</v>
      </c>
      <c r="C468" s="1" t="str">
        <f t="shared" si="14"/>
        <v>July</v>
      </c>
      <c r="D468" s="1" t="s">
        <v>404</v>
      </c>
      <c r="E468" s="1" t="s">
        <v>711</v>
      </c>
      <c r="F468" s="1" t="s">
        <v>803</v>
      </c>
      <c r="G468" s="1" t="s">
        <v>807</v>
      </c>
      <c r="H468" s="1" t="s">
        <v>810</v>
      </c>
      <c r="I468" s="1" t="s">
        <v>813</v>
      </c>
      <c r="J468" s="1" t="s">
        <v>819</v>
      </c>
      <c r="K468" s="1" t="s">
        <v>820</v>
      </c>
      <c r="L468" s="1" t="s">
        <v>856</v>
      </c>
      <c r="M468" s="1">
        <v>8.2100000000000009</v>
      </c>
      <c r="N468" s="1">
        <v>3517.13</v>
      </c>
      <c r="O468" s="1">
        <v>31482.71</v>
      </c>
      <c r="P468" s="1">
        <v>0.05</v>
      </c>
      <c r="Q468" s="1">
        <v>27176.7</v>
      </c>
      <c r="R468" s="1">
        <v>18335.57</v>
      </c>
      <c r="S468" s="1">
        <f t="shared" si="15"/>
        <v>8841.130000000001</v>
      </c>
      <c r="T468" s="1" t="s">
        <v>875</v>
      </c>
      <c r="U468" s="1" t="s">
        <v>877</v>
      </c>
      <c r="V468" s="5" t="s">
        <v>882</v>
      </c>
    </row>
    <row r="469" spans="1:22" x14ac:dyDescent="0.3">
      <c r="A469" s="4" t="s">
        <v>303</v>
      </c>
      <c r="B469" s="3">
        <v>45537</v>
      </c>
      <c r="C469" s="1" t="str">
        <f t="shared" si="14"/>
        <v>September</v>
      </c>
      <c r="D469" s="1" t="s">
        <v>355</v>
      </c>
      <c r="E469" s="1" t="s">
        <v>785</v>
      </c>
      <c r="F469" s="1" t="s">
        <v>803</v>
      </c>
      <c r="G469" s="1" t="s">
        <v>807</v>
      </c>
      <c r="H469" s="1" t="s">
        <v>809</v>
      </c>
      <c r="I469" s="1" t="s">
        <v>814</v>
      </c>
      <c r="J469" s="1" t="s">
        <v>819</v>
      </c>
      <c r="K469" s="1" t="s">
        <v>820</v>
      </c>
      <c r="L469" s="1" t="s">
        <v>863</v>
      </c>
      <c r="M469" s="1">
        <v>1.92</v>
      </c>
      <c r="N469" s="1">
        <v>2891.26</v>
      </c>
      <c r="O469" s="1">
        <v>5310.98</v>
      </c>
      <c r="P469" s="1">
        <v>0</v>
      </c>
      <c r="Q469" s="1">
        <v>5185.5200000000004</v>
      </c>
      <c r="R469" s="1">
        <v>3809.48</v>
      </c>
      <c r="S469" s="1">
        <f t="shared" si="15"/>
        <v>1376.0400000000004</v>
      </c>
      <c r="T469" s="1" t="s">
        <v>876</v>
      </c>
      <c r="U469" s="1" t="s">
        <v>881</v>
      </c>
      <c r="V469" s="5" t="s">
        <v>883</v>
      </c>
    </row>
    <row r="470" spans="1:22" x14ac:dyDescent="0.3">
      <c r="A470" s="4" t="s">
        <v>244</v>
      </c>
      <c r="B470" s="3">
        <v>45370</v>
      </c>
      <c r="C470" s="1" t="str">
        <f t="shared" si="14"/>
        <v>March</v>
      </c>
      <c r="D470" s="1" t="s">
        <v>379</v>
      </c>
      <c r="E470" s="1" t="s">
        <v>727</v>
      </c>
      <c r="F470" s="1" t="s">
        <v>802</v>
      </c>
      <c r="G470" s="1" t="s">
        <v>807</v>
      </c>
      <c r="H470" s="1" t="s">
        <v>811</v>
      </c>
      <c r="I470" s="1" t="s">
        <v>809</v>
      </c>
      <c r="J470" s="1" t="s">
        <v>819</v>
      </c>
      <c r="K470" s="1" t="s">
        <v>822</v>
      </c>
      <c r="L470" s="1" t="s">
        <v>839</v>
      </c>
      <c r="M470" s="1">
        <v>5.56</v>
      </c>
      <c r="N470" s="1">
        <v>1589.62</v>
      </c>
      <c r="O470" s="1">
        <v>7077.64</v>
      </c>
      <c r="P470" s="1">
        <v>0.11</v>
      </c>
      <c r="Q470" s="1">
        <v>7464.85</v>
      </c>
      <c r="R470" s="1">
        <v>4684.6099999999997</v>
      </c>
      <c r="S470" s="1">
        <f t="shared" si="15"/>
        <v>2780.2400000000007</v>
      </c>
      <c r="T470" s="1" t="s">
        <v>873</v>
      </c>
      <c r="U470" s="1" t="s">
        <v>877</v>
      </c>
      <c r="V470" s="5" t="s">
        <v>884</v>
      </c>
    </row>
    <row r="471" spans="1:22" x14ac:dyDescent="0.3">
      <c r="A471" s="4" t="s">
        <v>261</v>
      </c>
      <c r="B471" s="3">
        <v>45339</v>
      </c>
      <c r="C471" s="1" t="str">
        <f t="shared" si="14"/>
        <v>February</v>
      </c>
      <c r="D471" s="1" t="s">
        <v>387</v>
      </c>
      <c r="E471" s="1" t="s">
        <v>744</v>
      </c>
      <c r="F471" s="1" t="s">
        <v>803</v>
      </c>
      <c r="G471" s="1" t="s">
        <v>806</v>
      </c>
      <c r="H471" s="1" t="s">
        <v>810</v>
      </c>
      <c r="I471" s="1" t="s">
        <v>816</v>
      </c>
      <c r="J471" s="1" t="s">
        <v>819</v>
      </c>
      <c r="K471" s="1" t="s">
        <v>820</v>
      </c>
      <c r="L471" s="1" t="s">
        <v>870</v>
      </c>
      <c r="M471" s="1">
        <v>7.36</v>
      </c>
      <c r="N471" s="1">
        <v>1170.9000000000001</v>
      </c>
      <c r="O471" s="1">
        <v>10103.530000000001</v>
      </c>
      <c r="P471" s="1">
        <v>0.1</v>
      </c>
      <c r="Q471" s="1">
        <v>9692.76</v>
      </c>
      <c r="R471" s="1">
        <v>6457.7</v>
      </c>
      <c r="S471" s="1">
        <f t="shared" si="15"/>
        <v>3235.0600000000004</v>
      </c>
      <c r="T471" s="1" t="s">
        <v>874</v>
      </c>
      <c r="U471" s="1" t="s">
        <v>877</v>
      </c>
      <c r="V471" s="5" t="s">
        <v>883</v>
      </c>
    </row>
    <row r="472" spans="1:22" x14ac:dyDescent="0.3">
      <c r="A472" s="4" t="s">
        <v>310</v>
      </c>
      <c r="B472" s="3">
        <v>45613</v>
      </c>
      <c r="C472" s="1" t="str">
        <f t="shared" si="14"/>
        <v>November</v>
      </c>
      <c r="D472" s="1" t="s">
        <v>417</v>
      </c>
      <c r="E472" s="1" t="s">
        <v>792</v>
      </c>
      <c r="F472" s="1" t="s">
        <v>803</v>
      </c>
      <c r="G472" s="1" t="s">
        <v>804</v>
      </c>
      <c r="H472" s="1" t="s">
        <v>808</v>
      </c>
      <c r="I472" s="1" t="s">
        <v>813</v>
      </c>
      <c r="J472" s="1" t="s">
        <v>819</v>
      </c>
      <c r="K472" s="1" t="s">
        <v>821</v>
      </c>
      <c r="L472" s="1" t="s">
        <v>845</v>
      </c>
      <c r="M472" s="1">
        <v>5.96</v>
      </c>
      <c r="N472" s="1">
        <v>595.66</v>
      </c>
      <c r="O472" s="1">
        <v>3844.99</v>
      </c>
      <c r="P472" s="1">
        <v>0</v>
      </c>
      <c r="Q472" s="1">
        <v>3473.92</v>
      </c>
      <c r="R472" s="1">
        <v>2869.29</v>
      </c>
      <c r="S472" s="1">
        <f t="shared" si="15"/>
        <v>604.63000000000011</v>
      </c>
      <c r="T472" s="1" t="s">
        <v>876</v>
      </c>
      <c r="U472" s="1" t="s">
        <v>880</v>
      </c>
      <c r="V472" s="5" t="s">
        <v>882</v>
      </c>
    </row>
    <row r="473" spans="1:22" x14ac:dyDescent="0.3">
      <c r="A473" s="4" t="s">
        <v>197</v>
      </c>
      <c r="B473" s="3">
        <v>45471</v>
      </c>
      <c r="C473" s="1" t="str">
        <f t="shared" si="14"/>
        <v>June</v>
      </c>
      <c r="D473" s="1" t="s">
        <v>411</v>
      </c>
      <c r="E473" s="1" t="s">
        <v>681</v>
      </c>
      <c r="F473" s="1" t="s">
        <v>801</v>
      </c>
      <c r="G473" s="1" t="s">
        <v>804</v>
      </c>
      <c r="H473" s="1" t="s">
        <v>808</v>
      </c>
      <c r="I473" s="1" t="s">
        <v>816</v>
      </c>
      <c r="J473" s="1" t="s">
        <v>817</v>
      </c>
      <c r="K473" s="1" t="s">
        <v>821</v>
      </c>
      <c r="L473" s="1" t="s">
        <v>864</v>
      </c>
      <c r="M473" s="1">
        <v>5.19</v>
      </c>
      <c r="N473" s="1">
        <v>754.35</v>
      </c>
      <c r="O473" s="1">
        <v>3950.35</v>
      </c>
      <c r="P473" s="1">
        <v>0.05</v>
      </c>
      <c r="Q473" s="1">
        <v>3898.03</v>
      </c>
      <c r="R473" s="1">
        <v>2988.97</v>
      </c>
      <c r="S473" s="1">
        <f t="shared" si="15"/>
        <v>909.0600000000004</v>
      </c>
      <c r="T473" s="1" t="s">
        <v>875</v>
      </c>
      <c r="U473" s="1" t="s">
        <v>881</v>
      </c>
      <c r="V473" s="5" t="s">
        <v>884</v>
      </c>
    </row>
    <row r="474" spans="1:22" x14ac:dyDescent="0.3">
      <c r="A474" s="4" t="s">
        <v>214</v>
      </c>
      <c r="B474" s="3">
        <v>45348</v>
      </c>
      <c r="C474" s="1" t="str">
        <f t="shared" si="14"/>
        <v>February</v>
      </c>
      <c r="D474" s="1" t="s">
        <v>485</v>
      </c>
      <c r="E474" s="1" t="s">
        <v>697</v>
      </c>
      <c r="F474" s="1" t="s">
        <v>803</v>
      </c>
      <c r="G474" s="1" t="s">
        <v>807</v>
      </c>
      <c r="H474" s="1" t="s">
        <v>808</v>
      </c>
      <c r="I474" s="1" t="s">
        <v>815</v>
      </c>
      <c r="J474" s="1" t="s">
        <v>819</v>
      </c>
      <c r="K474" s="1" t="s">
        <v>820</v>
      </c>
      <c r="L474" s="1" t="s">
        <v>856</v>
      </c>
      <c r="M474" s="1">
        <v>5.48</v>
      </c>
      <c r="N474" s="1">
        <v>1024.8900000000001</v>
      </c>
      <c r="O474" s="1">
        <v>5110.96</v>
      </c>
      <c r="P474" s="1">
        <v>0.1</v>
      </c>
      <c r="Q474" s="1">
        <v>4007.53</v>
      </c>
      <c r="R474" s="1">
        <v>3416.6</v>
      </c>
      <c r="S474" s="1">
        <f t="shared" si="15"/>
        <v>590.93000000000029</v>
      </c>
      <c r="T474" s="1" t="s">
        <v>874</v>
      </c>
      <c r="U474" s="1" t="s">
        <v>880</v>
      </c>
      <c r="V474" s="5" t="s">
        <v>884</v>
      </c>
    </row>
    <row r="475" spans="1:22" x14ac:dyDescent="0.3">
      <c r="A475" s="4" t="s">
        <v>93</v>
      </c>
      <c r="B475" s="3">
        <v>45557</v>
      </c>
      <c r="C475" s="1" t="str">
        <f t="shared" si="14"/>
        <v>September</v>
      </c>
      <c r="D475" s="1" t="s">
        <v>382</v>
      </c>
      <c r="E475" s="1" t="s">
        <v>578</v>
      </c>
      <c r="F475" s="1" t="s">
        <v>803</v>
      </c>
      <c r="G475" s="1" t="s">
        <v>804</v>
      </c>
      <c r="H475" s="1" t="s">
        <v>812</v>
      </c>
      <c r="I475" s="1" t="s">
        <v>809</v>
      </c>
      <c r="J475" s="1" t="s">
        <v>819</v>
      </c>
      <c r="K475" s="1" t="s">
        <v>821</v>
      </c>
      <c r="L475" s="1" t="s">
        <v>861</v>
      </c>
      <c r="M475" s="1">
        <v>6.66</v>
      </c>
      <c r="N475" s="1">
        <v>1640.44</v>
      </c>
      <c r="O475" s="1">
        <v>11085.91</v>
      </c>
      <c r="P475" s="1">
        <v>0.05</v>
      </c>
      <c r="Q475" s="1">
        <v>10589.09</v>
      </c>
      <c r="R475" s="1">
        <v>6960.55</v>
      </c>
      <c r="S475" s="1">
        <f t="shared" si="15"/>
        <v>3628.54</v>
      </c>
      <c r="T475" s="1" t="s">
        <v>874</v>
      </c>
      <c r="U475" s="1" t="s">
        <v>878</v>
      </c>
      <c r="V475" s="5" t="s">
        <v>884</v>
      </c>
    </row>
    <row r="476" spans="1:22" x14ac:dyDescent="0.3">
      <c r="A476" s="4" t="s">
        <v>256</v>
      </c>
      <c r="B476" s="3">
        <v>45396</v>
      </c>
      <c r="C476" s="1" t="str">
        <f t="shared" si="14"/>
        <v>April</v>
      </c>
      <c r="D476" s="1" t="s">
        <v>372</v>
      </c>
      <c r="E476" s="1" t="s">
        <v>739</v>
      </c>
      <c r="F476" s="1" t="s">
        <v>802</v>
      </c>
      <c r="G476" s="1" t="s">
        <v>805</v>
      </c>
      <c r="H476" s="1" t="s">
        <v>810</v>
      </c>
      <c r="I476" s="1" t="s">
        <v>809</v>
      </c>
      <c r="J476" s="1" t="s">
        <v>818</v>
      </c>
      <c r="K476" s="1" t="s">
        <v>821</v>
      </c>
      <c r="L476" s="1" t="s">
        <v>855</v>
      </c>
      <c r="M476" s="1">
        <v>3.04</v>
      </c>
      <c r="N476" s="1">
        <v>2040.08</v>
      </c>
      <c r="O476" s="1">
        <v>6053.93</v>
      </c>
      <c r="P476" s="1">
        <v>0</v>
      </c>
      <c r="Q476" s="1">
        <v>4677.54</v>
      </c>
      <c r="R476" s="1">
        <v>3167.13</v>
      </c>
      <c r="S476" s="1">
        <f t="shared" si="15"/>
        <v>1510.4099999999999</v>
      </c>
      <c r="T476" s="1" t="s">
        <v>875</v>
      </c>
      <c r="U476" s="1" t="s">
        <v>878</v>
      </c>
      <c r="V476" s="5" t="s">
        <v>882</v>
      </c>
    </row>
    <row r="477" spans="1:22" x14ac:dyDescent="0.3">
      <c r="A477" s="4" t="s">
        <v>203</v>
      </c>
      <c r="B477" s="3">
        <v>45545</v>
      </c>
      <c r="C477" s="1" t="str">
        <f t="shared" si="14"/>
        <v>September</v>
      </c>
      <c r="D477" s="1" t="s">
        <v>475</v>
      </c>
      <c r="E477" s="1" t="s">
        <v>687</v>
      </c>
      <c r="F477" s="1" t="s">
        <v>803</v>
      </c>
      <c r="G477" s="1" t="s">
        <v>806</v>
      </c>
      <c r="H477" s="1" t="s">
        <v>810</v>
      </c>
      <c r="I477" s="1" t="s">
        <v>813</v>
      </c>
      <c r="J477" s="1" t="s">
        <v>819</v>
      </c>
      <c r="K477" s="1" t="s">
        <v>821</v>
      </c>
      <c r="L477" s="1" t="s">
        <v>832</v>
      </c>
      <c r="M477" s="1">
        <v>8.69</v>
      </c>
      <c r="N477" s="1">
        <v>2600.1799999999998</v>
      </c>
      <c r="O477" s="1">
        <v>21976.36</v>
      </c>
      <c r="P477" s="1">
        <v>0.11</v>
      </c>
      <c r="Q477" s="1">
        <v>17019.11</v>
      </c>
      <c r="R477" s="1">
        <v>12914.49</v>
      </c>
      <c r="S477" s="1">
        <f t="shared" si="15"/>
        <v>4104.6200000000008</v>
      </c>
      <c r="T477" s="1" t="s">
        <v>876</v>
      </c>
      <c r="U477" s="1" t="s">
        <v>877</v>
      </c>
      <c r="V477" s="5" t="s">
        <v>884</v>
      </c>
    </row>
    <row r="478" spans="1:22" x14ac:dyDescent="0.3">
      <c r="A478" s="4" t="s">
        <v>23</v>
      </c>
      <c r="B478" s="3">
        <v>45568</v>
      </c>
      <c r="C478" s="1" t="str">
        <f t="shared" si="14"/>
        <v>October</v>
      </c>
      <c r="D478" s="1" t="s">
        <v>328</v>
      </c>
      <c r="E478" s="1" t="s">
        <v>508</v>
      </c>
      <c r="F478" s="1" t="s">
        <v>801</v>
      </c>
      <c r="G478" s="1" t="s">
        <v>804</v>
      </c>
      <c r="H478" s="1" t="s">
        <v>808</v>
      </c>
      <c r="I478" s="1" t="s">
        <v>809</v>
      </c>
      <c r="J478" s="1" t="s">
        <v>818</v>
      </c>
      <c r="K478" s="1" t="s">
        <v>820</v>
      </c>
      <c r="L478" s="1" t="s">
        <v>825</v>
      </c>
      <c r="M478" s="1">
        <v>10.37</v>
      </c>
      <c r="N478" s="1">
        <v>1260.6500000000001</v>
      </c>
      <c r="O478" s="1">
        <v>12904.51</v>
      </c>
      <c r="P478" s="1">
        <v>0.05</v>
      </c>
      <c r="Q478" s="1">
        <v>12839.53</v>
      </c>
      <c r="R478" s="1">
        <v>7929.25</v>
      </c>
      <c r="S478" s="1">
        <f t="shared" si="15"/>
        <v>4910.2800000000007</v>
      </c>
      <c r="T478" s="1" t="s">
        <v>875</v>
      </c>
      <c r="U478" s="1" t="s">
        <v>878</v>
      </c>
      <c r="V478" s="5" t="s">
        <v>883</v>
      </c>
    </row>
    <row r="479" spans="1:22" x14ac:dyDescent="0.3">
      <c r="A479" s="4" t="s">
        <v>274</v>
      </c>
      <c r="B479" s="3">
        <v>45448</v>
      </c>
      <c r="C479" s="1" t="str">
        <f t="shared" si="14"/>
        <v>June</v>
      </c>
      <c r="D479" s="1" t="s">
        <v>467</v>
      </c>
      <c r="E479" s="1" t="s">
        <v>757</v>
      </c>
      <c r="F479" s="1" t="s">
        <v>801</v>
      </c>
      <c r="G479" s="1" t="s">
        <v>805</v>
      </c>
      <c r="H479" s="1" t="s">
        <v>808</v>
      </c>
      <c r="I479" s="1" t="s">
        <v>815</v>
      </c>
      <c r="J479" s="1" t="s">
        <v>819</v>
      </c>
      <c r="K479" s="1" t="s">
        <v>820</v>
      </c>
      <c r="L479" s="1" t="s">
        <v>868</v>
      </c>
      <c r="M479" s="1">
        <v>4.87</v>
      </c>
      <c r="N479" s="1">
        <v>1948.23</v>
      </c>
      <c r="O479" s="1">
        <v>8692.02</v>
      </c>
      <c r="P479" s="1">
        <v>0</v>
      </c>
      <c r="Q479" s="1">
        <v>9766.36</v>
      </c>
      <c r="R479" s="1">
        <v>8080.27</v>
      </c>
      <c r="S479" s="1">
        <f t="shared" si="15"/>
        <v>1686.0900000000001</v>
      </c>
      <c r="T479" s="1" t="s">
        <v>875</v>
      </c>
      <c r="U479" s="1" t="s">
        <v>877</v>
      </c>
      <c r="V479" s="5" t="s">
        <v>884</v>
      </c>
    </row>
    <row r="480" spans="1:22" x14ac:dyDescent="0.3">
      <c r="A480" s="4" t="s">
        <v>93</v>
      </c>
      <c r="B480" s="3">
        <v>45557</v>
      </c>
      <c r="C480" s="1" t="str">
        <f t="shared" si="14"/>
        <v>September</v>
      </c>
      <c r="D480" s="1" t="s">
        <v>382</v>
      </c>
      <c r="E480" s="1" t="s">
        <v>578</v>
      </c>
      <c r="F480" s="1" t="s">
        <v>803</v>
      </c>
      <c r="G480" s="1" t="s">
        <v>804</v>
      </c>
      <c r="H480" s="1" t="s">
        <v>812</v>
      </c>
      <c r="I480" s="1" t="s">
        <v>809</v>
      </c>
      <c r="J480" s="1" t="s">
        <v>819</v>
      </c>
      <c r="K480" s="1" t="s">
        <v>821</v>
      </c>
      <c r="L480" s="1" t="s">
        <v>861</v>
      </c>
      <c r="M480" s="1">
        <v>7.02</v>
      </c>
      <c r="N480" s="1">
        <v>1586.12</v>
      </c>
      <c r="O480" s="1">
        <v>10235.56</v>
      </c>
      <c r="P480" s="1">
        <v>0.05</v>
      </c>
      <c r="Q480" s="1">
        <v>10207.94</v>
      </c>
      <c r="R480" s="1">
        <v>6041.23</v>
      </c>
      <c r="S480" s="1">
        <f t="shared" si="15"/>
        <v>4166.7100000000009</v>
      </c>
      <c r="T480" s="1" t="s">
        <v>874</v>
      </c>
      <c r="U480" s="1" t="s">
        <v>878</v>
      </c>
      <c r="V480" s="5" t="s">
        <v>884</v>
      </c>
    </row>
    <row r="481" spans="1:22" x14ac:dyDescent="0.3">
      <c r="A481" s="4" t="s">
        <v>175</v>
      </c>
      <c r="B481" s="3">
        <v>45366</v>
      </c>
      <c r="C481" s="1" t="str">
        <f t="shared" si="14"/>
        <v>March</v>
      </c>
      <c r="D481" s="1" t="s">
        <v>416</v>
      </c>
      <c r="E481" s="1" t="s">
        <v>660</v>
      </c>
      <c r="F481" s="1" t="s">
        <v>801</v>
      </c>
      <c r="G481" s="1" t="s">
        <v>806</v>
      </c>
      <c r="H481" s="1" t="s">
        <v>812</v>
      </c>
      <c r="I481" s="1" t="s">
        <v>813</v>
      </c>
      <c r="J481" s="1" t="s">
        <v>819</v>
      </c>
      <c r="K481" s="1" t="s">
        <v>820</v>
      </c>
      <c r="L481" s="1" t="s">
        <v>856</v>
      </c>
      <c r="M481" s="1">
        <v>10.29</v>
      </c>
      <c r="N481" s="1">
        <v>1606.06</v>
      </c>
      <c r="O481" s="1">
        <v>18057.259999999998</v>
      </c>
      <c r="P481" s="1">
        <v>0.05</v>
      </c>
      <c r="Q481" s="1">
        <v>16314.05</v>
      </c>
      <c r="R481" s="1">
        <v>10410</v>
      </c>
      <c r="S481" s="1">
        <f t="shared" si="15"/>
        <v>5904.0499999999993</v>
      </c>
      <c r="T481" s="1" t="s">
        <v>876</v>
      </c>
      <c r="U481" s="1" t="s">
        <v>879</v>
      </c>
      <c r="V481" s="5" t="s">
        <v>883</v>
      </c>
    </row>
    <row r="482" spans="1:22" x14ac:dyDescent="0.3">
      <c r="A482" s="4" t="s">
        <v>167</v>
      </c>
      <c r="B482" s="3">
        <v>45609</v>
      </c>
      <c r="C482" s="1" t="str">
        <f t="shared" si="14"/>
        <v>November</v>
      </c>
      <c r="D482" s="1" t="s">
        <v>473</v>
      </c>
      <c r="E482" s="1" t="s">
        <v>652</v>
      </c>
      <c r="F482" s="1" t="s">
        <v>803</v>
      </c>
      <c r="G482" s="1" t="s">
        <v>804</v>
      </c>
      <c r="H482" s="1" t="s">
        <v>811</v>
      </c>
      <c r="I482" s="1" t="s">
        <v>813</v>
      </c>
      <c r="J482" s="1" t="s">
        <v>817</v>
      </c>
      <c r="K482" s="1" t="s">
        <v>822</v>
      </c>
      <c r="L482" s="1" t="s">
        <v>866</v>
      </c>
      <c r="M482" s="1">
        <v>10.75</v>
      </c>
      <c r="N482" s="1">
        <v>2690.24</v>
      </c>
      <c r="O482" s="1">
        <v>25957.47</v>
      </c>
      <c r="P482" s="1">
        <v>0</v>
      </c>
      <c r="Q482" s="1">
        <v>24552.76</v>
      </c>
      <c r="R482" s="1">
        <v>19820.48</v>
      </c>
      <c r="S482" s="1">
        <f t="shared" si="15"/>
        <v>4732.2799999999988</v>
      </c>
      <c r="T482" s="1" t="s">
        <v>874</v>
      </c>
      <c r="U482" s="1" t="s">
        <v>879</v>
      </c>
      <c r="V482" s="5" t="s">
        <v>883</v>
      </c>
    </row>
    <row r="483" spans="1:22" x14ac:dyDescent="0.3">
      <c r="A483" s="4" t="s">
        <v>255</v>
      </c>
      <c r="B483" s="3">
        <v>45564</v>
      </c>
      <c r="C483" s="1" t="str">
        <f t="shared" si="14"/>
        <v>September</v>
      </c>
      <c r="D483" s="1" t="s">
        <v>472</v>
      </c>
      <c r="E483" s="1" t="s">
        <v>738</v>
      </c>
      <c r="F483" s="1" t="s">
        <v>801</v>
      </c>
      <c r="G483" s="1" t="s">
        <v>807</v>
      </c>
      <c r="H483" s="1" t="s">
        <v>810</v>
      </c>
      <c r="I483" s="1" t="s">
        <v>813</v>
      </c>
      <c r="J483" s="1" t="s">
        <v>818</v>
      </c>
      <c r="K483" s="1" t="s">
        <v>821</v>
      </c>
      <c r="L483" s="1" t="s">
        <v>861</v>
      </c>
      <c r="M483" s="1">
        <v>6.71</v>
      </c>
      <c r="N483" s="1">
        <v>3393.9</v>
      </c>
      <c r="O483" s="1">
        <v>20347.169999999998</v>
      </c>
      <c r="P483" s="1">
        <v>0.11</v>
      </c>
      <c r="Q483" s="1">
        <v>22017.040000000001</v>
      </c>
      <c r="R483" s="1">
        <v>10856.05</v>
      </c>
      <c r="S483" s="1">
        <f t="shared" si="15"/>
        <v>11160.990000000002</v>
      </c>
      <c r="T483" s="1" t="s">
        <v>873</v>
      </c>
      <c r="U483" s="1" t="s">
        <v>878</v>
      </c>
      <c r="V483" s="5" t="s">
        <v>882</v>
      </c>
    </row>
    <row r="484" spans="1:22" x14ac:dyDescent="0.3">
      <c r="A484" s="4" t="s">
        <v>136</v>
      </c>
      <c r="B484" s="3">
        <v>45605</v>
      </c>
      <c r="C484" s="1" t="str">
        <f t="shared" si="14"/>
        <v>November</v>
      </c>
      <c r="D484" s="1" t="s">
        <v>393</v>
      </c>
      <c r="E484" s="1" t="s">
        <v>621</v>
      </c>
      <c r="F484" s="1" t="s">
        <v>802</v>
      </c>
      <c r="G484" s="1" t="s">
        <v>806</v>
      </c>
      <c r="H484" s="1" t="s">
        <v>809</v>
      </c>
      <c r="I484" s="1" t="s">
        <v>813</v>
      </c>
      <c r="J484" s="1" t="s">
        <v>817</v>
      </c>
      <c r="K484" s="1" t="s">
        <v>822</v>
      </c>
      <c r="L484" s="1" t="s">
        <v>857</v>
      </c>
      <c r="M484" s="1">
        <v>9.59</v>
      </c>
      <c r="N484" s="1">
        <v>866.96</v>
      </c>
      <c r="O484" s="1">
        <v>9022</v>
      </c>
      <c r="P484" s="1">
        <v>0</v>
      </c>
      <c r="Q484" s="1">
        <v>8704.76</v>
      </c>
      <c r="R484" s="1">
        <v>5891.19</v>
      </c>
      <c r="S484" s="1">
        <f t="shared" si="15"/>
        <v>2813.5700000000006</v>
      </c>
      <c r="T484" s="1" t="s">
        <v>876</v>
      </c>
      <c r="U484" s="1" t="s">
        <v>877</v>
      </c>
      <c r="V484" s="5" t="s">
        <v>884</v>
      </c>
    </row>
    <row r="485" spans="1:22" x14ac:dyDescent="0.3">
      <c r="A485" s="4" t="s">
        <v>251</v>
      </c>
      <c r="B485" s="3">
        <v>45405</v>
      </c>
      <c r="C485" s="1" t="str">
        <f t="shared" si="14"/>
        <v>April</v>
      </c>
      <c r="D485" s="1" t="s">
        <v>492</v>
      </c>
      <c r="E485" s="1" t="s">
        <v>734</v>
      </c>
      <c r="F485" s="1" t="s">
        <v>803</v>
      </c>
      <c r="G485" s="1" t="s">
        <v>805</v>
      </c>
      <c r="H485" s="1" t="s">
        <v>809</v>
      </c>
      <c r="I485" s="1" t="s">
        <v>813</v>
      </c>
      <c r="J485" s="1" t="s">
        <v>818</v>
      </c>
      <c r="K485" s="1" t="s">
        <v>822</v>
      </c>
      <c r="L485" s="1" t="s">
        <v>841</v>
      </c>
      <c r="M485" s="1">
        <v>1.96</v>
      </c>
      <c r="N485" s="1">
        <v>2329.36</v>
      </c>
      <c r="O485" s="1">
        <v>4363.72</v>
      </c>
      <c r="P485" s="1">
        <v>0</v>
      </c>
      <c r="Q485" s="1">
        <v>3948.1</v>
      </c>
      <c r="R485" s="1">
        <v>2909.63</v>
      </c>
      <c r="S485" s="1">
        <f t="shared" si="15"/>
        <v>1038.4699999999998</v>
      </c>
      <c r="T485" s="1" t="s">
        <v>876</v>
      </c>
      <c r="U485" s="1" t="s">
        <v>881</v>
      </c>
      <c r="V485" s="5" t="s">
        <v>883</v>
      </c>
    </row>
    <row r="486" spans="1:22" x14ac:dyDescent="0.3">
      <c r="A486" s="4" t="s">
        <v>243</v>
      </c>
      <c r="B486" s="3">
        <v>45478</v>
      </c>
      <c r="C486" s="1" t="str">
        <f t="shared" si="14"/>
        <v>July</v>
      </c>
      <c r="D486" s="1" t="s">
        <v>484</v>
      </c>
      <c r="E486" s="1" t="s">
        <v>726</v>
      </c>
      <c r="F486" s="1" t="s">
        <v>803</v>
      </c>
      <c r="G486" s="1" t="s">
        <v>805</v>
      </c>
      <c r="H486" s="1" t="s">
        <v>810</v>
      </c>
      <c r="I486" s="1" t="s">
        <v>809</v>
      </c>
      <c r="J486" s="1" t="s">
        <v>819</v>
      </c>
      <c r="K486" s="1" t="s">
        <v>822</v>
      </c>
      <c r="L486" s="1" t="s">
        <v>831</v>
      </c>
      <c r="M486" s="1">
        <v>4.3600000000000003</v>
      </c>
      <c r="N486" s="1">
        <v>1842.89</v>
      </c>
      <c r="O486" s="1">
        <v>8942.68</v>
      </c>
      <c r="P486" s="1">
        <v>0.11</v>
      </c>
      <c r="Q486" s="1">
        <v>7335.3</v>
      </c>
      <c r="R486" s="1">
        <v>5315.27</v>
      </c>
      <c r="S486" s="1">
        <f t="shared" si="15"/>
        <v>2020.0299999999997</v>
      </c>
      <c r="T486" s="1" t="s">
        <v>873</v>
      </c>
      <c r="U486" s="1" t="s">
        <v>877</v>
      </c>
      <c r="V486" s="5" t="s">
        <v>884</v>
      </c>
    </row>
    <row r="487" spans="1:22" x14ac:dyDescent="0.3">
      <c r="A487" s="4" t="s">
        <v>220</v>
      </c>
      <c r="B487" s="3">
        <v>45369</v>
      </c>
      <c r="C487" s="1" t="str">
        <f t="shared" si="14"/>
        <v>March</v>
      </c>
      <c r="D487" s="1" t="s">
        <v>400</v>
      </c>
      <c r="E487" s="1" t="s">
        <v>703</v>
      </c>
      <c r="F487" s="1" t="s">
        <v>802</v>
      </c>
      <c r="G487" s="1" t="s">
        <v>807</v>
      </c>
      <c r="H487" s="1" t="s">
        <v>810</v>
      </c>
      <c r="I487" s="1" t="s">
        <v>814</v>
      </c>
      <c r="J487" s="1" t="s">
        <v>817</v>
      </c>
      <c r="K487" s="1" t="s">
        <v>820</v>
      </c>
      <c r="L487" s="1" t="s">
        <v>852</v>
      </c>
      <c r="M487" s="1">
        <v>4.05</v>
      </c>
      <c r="N487" s="1">
        <v>455.57</v>
      </c>
      <c r="O487" s="1">
        <v>1879.89</v>
      </c>
      <c r="P487" s="1">
        <v>0.14000000000000001</v>
      </c>
      <c r="Q487" s="1">
        <v>1435.63</v>
      </c>
      <c r="R487" s="1">
        <v>921.86</v>
      </c>
      <c r="S487" s="1">
        <f t="shared" si="15"/>
        <v>513.7700000000001</v>
      </c>
      <c r="T487" s="1" t="s">
        <v>874</v>
      </c>
      <c r="U487" s="1" t="s">
        <v>879</v>
      </c>
      <c r="V487" s="5" t="s">
        <v>883</v>
      </c>
    </row>
    <row r="488" spans="1:22" x14ac:dyDescent="0.3">
      <c r="A488" s="4" t="s">
        <v>205</v>
      </c>
      <c r="B488" s="3">
        <v>45516</v>
      </c>
      <c r="C488" s="1" t="str">
        <f t="shared" si="14"/>
        <v>August</v>
      </c>
      <c r="D488" s="1" t="s">
        <v>482</v>
      </c>
      <c r="E488" s="1" t="s">
        <v>689</v>
      </c>
      <c r="F488" s="1" t="s">
        <v>801</v>
      </c>
      <c r="G488" s="1" t="s">
        <v>807</v>
      </c>
      <c r="H488" s="1" t="s">
        <v>809</v>
      </c>
      <c r="I488" s="1" t="s">
        <v>816</v>
      </c>
      <c r="J488" s="1" t="s">
        <v>818</v>
      </c>
      <c r="K488" s="1" t="s">
        <v>821</v>
      </c>
      <c r="L488" s="1" t="s">
        <v>836</v>
      </c>
      <c r="M488" s="1">
        <v>9.23</v>
      </c>
      <c r="N488" s="1">
        <v>3370.55</v>
      </c>
      <c r="O488" s="1">
        <v>41160.800000000003</v>
      </c>
      <c r="P488" s="1">
        <v>0.05</v>
      </c>
      <c r="Q488" s="1">
        <v>35699.35</v>
      </c>
      <c r="R488" s="1">
        <v>29746.6</v>
      </c>
      <c r="S488" s="1">
        <f t="shared" si="15"/>
        <v>5952.75</v>
      </c>
      <c r="T488" s="1" t="s">
        <v>875</v>
      </c>
      <c r="U488" s="1" t="s">
        <v>878</v>
      </c>
      <c r="V488" s="5" t="s">
        <v>882</v>
      </c>
    </row>
    <row r="489" spans="1:22" x14ac:dyDescent="0.3">
      <c r="A489" s="4" t="s">
        <v>65</v>
      </c>
      <c r="B489" s="3">
        <v>45357</v>
      </c>
      <c r="C489" s="1" t="str">
        <f t="shared" si="14"/>
        <v>March</v>
      </c>
      <c r="D489" s="1" t="s">
        <v>419</v>
      </c>
      <c r="E489" s="1" t="s">
        <v>550</v>
      </c>
      <c r="F489" s="1" t="s">
        <v>801</v>
      </c>
      <c r="G489" s="1" t="s">
        <v>806</v>
      </c>
      <c r="H489" s="1" t="s">
        <v>812</v>
      </c>
      <c r="I489" s="1" t="s">
        <v>816</v>
      </c>
      <c r="J489" s="1" t="s">
        <v>818</v>
      </c>
      <c r="K489" s="1" t="s">
        <v>821</v>
      </c>
      <c r="L489" s="1" t="s">
        <v>832</v>
      </c>
      <c r="M489" s="1">
        <v>8.15</v>
      </c>
      <c r="N489" s="1">
        <v>1670.47</v>
      </c>
      <c r="O489" s="1">
        <v>13350.35</v>
      </c>
      <c r="P489" s="1">
        <v>0.1</v>
      </c>
      <c r="Q489" s="1">
        <v>13088.96</v>
      </c>
      <c r="R489" s="1">
        <v>8678.1299999999992</v>
      </c>
      <c r="S489" s="1">
        <f t="shared" si="15"/>
        <v>4410.83</v>
      </c>
      <c r="T489" s="1" t="s">
        <v>876</v>
      </c>
      <c r="U489" s="1" t="s">
        <v>880</v>
      </c>
      <c r="V489" s="5" t="s">
        <v>883</v>
      </c>
    </row>
    <row r="490" spans="1:22" x14ac:dyDescent="0.3">
      <c r="A490" s="4" t="s">
        <v>228</v>
      </c>
      <c r="B490" s="3">
        <v>45477</v>
      </c>
      <c r="C490" s="1" t="str">
        <f t="shared" si="14"/>
        <v>July</v>
      </c>
      <c r="D490" s="1" t="s">
        <v>404</v>
      </c>
      <c r="E490" s="1" t="s">
        <v>711</v>
      </c>
      <c r="F490" s="1" t="s">
        <v>803</v>
      </c>
      <c r="G490" s="1" t="s">
        <v>807</v>
      </c>
      <c r="H490" s="1" t="s">
        <v>810</v>
      </c>
      <c r="I490" s="1" t="s">
        <v>813</v>
      </c>
      <c r="J490" s="1" t="s">
        <v>819</v>
      </c>
      <c r="K490" s="1" t="s">
        <v>820</v>
      </c>
      <c r="L490" s="1" t="s">
        <v>856</v>
      </c>
      <c r="M490" s="1">
        <v>8.43</v>
      </c>
      <c r="N490" s="1">
        <v>3191.73</v>
      </c>
      <c r="O490" s="1">
        <v>27181.15</v>
      </c>
      <c r="P490" s="1">
        <v>0.05</v>
      </c>
      <c r="Q490" s="1">
        <v>30350.58</v>
      </c>
      <c r="R490" s="1">
        <v>19850.849999999999</v>
      </c>
      <c r="S490" s="1">
        <f t="shared" si="15"/>
        <v>10499.730000000003</v>
      </c>
      <c r="T490" s="1" t="s">
        <v>875</v>
      </c>
      <c r="U490" s="1" t="s">
        <v>877</v>
      </c>
      <c r="V490" s="5" t="s">
        <v>882</v>
      </c>
    </row>
    <row r="491" spans="1:22" x14ac:dyDescent="0.3">
      <c r="A491" s="4" t="s">
        <v>232</v>
      </c>
      <c r="B491" s="3">
        <v>45458</v>
      </c>
      <c r="C491" s="1" t="str">
        <f t="shared" si="14"/>
        <v>June</v>
      </c>
      <c r="D491" s="1" t="s">
        <v>489</v>
      </c>
      <c r="E491" s="1" t="s">
        <v>715</v>
      </c>
      <c r="F491" s="1" t="s">
        <v>803</v>
      </c>
      <c r="G491" s="1" t="s">
        <v>806</v>
      </c>
      <c r="H491" s="1" t="s">
        <v>811</v>
      </c>
      <c r="I491" s="1" t="s">
        <v>815</v>
      </c>
      <c r="J491" s="1" t="s">
        <v>817</v>
      </c>
      <c r="K491" s="1" t="s">
        <v>822</v>
      </c>
      <c r="L491" s="1" t="s">
        <v>839</v>
      </c>
      <c r="M491" s="1">
        <v>6.43</v>
      </c>
      <c r="N491" s="1">
        <v>2562.59</v>
      </c>
      <c r="O491" s="1">
        <v>16312.97</v>
      </c>
      <c r="P491" s="1">
        <v>0.09</v>
      </c>
      <c r="Q491" s="1">
        <v>14932.2</v>
      </c>
      <c r="R491" s="1">
        <v>11580.06</v>
      </c>
      <c r="S491" s="1">
        <f t="shared" si="15"/>
        <v>3352.1400000000012</v>
      </c>
      <c r="T491" s="1" t="s">
        <v>876</v>
      </c>
      <c r="U491" s="1" t="s">
        <v>879</v>
      </c>
      <c r="V491" s="5" t="s">
        <v>882</v>
      </c>
    </row>
    <row r="492" spans="1:22" x14ac:dyDescent="0.3">
      <c r="A492" s="4" t="s">
        <v>227</v>
      </c>
      <c r="B492" s="3">
        <v>45593</v>
      </c>
      <c r="C492" s="1" t="str">
        <f t="shared" si="14"/>
        <v>October</v>
      </c>
      <c r="D492" s="1" t="s">
        <v>487</v>
      </c>
      <c r="E492" s="1" t="s">
        <v>710</v>
      </c>
      <c r="F492" s="1" t="s">
        <v>802</v>
      </c>
      <c r="G492" s="1" t="s">
        <v>805</v>
      </c>
      <c r="H492" s="1" t="s">
        <v>809</v>
      </c>
      <c r="I492" s="1" t="s">
        <v>815</v>
      </c>
      <c r="J492" s="1" t="s">
        <v>818</v>
      </c>
      <c r="K492" s="1" t="s">
        <v>821</v>
      </c>
      <c r="L492" s="1" t="s">
        <v>850</v>
      </c>
      <c r="M492" s="1">
        <v>8.24</v>
      </c>
      <c r="N492" s="1">
        <v>939.86</v>
      </c>
      <c r="O492" s="1">
        <v>7468.74</v>
      </c>
      <c r="P492" s="1">
        <v>0.09</v>
      </c>
      <c r="Q492" s="1">
        <v>6704.7</v>
      </c>
      <c r="R492" s="1">
        <v>4706.47</v>
      </c>
      <c r="S492" s="1">
        <f t="shared" si="15"/>
        <v>1998.2299999999996</v>
      </c>
      <c r="T492" s="1" t="s">
        <v>873</v>
      </c>
      <c r="U492" s="1" t="s">
        <v>881</v>
      </c>
      <c r="V492" s="5" t="s">
        <v>884</v>
      </c>
    </row>
    <row r="493" spans="1:22" x14ac:dyDescent="0.3">
      <c r="A493" s="4" t="s">
        <v>194</v>
      </c>
      <c r="B493" s="3">
        <v>45493</v>
      </c>
      <c r="C493" s="1" t="str">
        <f t="shared" si="14"/>
        <v>July</v>
      </c>
      <c r="D493" s="1" t="s">
        <v>353</v>
      </c>
      <c r="E493" s="1" t="s">
        <v>678</v>
      </c>
      <c r="F493" s="1" t="s">
        <v>801</v>
      </c>
      <c r="G493" s="1" t="s">
        <v>805</v>
      </c>
      <c r="H493" s="1" t="s">
        <v>812</v>
      </c>
      <c r="I493" s="1" t="s">
        <v>814</v>
      </c>
      <c r="J493" s="1" t="s">
        <v>818</v>
      </c>
      <c r="K493" s="1" t="s">
        <v>821</v>
      </c>
      <c r="L493" s="1" t="s">
        <v>862</v>
      </c>
      <c r="M493" s="1">
        <v>9.98</v>
      </c>
      <c r="N493" s="1">
        <v>2789.55</v>
      </c>
      <c r="O493" s="1">
        <v>30392.59</v>
      </c>
      <c r="P493" s="1">
        <v>0.1</v>
      </c>
      <c r="Q493" s="1">
        <v>25764.12</v>
      </c>
      <c r="R493" s="1">
        <v>20554.099999999999</v>
      </c>
      <c r="S493" s="1">
        <f t="shared" si="15"/>
        <v>5210.0200000000004</v>
      </c>
      <c r="T493" s="1" t="s">
        <v>873</v>
      </c>
      <c r="U493" s="1" t="s">
        <v>881</v>
      </c>
      <c r="V493" s="5" t="s">
        <v>882</v>
      </c>
    </row>
    <row r="494" spans="1:22" x14ac:dyDescent="0.3">
      <c r="A494" s="4" t="s">
        <v>236</v>
      </c>
      <c r="B494" s="3">
        <v>45325</v>
      </c>
      <c r="C494" s="1" t="str">
        <f t="shared" si="14"/>
        <v>February</v>
      </c>
      <c r="D494" s="1" t="s">
        <v>396</v>
      </c>
      <c r="E494" s="1" t="s">
        <v>719</v>
      </c>
      <c r="F494" s="1" t="s">
        <v>803</v>
      </c>
      <c r="G494" s="1" t="s">
        <v>806</v>
      </c>
      <c r="H494" s="1" t="s">
        <v>808</v>
      </c>
      <c r="I494" s="1" t="s">
        <v>813</v>
      </c>
      <c r="J494" s="1" t="s">
        <v>818</v>
      </c>
      <c r="K494" s="1" t="s">
        <v>821</v>
      </c>
      <c r="L494" s="1" t="s">
        <v>869</v>
      </c>
      <c r="M494" s="1">
        <v>2.19</v>
      </c>
      <c r="N494" s="1">
        <v>3605.19</v>
      </c>
      <c r="O494" s="1">
        <v>7242.14</v>
      </c>
      <c r="P494" s="1">
        <v>0.05</v>
      </c>
      <c r="Q494" s="1">
        <v>5922.65</v>
      </c>
      <c r="R494" s="1">
        <v>5067.97</v>
      </c>
      <c r="S494" s="1">
        <f t="shared" si="15"/>
        <v>854.67999999999938</v>
      </c>
      <c r="T494" s="1" t="s">
        <v>876</v>
      </c>
      <c r="U494" s="1" t="s">
        <v>881</v>
      </c>
      <c r="V494" s="5" t="s">
        <v>884</v>
      </c>
    </row>
    <row r="495" spans="1:22" x14ac:dyDescent="0.3">
      <c r="A495" s="4" t="s">
        <v>276</v>
      </c>
      <c r="B495" s="3">
        <v>45491</v>
      </c>
      <c r="C495" s="1" t="str">
        <f t="shared" si="14"/>
        <v>July</v>
      </c>
      <c r="D495" s="1" t="s">
        <v>329</v>
      </c>
      <c r="E495" s="1" t="s">
        <v>759</v>
      </c>
      <c r="F495" s="1" t="s">
        <v>802</v>
      </c>
      <c r="G495" s="1" t="s">
        <v>805</v>
      </c>
      <c r="H495" s="1" t="s">
        <v>812</v>
      </c>
      <c r="I495" s="1" t="s">
        <v>816</v>
      </c>
      <c r="J495" s="1" t="s">
        <v>819</v>
      </c>
      <c r="K495" s="1" t="s">
        <v>821</v>
      </c>
      <c r="L495" s="1" t="s">
        <v>854</v>
      </c>
      <c r="M495" s="1">
        <v>6.08</v>
      </c>
      <c r="N495" s="1">
        <v>3426.36</v>
      </c>
      <c r="O495" s="1">
        <v>20079.27</v>
      </c>
      <c r="P495" s="1">
        <v>0.1</v>
      </c>
      <c r="Q495" s="1">
        <v>17226.439999999999</v>
      </c>
      <c r="R495" s="1">
        <v>12163.05</v>
      </c>
      <c r="S495" s="1">
        <f t="shared" si="15"/>
        <v>5063.3899999999994</v>
      </c>
      <c r="T495" s="1" t="s">
        <v>875</v>
      </c>
      <c r="U495" s="1" t="s">
        <v>880</v>
      </c>
      <c r="V495" s="5" t="s">
        <v>884</v>
      </c>
    </row>
    <row r="496" spans="1:22" x14ac:dyDescent="0.3">
      <c r="A496" s="4" t="s">
        <v>255</v>
      </c>
      <c r="B496" s="3">
        <v>45564</v>
      </c>
      <c r="C496" s="1" t="str">
        <f t="shared" si="14"/>
        <v>September</v>
      </c>
      <c r="D496" s="1" t="s">
        <v>472</v>
      </c>
      <c r="E496" s="1" t="s">
        <v>738</v>
      </c>
      <c r="F496" s="1" t="s">
        <v>801</v>
      </c>
      <c r="G496" s="1" t="s">
        <v>807</v>
      </c>
      <c r="H496" s="1" t="s">
        <v>810</v>
      </c>
      <c r="I496" s="1" t="s">
        <v>813</v>
      </c>
      <c r="J496" s="1" t="s">
        <v>818</v>
      </c>
      <c r="K496" s="1" t="s">
        <v>821</v>
      </c>
      <c r="L496" s="1" t="s">
        <v>861</v>
      </c>
      <c r="M496" s="1">
        <v>7.65</v>
      </c>
      <c r="N496" s="1">
        <v>3491.52</v>
      </c>
      <c r="O496" s="1">
        <v>21137.93</v>
      </c>
      <c r="P496" s="1">
        <v>0.1</v>
      </c>
      <c r="Q496" s="1">
        <v>22414.93</v>
      </c>
      <c r="R496" s="1">
        <v>11107.82</v>
      </c>
      <c r="S496" s="1">
        <f t="shared" si="15"/>
        <v>11307.11</v>
      </c>
      <c r="T496" s="1" t="s">
        <v>873</v>
      </c>
      <c r="U496" s="1" t="s">
        <v>878</v>
      </c>
      <c r="V496" s="5" t="s">
        <v>882</v>
      </c>
    </row>
    <row r="497" spans="1:22" x14ac:dyDescent="0.3">
      <c r="A497" s="4" t="s">
        <v>91</v>
      </c>
      <c r="B497" s="3">
        <v>45366</v>
      </c>
      <c r="C497" s="1" t="str">
        <f t="shared" si="14"/>
        <v>March</v>
      </c>
      <c r="D497" s="1" t="s">
        <v>324</v>
      </c>
      <c r="E497" s="1" t="s">
        <v>576</v>
      </c>
      <c r="F497" s="1" t="s">
        <v>801</v>
      </c>
      <c r="G497" s="1" t="s">
        <v>805</v>
      </c>
      <c r="H497" s="1" t="s">
        <v>810</v>
      </c>
      <c r="I497" s="1" t="s">
        <v>815</v>
      </c>
      <c r="J497" s="1" t="s">
        <v>817</v>
      </c>
      <c r="K497" s="1" t="s">
        <v>820</v>
      </c>
      <c r="L497" s="1" t="s">
        <v>841</v>
      </c>
      <c r="M497" s="1">
        <v>5.0599999999999996</v>
      </c>
      <c r="N497" s="1">
        <v>815.16</v>
      </c>
      <c r="O497" s="1">
        <v>4681.25</v>
      </c>
      <c r="P497" s="1">
        <v>0.05</v>
      </c>
      <c r="Q497" s="1">
        <v>4202.0200000000004</v>
      </c>
      <c r="R497" s="1">
        <v>3866.58</v>
      </c>
      <c r="S497" s="1">
        <f t="shared" si="15"/>
        <v>335.44000000000051</v>
      </c>
      <c r="T497" s="1" t="s">
        <v>874</v>
      </c>
      <c r="U497" s="1" t="s">
        <v>877</v>
      </c>
      <c r="V497" s="5" t="s">
        <v>883</v>
      </c>
    </row>
    <row r="498" spans="1:22" x14ac:dyDescent="0.3">
      <c r="A498" s="4" t="s">
        <v>107</v>
      </c>
      <c r="B498" s="3">
        <v>45426</v>
      </c>
      <c r="C498" s="1" t="str">
        <f t="shared" si="14"/>
        <v>May</v>
      </c>
      <c r="D498" s="1" t="s">
        <v>454</v>
      </c>
      <c r="E498" s="1" t="s">
        <v>592</v>
      </c>
      <c r="F498" s="1" t="s">
        <v>801</v>
      </c>
      <c r="G498" s="1" t="s">
        <v>807</v>
      </c>
      <c r="H498" s="1" t="s">
        <v>810</v>
      </c>
      <c r="I498" s="1" t="s">
        <v>809</v>
      </c>
      <c r="J498" s="1" t="s">
        <v>818</v>
      </c>
      <c r="K498" s="1" t="s">
        <v>820</v>
      </c>
      <c r="L498" s="1" t="s">
        <v>835</v>
      </c>
      <c r="M498" s="1">
        <v>0.91</v>
      </c>
      <c r="N498" s="1">
        <v>1289.31</v>
      </c>
      <c r="O498" s="1">
        <v>1265.99</v>
      </c>
      <c r="P498" s="1">
        <v>0.16</v>
      </c>
      <c r="Q498" s="1">
        <v>1041.1199999999999</v>
      </c>
      <c r="R498" s="1">
        <v>865.29</v>
      </c>
      <c r="S498" s="1">
        <f t="shared" si="15"/>
        <v>175.82999999999993</v>
      </c>
      <c r="T498" s="1" t="s">
        <v>874</v>
      </c>
      <c r="U498" s="1" t="s">
        <v>880</v>
      </c>
      <c r="V498" s="5" t="s">
        <v>883</v>
      </c>
    </row>
    <row r="499" spans="1:22" x14ac:dyDescent="0.3">
      <c r="A499" s="4" t="s">
        <v>200</v>
      </c>
      <c r="B499" s="3">
        <v>45347</v>
      </c>
      <c r="C499" s="1" t="str">
        <f t="shared" si="14"/>
        <v>February</v>
      </c>
      <c r="D499" s="1" t="s">
        <v>481</v>
      </c>
      <c r="E499" s="1" t="s">
        <v>684</v>
      </c>
      <c r="F499" s="1" t="s">
        <v>801</v>
      </c>
      <c r="G499" s="1" t="s">
        <v>804</v>
      </c>
      <c r="H499" s="1" t="s">
        <v>812</v>
      </c>
      <c r="I499" s="1" t="s">
        <v>809</v>
      </c>
      <c r="J499" s="1" t="s">
        <v>818</v>
      </c>
      <c r="K499" s="1" t="s">
        <v>822</v>
      </c>
      <c r="L499" s="1" t="s">
        <v>862</v>
      </c>
      <c r="M499" s="1">
        <v>7.73</v>
      </c>
      <c r="N499" s="1">
        <v>3290.55</v>
      </c>
      <c r="O499" s="1">
        <v>26789.040000000001</v>
      </c>
      <c r="P499" s="1">
        <v>0.14000000000000001</v>
      </c>
      <c r="Q499" s="1">
        <v>24732.31</v>
      </c>
      <c r="R499" s="1">
        <v>15451.28</v>
      </c>
      <c r="S499" s="1">
        <f t="shared" si="15"/>
        <v>9281.0300000000007</v>
      </c>
      <c r="T499" s="1" t="s">
        <v>874</v>
      </c>
      <c r="U499" s="1" t="s">
        <v>880</v>
      </c>
      <c r="V499" s="5" t="s">
        <v>882</v>
      </c>
    </row>
    <row r="500" spans="1:22" x14ac:dyDescent="0.3">
      <c r="A500" s="4" t="s">
        <v>212</v>
      </c>
      <c r="B500" s="3">
        <v>45479</v>
      </c>
      <c r="C500" s="1" t="str">
        <f t="shared" si="14"/>
        <v>July</v>
      </c>
      <c r="D500" s="1" t="s">
        <v>352</v>
      </c>
      <c r="E500" s="1" t="s">
        <v>695</v>
      </c>
      <c r="F500" s="1" t="s">
        <v>803</v>
      </c>
      <c r="G500" s="1" t="s">
        <v>807</v>
      </c>
      <c r="H500" s="1" t="s">
        <v>808</v>
      </c>
      <c r="I500" s="1" t="s">
        <v>814</v>
      </c>
      <c r="J500" s="1" t="s">
        <v>819</v>
      </c>
      <c r="K500" s="1" t="s">
        <v>821</v>
      </c>
      <c r="L500" s="1" t="s">
        <v>826</v>
      </c>
      <c r="M500" s="1">
        <v>5.19</v>
      </c>
      <c r="N500" s="1">
        <v>2716.36</v>
      </c>
      <c r="O500" s="1">
        <v>17077.419999999998</v>
      </c>
      <c r="P500" s="1">
        <v>0</v>
      </c>
      <c r="Q500" s="1">
        <v>18714.990000000002</v>
      </c>
      <c r="R500" s="1">
        <v>12161.36</v>
      </c>
      <c r="S500" s="1">
        <f t="shared" si="15"/>
        <v>6553.630000000001</v>
      </c>
      <c r="T500" s="1" t="s">
        <v>876</v>
      </c>
      <c r="U500" s="1" t="s">
        <v>881</v>
      </c>
      <c r="V500" s="5" t="s">
        <v>884</v>
      </c>
    </row>
    <row r="501" spans="1:22" x14ac:dyDescent="0.3">
      <c r="A501" s="4" t="s">
        <v>133</v>
      </c>
      <c r="B501" s="3">
        <v>45340</v>
      </c>
      <c r="C501" s="1" t="str">
        <f t="shared" si="14"/>
        <v>February</v>
      </c>
      <c r="D501" s="1" t="s">
        <v>388</v>
      </c>
      <c r="E501" s="1" t="s">
        <v>618</v>
      </c>
      <c r="F501" s="1" t="s">
        <v>801</v>
      </c>
      <c r="G501" s="1" t="s">
        <v>805</v>
      </c>
      <c r="H501" s="1" t="s">
        <v>812</v>
      </c>
      <c r="I501" s="1" t="s">
        <v>816</v>
      </c>
      <c r="J501" s="1" t="s">
        <v>819</v>
      </c>
      <c r="K501" s="1" t="s">
        <v>821</v>
      </c>
      <c r="L501" s="1" t="s">
        <v>865</v>
      </c>
      <c r="M501" s="1">
        <v>11.92</v>
      </c>
      <c r="N501" s="1">
        <v>1577</v>
      </c>
      <c r="O501" s="1">
        <v>15875.31</v>
      </c>
      <c r="P501" s="1">
        <v>0.14000000000000001</v>
      </c>
      <c r="Q501" s="1">
        <v>14754.63</v>
      </c>
      <c r="R501" s="1">
        <v>10770.34</v>
      </c>
      <c r="S501" s="1">
        <f t="shared" si="15"/>
        <v>3984.2899999999991</v>
      </c>
      <c r="T501" s="1" t="s">
        <v>874</v>
      </c>
      <c r="U501" s="1" t="s">
        <v>879</v>
      </c>
      <c r="V501" s="5" t="s">
        <v>884</v>
      </c>
    </row>
    <row r="502" spans="1:22" x14ac:dyDescent="0.3">
      <c r="A502" s="4" t="s">
        <v>266</v>
      </c>
      <c r="B502" s="3">
        <v>45479</v>
      </c>
      <c r="C502" s="1" t="str">
        <f t="shared" si="14"/>
        <v>July</v>
      </c>
      <c r="D502" s="1" t="s">
        <v>495</v>
      </c>
      <c r="E502" s="1" t="s">
        <v>749</v>
      </c>
      <c r="F502" s="1" t="s">
        <v>802</v>
      </c>
      <c r="G502" s="1" t="s">
        <v>806</v>
      </c>
      <c r="H502" s="1" t="s">
        <v>809</v>
      </c>
      <c r="I502" s="1" t="s">
        <v>809</v>
      </c>
      <c r="J502" s="1" t="s">
        <v>817</v>
      </c>
      <c r="K502" s="1" t="s">
        <v>820</v>
      </c>
      <c r="L502" s="1" t="s">
        <v>826</v>
      </c>
      <c r="M502" s="1">
        <v>5.34</v>
      </c>
      <c r="N502" s="1">
        <v>1645.03</v>
      </c>
      <c r="O502" s="1">
        <v>8742.23</v>
      </c>
      <c r="P502" s="1">
        <v>0.05</v>
      </c>
      <c r="Q502" s="1">
        <v>7900.81</v>
      </c>
      <c r="R502" s="1">
        <v>6926.25</v>
      </c>
      <c r="S502" s="1">
        <f t="shared" si="15"/>
        <v>974.5600000000004</v>
      </c>
      <c r="T502" s="1" t="s">
        <v>875</v>
      </c>
      <c r="U502" s="1" t="s">
        <v>880</v>
      </c>
      <c r="V502" s="5" t="s">
        <v>882</v>
      </c>
    </row>
    <row r="503" spans="1:22" x14ac:dyDescent="0.3">
      <c r="A503" s="4" t="s">
        <v>256</v>
      </c>
      <c r="B503" s="3">
        <v>45396</v>
      </c>
      <c r="C503" s="1" t="str">
        <f t="shared" si="14"/>
        <v>April</v>
      </c>
      <c r="D503" s="1" t="s">
        <v>372</v>
      </c>
      <c r="E503" s="1" t="s">
        <v>739</v>
      </c>
      <c r="F503" s="1" t="s">
        <v>802</v>
      </c>
      <c r="G503" s="1" t="s">
        <v>805</v>
      </c>
      <c r="H503" s="1" t="s">
        <v>810</v>
      </c>
      <c r="I503" s="1" t="s">
        <v>809</v>
      </c>
      <c r="J503" s="1" t="s">
        <v>818</v>
      </c>
      <c r="K503" s="1" t="s">
        <v>821</v>
      </c>
      <c r="L503" s="1" t="s">
        <v>855</v>
      </c>
      <c r="M503" s="1">
        <v>2.79</v>
      </c>
      <c r="N503" s="1">
        <v>1756</v>
      </c>
      <c r="O503" s="1">
        <v>5136.01</v>
      </c>
      <c r="P503" s="1">
        <v>0</v>
      </c>
      <c r="Q503" s="1">
        <v>4988.1400000000003</v>
      </c>
      <c r="R503" s="1">
        <v>3125.09</v>
      </c>
      <c r="S503" s="1">
        <f t="shared" si="15"/>
        <v>1863.0500000000002</v>
      </c>
      <c r="T503" s="1" t="s">
        <v>875</v>
      </c>
      <c r="U503" s="1" t="s">
        <v>878</v>
      </c>
      <c r="V503" s="5" t="s">
        <v>882</v>
      </c>
    </row>
    <row r="504" spans="1:22" x14ac:dyDescent="0.3">
      <c r="A504" s="4" t="s">
        <v>99</v>
      </c>
      <c r="B504" s="3">
        <v>45427</v>
      </c>
      <c r="C504" s="1" t="str">
        <f t="shared" si="14"/>
        <v>May</v>
      </c>
      <c r="D504" s="1" t="s">
        <v>458</v>
      </c>
      <c r="E504" s="1" t="s">
        <v>584</v>
      </c>
      <c r="F504" s="1" t="s">
        <v>802</v>
      </c>
      <c r="G504" s="1" t="s">
        <v>804</v>
      </c>
      <c r="H504" s="1" t="s">
        <v>812</v>
      </c>
      <c r="I504" s="1" t="s">
        <v>814</v>
      </c>
      <c r="J504" s="1" t="s">
        <v>818</v>
      </c>
      <c r="K504" s="1" t="s">
        <v>822</v>
      </c>
      <c r="L504" s="1" t="s">
        <v>855</v>
      </c>
      <c r="M504" s="1">
        <v>8.57</v>
      </c>
      <c r="N504" s="1">
        <v>598.36</v>
      </c>
      <c r="O504" s="1">
        <v>5192.01</v>
      </c>
      <c r="P504" s="1">
        <v>0.1</v>
      </c>
      <c r="Q504" s="1">
        <v>4851.59</v>
      </c>
      <c r="R504" s="1">
        <v>3437.96</v>
      </c>
      <c r="S504" s="1">
        <f t="shared" si="15"/>
        <v>1413.63</v>
      </c>
      <c r="T504" s="1" t="s">
        <v>874</v>
      </c>
      <c r="U504" s="1" t="s">
        <v>879</v>
      </c>
      <c r="V504" s="5" t="s">
        <v>884</v>
      </c>
    </row>
    <row r="505" spans="1:22" x14ac:dyDescent="0.3">
      <c r="A505" s="4" t="s">
        <v>27</v>
      </c>
      <c r="B505" s="3">
        <v>45489</v>
      </c>
      <c r="C505" s="1" t="str">
        <f t="shared" si="14"/>
        <v>July</v>
      </c>
      <c r="D505" s="1" t="s">
        <v>440</v>
      </c>
      <c r="E505" s="1" t="s">
        <v>512</v>
      </c>
      <c r="F505" s="1" t="s">
        <v>801</v>
      </c>
      <c r="G505" s="1" t="s">
        <v>804</v>
      </c>
      <c r="H505" s="1" t="s">
        <v>810</v>
      </c>
      <c r="I505" s="1" t="s">
        <v>815</v>
      </c>
      <c r="J505" s="1" t="s">
        <v>817</v>
      </c>
      <c r="K505" s="1" t="s">
        <v>821</v>
      </c>
      <c r="L505" s="1" t="s">
        <v>829</v>
      </c>
      <c r="M505" s="1">
        <v>6.71</v>
      </c>
      <c r="N505" s="1">
        <v>443.4</v>
      </c>
      <c r="O505" s="1">
        <v>2359.38</v>
      </c>
      <c r="P505" s="1">
        <v>0.14000000000000001</v>
      </c>
      <c r="Q505" s="1">
        <v>1927.08</v>
      </c>
      <c r="R505" s="1">
        <v>1767.89</v>
      </c>
      <c r="S505" s="1">
        <f t="shared" si="15"/>
        <v>159.18999999999983</v>
      </c>
      <c r="T505" s="1" t="s">
        <v>873</v>
      </c>
      <c r="U505" s="1" t="s">
        <v>878</v>
      </c>
      <c r="V505" s="5" t="s">
        <v>884</v>
      </c>
    </row>
    <row r="506" spans="1:22" x14ac:dyDescent="0.3">
      <c r="A506" s="4" t="s">
        <v>88</v>
      </c>
      <c r="B506" s="3">
        <v>45539</v>
      </c>
      <c r="C506" s="1" t="str">
        <f t="shared" si="14"/>
        <v>September</v>
      </c>
      <c r="D506" s="1" t="s">
        <v>413</v>
      </c>
      <c r="E506" s="1" t="s">
        <v>573</v>
      </c>
      <c r="F506" s="1" t="s">
        <v>802</v>
      </c>
      <c r="G506" s="1" t="s">
        <v>804</v>
      </c>
      <c r="H506" s="1" t="s">
        <v>810</v>
      </c>
      <c r="I506" s="1" t="s">
        <v>816</v>
      </c>
      <c r="J506" s="1" t="s">
        <v>818</v>
      </c>
      <c r="K506" s="1" t="s">
        <v>822</v>
      </c>
      <c r="L506" s="1" t="s">
        <v>858</v>
      </c>
      <c r="M506" s="1">
        <v>6.88</v>
      </c>
      <c r="N506" s="1">
        <v>809.1</v>
      </c>
      <c r="O506" s="1">
        <v>5480.11</v>
      </c>
      <c r="P506" s="1">
        <v>0.15</v>
      </c>
      <c r="Q506" s="1">
        <v>4077.27</v>
      </c>
      <c r="R506" s="1">
        <v>3484.81</v>
      </c>
      <c r="S506" s="1">
        <f t="shared" si="15"/>
        <v>592.46</v>
      </c>
      <c r="T506" s="1" t="s">
        <v>874</v>
      </c>
      <c r="U506" s="1" t="s">
        <v>879</v>
      </c>
      <c r="V506" s="5" t="s">
        <v>884</v>
      </c>
    </row>
    <row r="507" spans="1:22" x14ac:dyDescent="0.3">
      <c r="A507" s="4" t="s">
        <v>299</v>
      </c>
      <c r="B507" s="3">
        <v>45611</v>
      </c>
      <c r="C507" s="1" t="str">
        <f t="shared" si="14"/>
        <v>November</v>
      </c>
      <c r="D507" s="1" t="s">
        <v>417</v>
      </c>
      <c r="E507" s="1" t="s">
        <v>781</v>
      </c>
      <c r="F507" s="1" t="s">
        <v>801</v>
      </c>
      <c r="G507" s="1" t="s">
        <v>805</v>
      </c>
      <c r="H507" s="1" t="s">
        <v>809</v>
      </c>
      <c r="I507" s="1" t="s">
        <v>809</v>
      </c>
      <c r="J507" s="1" t="s">
        <v>818</v>
      </c>
      <c r="K507" s="1" t="s">
        <v>820</v>
      </c>
      <c r="L507" s="1" t="s">
        <v>837</v>
      </c>
      <c r="M507" s="1">
        <v>9.0500000000000007</v>
      </c>
      <c r="N507" s="1">
        <v>1919.59</v>
      </c>
      <c r="O507" s="1">
        <v>14847.93</v>
      </c>
      <c r="P507" s="1">
        <v>0.05</v>
      </c>
      <c r="Q507" s="1">
        <v>13914.91</v>
      </c>
      <c r="R507" s="1">
        <v>8090.98</v>
      </c>
      <c r="S507" s="1">
        <f t="shared" si="15"/>
        <v>5823.93</v>
      </c>
      <c r="T507" s="1" t="s">
        <v>873</v>
      </c>
      <c r="U507" s="1" t="s">
        <v>878</v>
      </c>
      <c r="V507" s="5" t="s">
        <v>883</v>
      </c>
    </row>
    <row r="508" spans="1:22" x14ac:dyDescent="0.3">
      <c r="A508" s="4" t="s">
        <v>285</v>
      </c>
      <c r="B508" s="3">
        <v>45522</v>
      </c>
      <c r="C508" s="1" t="str">
        <f t="shared" si="14"/>
        <v>August</v>
      </c>
      <c r="D508" s="1" t="s">
        <v>359</v>
      </c>
      <c r="E508" s="1" t="s">
        <v>768</v>
      </c>
      <c r="F508" s="1" t="s">
        <v>801</v>
      </c>
      <c r="G508" s="1" t="s">
        <v>806</v>
      </c>
      <c r="H508" s="1" t="s">
        <v>809</v>
      </c>
      <c r="I508" s="1" t="s">
        <v>814</v>
      </c>
      <c r="J508" s="1" t="s">
        <v>817</v>
      </c>
      <c r="K508" s="1" t="s">
        <v>821</v>
      </c>
      <c r="L508" s="1" t="s">
        <v>828</v>
      </c>
      <c r="M508" s="1">
        <v>1.02</v>
      </c>
      <c r="N508" s="1">
        <v>577.42999999999995</v>
      </c>
      <c r="O508" s="1">
        <v>521.34</v>
      </c>
      <c r="P508" s="1">
        <v>0.1</v>
      </c>
      <c r="Q508" s="1">
        <v>505.05</v>
      </c>
      <c r="R508" s="1">
        <v>304.88</v>
      </c>
      <c r="S508" s="1">
        <f t="shared" si="15"/>
        <v>200.17000000000002</v>
      </c>
      <c r="T508" s="1" t="s">
        <v>873</v>
      </c>
      <c r="U508" s="1" t="s">
        <v>877</v>
      </c>
      <c r="V508" s="5" t="s">
        <v>884</v>
      </c>
    </row>
    <row r="509" spans="1:22" x14ac:dyDescent="0.3">
      <c r="A509" s="4" t="s">
        <v>204</v>
      </c>
      <c r="B509" s="3">
        <v>45537</v>
      </c>
      <c r="C509" s="1" t="str">
        <f t="shared" si="14"/>
        <v>September</v>
      </c>
      <c r="D509" s="1" t="s">
        <v>361</v>
      </c>
      <c r="E509" s="1" t="s">
        <v>688</v>
      </c>
      <c r="F509" s="1" t="s">
        <v>801</v>
      </c>
      <c r="G509" s="1" t="s">
        <v>806</v>
      </c>
      <c r="H509" s="1" t="s">
        <v>812</v>
      </c>
      <c r="I509" s="1" t="s">
        <v>809</v>
      </c>
      <c r="J509" s="1" t="s">
        <v>818</v>
      </c>
      <c r="K509" s="1" t="s">
        <v>820</v>
      </c>
      <c r="L509" s="1" t="s">
        <v>842</v>
      </c>
      <c r="M509" s="1">
        <v>4.3099999999999996</v>
      </c>
      <c r="N509" s="1">
        <v>2450.5300000000002</v>
      </c>
      <c r="O509" s="1">
        <v>10098.35</v>
      </c>
      <c r="P509" s="1">
        <v>0</v>
      </c>
      <c r="Q509" s="1">
        <v>9672.84</v>
      </c>
      <c r="R509" s="1">
        <v>6334.57</v>
      </c>
      <c r="S509" s="1">
        <f t="shared" si="15"/>
        <v>3338.2700000000004</v>
      </c>
      <c r="T509" s="1" t="s">
        <v>873</v>
      </c>
      <c r="U509" s="1" t="s">
        <v>879</v>
      </c>
      <c r="V509" s="5" t="s">
        <v>882</v>
      </c>
    </row>
    <row r="510" spans="1:22" x14ac:dyDescent="0.3">
      <c r="A510" s="4" t="s">
        <v>86</v>
      </c>
      <c r="B510" s="3">
        <v>45554</v>
      </c>
      <c r="C510" s="1" t="str">
        <f t="shared" si="14"/>
        <v>September</v>
      </c>
      <c r="D510" s="1" t="s">
        <v>389</v>
      </c>
      <c r="E510" s="1" t="s">
        <v>571</v>
      </c>
      <c r="F510" s="1" t="s">
        <v>803</v>
      </c>
      <c r="G510" s="1" t="s">
        <v>807</v>
      </c>
      <c r="H510" s="1" t="s">
        <v>810</v>
      </c>
      <c r="I510" s="1" t="s">
        <v>809</v>
      </c>
      <c r="J510" s="1" t="s">
        <v>819</v>
      </c>
      <c r="K510" s="1" t="s">
        <v>822</v>
      </c>
      <c r="L510" s="1" t="s">
        <v>838</v>
      </c>
      <c r="M510" s="1">
        <v>3.3</v>
      </c>
      <c r="N510" s="1">
        <v>1726.47</v>
      </c>
      <c r="O510" s="1">
        <v>5800.02</v>
      </c>
      <c r="P510" s="1">
        <v>0.1</v>
      </c>
      <c r="Q510" s="1">
        <v>5140.2</v>
      </c>
      <c r="R510" s="1">
        <v>3525.94</v>
      </c>
      <c r="S510" s="1">
        <f t="shared" si="15"/>
        <v>1614.2599999999998</v>
      </c>
      <c r="T510" s="1" t="s">
        <v>876</v>
      </c>
      <c r="U510" s="1" t="s">
        <v>880</v>
      </c>
      <c r="V510" s="5" t="s">
        <v>884</v>
      </c>
    </row>
    <row r="511" spans="1:22" x14ac:dyDescent="0.3">
      <c r="A511" s="4" t="s">
        <v>198</v>
      </c>
      <c r="B511" s="3">
        <v>45499</v>
      </c>
      <c r="C511" s="1" t="str">
        <f t="shared" si="14"/>
        <v>July</v>
      </c>
      <c r="D511" s="1" t="s">
        <v>480</v>
      </c>
      <c r="E511" s="1" t="s">
        <v>682</v>
      </c>
      <c r="F511" s="1" t="s">
        <v>803</v>
      </c>
      <c r="G511" s="1" t="s">
        <v>804</v>
      </c>
      <c r="H511" s="1" t="s">
        <v>809</v>
      </c>
      <c r="I511" s="1" t="s">
        <v>815</v>
      </c>
      <c r="J511" s="1" t="s">
        <v>819</v>
      </c>
      <c r="K511" s="1" t="s">
        <v>820</v>
      </c>
      <c r="L511" s="1" t="s">
        <v>866</v>
      </c>
      <c r="M511" s="1">
        <v>3.85</v>
      </c>
      <c r="N511" s="1">
        <v>721.22</v>
      </c>
      <c r="O511" s="1">
        <v>3184.62</v>
      </c>
      <c r="P511" s="1">
        <v>0.1</v>
      </c>
      <c r="Q511" s="1">
        <v>2928.19</v>
      </c>
      <c r="R511" s="1">
        <v>1625.37</v>
      </c>
      <c r="S511" s="1">
        <f t="shared" si="15"/>
        <v>1302.8200000000002</v>
      </c>
      <c r="T511" s="1" t="s">
        <v>874</v>
      </c>
      <c r="U511" s="1" t="s">
        <v>878</v>
      </c>
      <c r="V511" s="5" t="s">
        <v>882</v>
      </c>
    </row>
    <row r="512" spans="1:22" x14ac:dyDescent="0.3">
      <c r="A512" s="4" t="s">
        <v>62</v>
      </c>
      <c r="B512" s="3">
        <v>45453</v>
      </c>
      <c r="C512" s="1" t="str">
        <f t="shared" si="14"/>
        <v>June</v>
      </c>
      <c r="D512" s="1" t="s">
        <v>449</v>
      </c>
      <c r="E512" s="1" t="s">
        <v>547</v>
      </c>
      <c r="F512" s="1" t="s">
        <v>803</v>
      </c>
      <c r="G512" s="1" t="s">
        <v>804</v>
      </c>
      <c r="H512" s="1" t="s">
        <v>812</v>
      </c>
      <c r="I512" s="1" t="s">
        <v>815</v>
      </c>
      <c r="J512" s="1" t="s">
        <v>819</v>
      </c>
      <c r="K512" s="1" t="s">
        <v>820</v>
      </c>
      <c r="L512" s="1" t="s">
        <v>832</v>
      </c>
      <c r="M512" s="1">
        <v>6.38</v>
      </c>
      <c r="N512" s="1">
        <v>352.97</v>
      </c>
      <c r="O512" s="1">
        <v>2189.7199999999998</v>
      </c>
      <c r="P512" s="1">
        <v>0.1</v>
      </c>
      <c r="Q512" s="1">
        <v>2319.23</v>
      </c>
      <c r="R512" s="1">
        <v>1676.89</v>
      </c>
      <c r="S512" s="1">
        <f t="shared" si="15"/>
        <v>642.33999999999992</v>
      </c>
      <c r="T512" s="1" t="s">
        <v>873</v>
      </c>
      <c r="U512" s="1" t="s">
        <v>881</v>
      </c>
      <c r="V512" s="5" t="s">
        <v>882</v>
      </c>
    </row>
    <row r="513" spans="1:22" x14ac:dyDescent="0.3">
      <c r="A513" s="4" t="s">
        <v>280</v>
      </c>
      <c r="B513" s="3">
        <v>45592</v>
      </c>
      <c r="C513" s="1" t="str">
        <f t="shared" si="14"/>
        <v>October</v>
      </c>
      <c r="D513" s="1" t="s">
        <v>497</v>
      </c>
      <c r="E513" s="1" t="s">
        <v>763</v>
      </c>
      <c r="F513" s="1" t="s">
        <v>802</v>
      </c>
      <c r="G513" s="1" t="s">
        <v>806</v>
      </c>
      <c r="H513" s="1" t="s">
        <v>812</v>
      </c>
      <c r="I513" s="1" t="s">
        <v>814</v>
      </c>
      <c r="J513" s="1" t="s">
        <v>817</v>
      </c>
      <c r="K513" s="1" t="s">
        <v>822</v>
      </c>
      <c r="L513" s="1" t="s">
        <v>846</v>
      </c>
      <c r="M513" s="1">
        <v>9.2899999999999991</v>
      </c>
      <c r="N513" s="1">
        <v>577.27</v>
      </c>
      <c r="O513" s="1">
        <v>5301.31</v>
      </c>
      <c r="P513" s="1">
        <v>0.14000000000000001</v>
      </c>
      <c r="Q513" s="1">
        <v>4411.58</v>
      </c>
      <c r="R513" s="1">
        <v>2670.56</v>
      </c>
      <c r="S513" s="1">
        <f t="shared" si="15"/>
        <v>1741.02</v>
      </c>
      <c r="T513" s="1" t="s">
        <v>873</v>
      </c>
      <c r="U513" s="1" t="s">
        <v>877</v>
      </c>
      <c r="V513" s="5" t="s">
        <v>883</v>
      </c>
    </row>
    <row r="514" spans="1:22" x14ac:dyDescent="0.3">
      <c r="A514" s="4" t="s">
        <v>41</v>
      </c>
      <c r="B514" s="3">
        <v>45419</v>
      </c>
      <c r="C514" s="1" t="str">
        <f t="shared" ref="C514:C577" si="16">TEXT(B514,"MMMM")</f>
        <v>May</v>
      </c>
      <c r="D514" s="1" t="s">
        <v>326</v>
      </c>
      <c r="E514" s="1" t="s">
        <v>526</v>
      </c>
      <c r="F514" s="1" t="s">
        <v>803</v>
      </c>
      <c r="G514" s="1" t="s">
        <v>805</v>
      </c>
      <c r="H514" s="1" t="s">
        <v>812</v>
      </c>
      <c r="I514" s="1" t="s">
        <v>814</v>
      </c>
      <c r="J514" s="1" t="s">
        <v>818</v>
      </c>
      <c r="K514" s="1" t="s">
        <v>821</v>
      </c>
      <c r="L514" s="1" t="s">
        <v>842</v>
      </c>
      <c r="M514" s="1">
        <v>5.2</v>
      </c>
      <c r="N514" s="1">
        <v>523.83000000000004</v>
      </c>
      <c r="O514" s="1">
        <v>2600.64</v>
      </c>
      <c r="P514" s="1">
        <v>0</v>
      </c>
      <c r="Q514" s="1">
        <v>2645.27</v>
      </c>
      <c r="R514" s="1">
        <v>2002.67</v>
      </c>
      <c r="S514" s="1">
        <f t="shared" ref="S514:S577" si="17">Q514-R514</f>
        <v>642.59999999999991</v>
      </c>
      <c r="T514" s="1" t="s">
        <v>875</v>
      </c>
      <c r="U514" s="1" t="s">
        <v>879</v>
      </c>
      <c r="V514" s="5" t="s">
        <v>884</v>
      </c>
    </row>
    <row r="515" spans="1:22" x14ac:dyDescent="0.3">
      <c r="A515" s="4" t="s">
        <v>106</v>
      </c>
      <c r="B515" s="3">
        <v>45536</v>
      </c>
      <c r="C515" s="1" t="str">
        <f t="shared" si="16"/>
        <v>September</v>
      </c>
      <c r="D515" s="1" t="s">
        <v>341</v>
      </c>
      <c r="E515" s="1" t="s">
        <v>591</v>
      </c>
      <c r="F515" s="1" t="s">
        <v>803</v>
      </c>
      <c r="G515" s="1" t="s">
        <v>805</v>
      </c>
      <c r="H515" s="1" t="s">
        <v>810</v>
      </c>
      <c r="I515" s="1" t="s">
        <v>813</v>
      </c>
      <c r="J515" s="1" t="s">
        <v>817</v>
      </c>
      <c r="K515" s="1" t="s">
        <v>822</v>
      </c>
      <c r="L515" s="1" t="s">
        <v>830</v>
      </c>
      <c r="M515" s="1">
        <v>8.36</v>
      </c>
      <c r="N515" s="1">
        <v>413.61</v>
      </c>
      <c r="O515" s="1">
        <v>3703.1</v>
      </c>
      <c r="P515" s="1">
        <v>0.14000000000000001</v>
      </c>
      <c r="Q515" s="1">
        <v>3123.29</v>
      </c>
      <c r="R515" s="1">
        <v>2628.08</v>
      </c>
      <c r="S515" s="1">
        <f t="shared" si="17"/>
        <v>495.21000000000004</v>
      </c>
      <c r="T515" s="1" t="s">
        <v>876</v>
      </c>
      <c r="U515" s="1" t="s">
        <v>877</v>
      </c>
      <c r="V515" s="5" t="s">
        <v>884</v>
      </c>
    </row>
    <row r="516" spans="1:22" x14ac:dyDescent="0.3">
      <c r="A516" s="4" t="s">
        <v>211</v>
      </c>
      <c r="B516" s="3">
        <v>45482</v>
      </c>
      <c r="C516" s="1" t="str">
        <f t="shared" si="16"/>
        <v>July</v>
      </c>
      <c r="D516" s="1" t="s">
        <v>484</v>
      </c>
      <c r="E516" s="1" t="s">
        <v>694</v>
      </c>
      <c r="F516" s="1" t="s">
        <v>802</v>
      </c>
      <c r="G516" s="1" t="s">
        <v>806</v>
      </c>
      <c r="H516" s="1" t="s">
        <v>811</v>
      </c>
      <c r="I516" s="1" t="s">
        <v>809</v>
      </c>
      <c r="J516" s="1" t="s">
        <v>818</v>
      </c>
      <c r="K516" s="1" t="s">
        <v>820</v>
      </c>
      <c r="L516" s="1" t="s">
        <v>860</v>
      </c>
      <c r="M516" s="1">
        <v>1.03</v>
      </c>
      <c r="N516" s="1">
        <v>2617.77</v>
      </c>
      <c r="O516" s="1">
        <v>2241.4299999999998</v>
      </c>
      <c r="P516" s="1">
        <v>0.05</v>
      </c>
      <c r="Q516" s="1">
        <v>2593.4</v>
      </c>
      <c r="R516" s="1">
        <v>1867.92</v>
      </c>
      <c r="S516" s="1">
        <f t="shared" si="17"/>
        <v>725.48</v>
      </c>
      <c r="T516" s="1" t="s">
        <v>876</v>
      </c>
      <c r="U516" s="1" t="s">
        <v>879</v>
      </c>
      <c r="V516" s="5" t="s">
        <v>882</v>
      </c>
    </row>
    <row r="517" spans="1:22" x14ac:dyDescent="0.3">
      <c r="A517" s="4" t="s">
        <v>177</v>
      </c>
      <c r="B517" s="3">
        <v>45326</v>
      </c>
      <c r="C517" s="1" t="str">
        <f t="shared" si="16"/>
        <v>February</v>
      </c>
      <c r="D517" s="1" t="s">
        <v>476</v>
      </c>
      <c r="E517" s="1" t="s">
        <v>661</v>
      </c>
      <c r="F517" s="1" t="s">
        <v>803</v>
      </c>
      <c r="G517" s="1" t="s">
        <v>805</v>
      </c>
      <c r="H517" s="1" t="s">
        <v>811</v>
      </c>
      <c r="I517" s="1" t="s">
        <v>816</v>
      </c>
      <c r="J517" s="1" t="s">
        <v>819</v>
      </c>
      <c r="K517" s="1" t="s">
        <v>821</v>
      </c>
      <c r="L517" s="1" t="s">
        <v>870</v>
      </c>
      <c r="M517" s="1">
        <v>3.93</v>
      </c>
      <c r="N517" s="1">
        <v>725.42</v>
      </c>
      <c r="O517" s="1">
        <v>3031.95</v>
      </c>
      <c r="P517" s="1">
        <v>0.09</v>
      </c>
      <c r="Q517" s="1">
        <v>2586.1999999999998</v>
      </c>
      <c r="R517" s="1">
        <v>1811.94</v>
      </c>
      <c r="S517" s="1">
        <f t="shared" si="17"/>
        <v>774.25999999999976</v>
      </c>
      <c r="T517" s="1" t="s">
        <v>874</v>
      </c>
      <c r="U517" s="1" t="s">
        <v>881</v>
      </c>
      <c r="V517" s="5" t="s">
        <v>883</v>
      </c>
    </row>
    <row r="518" spans="1:22" x14ac:dyDescent="0.3">
      <c r="A518" s="4" t="s">
        <v>138</v>
      </c>
      <c r="B518" s="3">
        <v>45559</v>
      </c>
      <c r="C518" s="1" t="str">
        <f t="shared" si="16"/>
        <v>September</v>
      </c>
      <c r="D518" s="1" t="s">
        <v>441</v>
      </c>
      <c r="E518" s="1" t="s">
        <v>623</v>
      </c>
      <c r="F518" s="1" t="s">
        <v>801</v>
      </c>
      <c r="G518" s="1" t="s">
        <v>804</v>
      </c>
      <c r="H518" s="1" t="s">
        <v>809</v>
      </c>
      <c r="I518" s="1" t="s">
        <v>816</v>
      </c>
      <c r="J518" s="1" t="s">
        <v>818</v>
      </c>
      <c r="K518" s="1" t="s">
        <v>821</v>
      </c>
      <c r="L518" s="1" t="s">
        <v>864</v>
      </c>
      <c r="M518" s="1">
        <v>2.0699999999999998</v>
      </c>
      <c r="N518" s="1">
        <v>2940.2</v>
      </c>
      <c r="O518" s="1">
        <v>5815.92</v>
      </c>
      <c r="P518" s="1">
        <v>0.16</v>
      </c>
      <c r="Q518" s="1">
        <v>4754.8999999999996</v>
      </c>
      <c r="R518" s="1">
        <v>3718.91</v>
      </c>
      <c r="S518" s="1">
        <f t="shared" si="17"/>
        <v>1035.9899999999998</v>
      </c>
      <c r="T518" s="1" t="s">
        <v>875</v>
      </c>
      <c r="U518" s="1" t="s">
        <v>878</v>
      </c>
      <c r="V518" s="5" t="s">
        <v>884</v>
      </c>
    </row>
    <row r="519" spans="1:22" x14ac:dyDescent="0.3">
      <c r="A519" s="4" t="s">
        <v>44</v>
      </c>
      <c r="B519" s="3">
        <v>45375</v>
      </c>
      <c r="C519" s="1" t="str">
        <f t="shared" si="16"/>
        <v>March</v>
      </c>
      <c r="D519" s="1" t="s">
        <v>431</v>
      </c>
      <c r="E519" s="1" t="s">
        <v>529</v>
      </c>
      <c r="F519" s="1" t="s">
        <v>801</v>
      </c>
      <c r="G519" s="1" t="s">
        <v>805</v>
      </c>
      <c r="H519" s="1" t="s">
        <v>810</v>
      </c>
      <c r="I519" s="1" t="s">
        <v>815</v>
      </c>
      <c r="J519" s="1" t="s">
        <v>819</v>
      </c>
      <c r="K519" s="1" t="s">
        <v>820</v>
      </c>
      <c r="L519" s="1" t="s">
        <v>843</v>
      </c>
      <c r="M519" s="1">
        <v>3.94</v>
      </c>
      <c r="N519" s="1">
        <v>920.01</v>
      </c>
      <c r="O519" s="1">
        <v>3799.98</v>
      </c>
      <c r="P519" s="1">
        <v>0.14000000000000001</v>
      </c>
      <c r="Q519" s="1">
        <v>2838.29</v>
      </c>
      <c r="R519" s="1">
        <v>2470.5700000000002</v>
      </c>
      <c r="S519" s="1">
        <f t="shared" si="17"/>
        <v>367.7199999999998</v>
      </c>
      <c r="T519" s="1" t="s">
        <v>874</v>
      </c>
      <c r="U519" s="1" t="s">
        <v>877</v>
      </c>
      <c r="V519" s="5" t="s">
        <v>884</v>
      </c>
    </row>
    <row r="520" spans="1:22" x14ac:dyDescent="0.3">
      <c r="A520" s="4" t="s">
        <v>80</v>
      </c>
      <c r="B520" s="3">
        <v>45426</v>
      </c>
      <c r="C520" s="1" t="str">
        <f t="shared" si="16"/>
        <v>May</v>
      </c>
      <c r="D520" s="1" t="s">
        <v>454</v>
      </c>
      <c r="E520" s="1" t="s">
        <v>565</v>
      </c>
      <c r="F520" s="1" t="s">
        <v>803</v>
      </c>
      <c r="G520" s="1" t="s">
        <v>806</v>
      </c>
      <c r="H520" s="1" t="s">
        <v>809</v>
      </c>
      <c r="I520" s="1" t="s">
        <v>816</v>
      </c>
      <c r="J520" s="1" t="s">
        <v>818</v>
      </c>
      <c r="K520" s="1" t="s">
        <v>822</v>
      </c>
      <c r="L520" s="1" t="s">
        <v>857</v>
      </c>
      <c r="M520" s="1">
        <v>11.74</v>
      </c>
      <c r="N520" s="1">
        <v>2585.9299999999998</v>
      </c>
      <c r="O520" s="1">
        <v>30494.02</v>
      </c>
      <c r="P520" s="1">
        <v>0.1</v>
      </c>
      <c r="Q520" s="1">
        <v>28905</v>
      </c>
      <c r="R520" s="1">
        <v>19271.330000000002</v>
      </c>
      <c r="S520" s="1">
        <f t="shared" si="17"/>
        <v>9633.6699999999983</v>
      </c>
      <c r="T520" s="1" t="s">
        <v>873</v>
      </c>
      <c r="U520" s="1" t="s">
        <v>879</v>
      </c>
      <c r="V520" s="5" t="s">
        <v>884</v>
      </c>
    </row>
    <row r="521" spans="1:22" x14ac:dyDescent="0.3">
      <c r="A521" s="4" t="s">
        <v>207</v>
      </c>
      <c r="B521" s="3">
        <v>45362</v>
      </c>
      <c r="C521" s="1" t="str">
        <f t="shared" si="16"/>
        <v>March</v>
      </c>
      <c r="D521" s="1" t="s">
        <v>483</v>
      </c>
      <c r="E521" s="1" t="s">
        <v>691</v>
      </c>
      <c r="F521" s="1" t="s">
        <v>802</v>
      </c>
      <c r="G521" s="1" t="s">
        <v>805</v>
      </c>
      <c r="H521" s="1" t="s">
        <v>809</v>
      </c>
      <c r="I521" s="1" t="s">
        <v>813</v>
      </c>
      <c r="J521" s="1" t="s">
        <v>818</v>
      </c>
      <c r="K521" s="1" t="s">
        <v>821</v>
      </c>
      <c r="L521" s="1" t="s">
        <v>831</v>
      </c>
      <c r="M521" s="1">
        <v>5.68</v>
      </c>
      <c r="N521" s="1">
        <v>1951.32</v>
      </c>
      <c r="O521" s="1">
        <v>11977.3</v>
      </c>
      <c r="P521" s="1">
        <v>0</v>
      </c>
      <c r="Q521" s="1">
        <v>11429.4</v>
      </c>
      <c r="R521" s="1">
        <v>9386.31</v>
      </c>
      <c r="S521" s="1">
        <f t="shared" si="17"/>
        <v>2043.0900000000001</v>
      </c>
      <c r="T521" s="1" t="s">
        <v>873</v>
      </c>
      <c r="U521" s="1" t="s">
        <v>879</v>
      </c>
      <c r="V521" s="5" t="s">
        <v>883</v>
      </c>
    </row>
    <row r="522" spans="1:22" x14ac:dyDescent="0.3">
      <c r="A522" s="4" t="s">
        <v>88</v>
      </c>
      <c r="B522" s="3">
        <v>45539</v>
      </c>
      <c r="C522" s="1" t="str">
        <f t="shared" si="16"/>
        <v>September</v>
      </c>
      <c r="D522" s="1" t="s">
        <v>413</v>
      </c>
      <c r="E522" s="1" t="s">
        <v>573</v>
      </c>
      <c r="F522" s="1" t="s">
        <v>802</v>
      </c>
      <c r="G522" s="1" t="s">
        <v>804</v>
      </c>
      <c r="H522" s="1" t="s">
        <v>810</v>
      </c>
      <c r="I522" s="1" t="s">
        <v>816</v>
      </c>
      <c r="J522" s="1" t="s">
        <v>818</v>
      </c>
      <c r="K522" s="1" t="s">
        <v>822</v>
      </c>
      <c r="L522" s="1" t="s">
        <v>858</v>
      </c>
      <c r="M522" s="1">
        <v>7.06</v>
      </c>
      <c r="N522" s="1">
        <v>739.91</v>
      </c>
      <c r="O522" s="1">
        <v>5519.21</v>
      </c>
      <c r="P522" s="1">
        <v>0.17</v>
      </c>
      <c r="Q522" s="1">
        <v>4262.12</v>
      </c>
      <c r="R522" s="1">
        <v>3548.57</v>
      </c>
      <c r="S522" s="1">
        <f t="shared" si="17"/>
        <v>713.54999999999973</v>
      </c>
      <c r="T522" s="1" t="s">
        <v>874</v>
      </c>
      <c r="U522" s="1" t="s">
        <v>879</v>
      </c>
      <c r="V522" s="5" t="s">
        <v>884</v>
      </c>
    </row>
    <row r="523" spans="1:22" x14ac:dyDescent="0.3">
      <c r="A523" s="4" t="s">
        <v>205</v>
      </c>
      <c r="B523" s="3">
        <v>45516</v>
      </c>
      <c r="C523" s="1" t="str">
        <f t="shared" si="16"/>
        <v>August</v>
      </c>
      <c r="D523" s="1" t="s">
        <v>482</v>
      </c>
      <c r="E523" s="1" t="s">
        <v>689</v>
      </c>
      <c r="F523" s="1" t="s">
        <v>801</v>
      </c>
      <c r="G523" s="1" t="s">
        <v>807</v>
      </c>
      <c r="H523" s="1" t="s">
        <v>809</v>
      </c>
      <c r="I523" s="1" t="s">
        <v>816</v>
      </c>
      <c r="J523" s="1" t="s">
        <v>818</v>
      </c>
      <c r="K523" s="1" t="s">
        <v>821</v>
      </c>
      <c r="L523" s="1" t="s">
        <v>836</v>
      </c>
      <c r="M523" s="1">
        <v>11.79</v>
      </c>
      <c r="N523" s="1">
        <v>3494.35</v>
      </c>
      <c r="O523" s="1">
        <v>37123.22</v>
      </c>
      <c r="P523" s="1">
        <v>0.05</v>
      </c>
      <c r="Q523" s="1">
        <v>36797.75</v>
      </c>
      <c r="R523" s="1">
        <v>27196.84</v>
      </c>
      <c r="S523" s="1">
        <f t="shared" si="17"/>
        <v>9600.91</v>
      </c>
      <c r="T523" s="1" t="s">
        <v>875</v>
      </c>
      <c r="U523" s="1" t="s">
        <v>878</v>
      </c>
      <c r="V523" s="5" t="s">
        <v>882</v>
      </c>
    </row>
    <row r="524" spans="1:22" x14ac:dyDescent="0.3">
      <c r="A524" s="4" t="s">
        <v>211</v>
      </c>
      <c r="B524" s="3">
        <v>45482</v>
      </c>
      <c r="C524" s="1" t="str">
        <f t="shared" si="16"/>
        <v>July</v>
      </c>
      <c r="D524" s="1" t="s">
        <v>484</v>
      </c>
      <c r="E524" s="1" t="s">
        <v>694</v>
      </c>
      <c r="F524" s="1" t="s">
        <v>802</v>
      </c>
      <c r="G524" s="1" t="s">
        <v>806</v>
      </c>
      <c r="H524" s="1" t="s">
        <v>811</v>
      </c>
      <c r="I524" s="1" t="s">
        <v>809</v>
      </c>
      <c r="J524" s="1" t="s">
        <v>818</v>
      </c>
      <c r="K524" s="1" t="s">
        <v>820</v>
      </c>
      <c r="L524" s="1" t="s">
        <v>860</v>
      </c>
      <c r="M524" s="1">
        <v>1</v>
      </c>
      <c r="N524" s="1">
        <v>2561.9699999999998</v>
      </c>
      <c r="O524" s="1">
        <v>2414.38</v>
      </c>
      <c r="P524" s="1">
        <v>0.05</v>
      </c>
      <c r="Q524" s="1">
        <v>2653.88</v>
      </c>
      <c r="R524" s="1">
        <v>1948.73</v>
      </c>
      <c r="S524" s="1">
        <f t="shared" si="17"/>
        <v>705.15000000000009</v>
      </c>
      <c r="T524" s="1" t="s">
        <v>876</v>
      </c>
      <c r="U524" s="1" t="s">
        <v>879</v>
      </c>
      <c r="V524" s="5" t="s">
        <v>882</v>
      </c>
    </row>
    <row r="525" spans="1:22" x14ac:dyDescent="0.3">
      <c r="A525" s="4" t="s">
        <v>256</v>
      </c>
      <c r="B525" s="3">
        <v>45396</v>
      </c>
      <c r="C525" s="1" t="str">
        <f t="shared" si="16"/>
        <v>April</v>
      </c>
      <c r="D525" s="1" t="s">
        <v>372</v>
      </c>
      <c r="E525" s="1" t="s">
        <v>739</v>
      </c>
      <c r="F525" s="1" t="s">
        <v>802</v>
      </c>
      <c r="G525" s="1" t="s">
        <v>805</v>
      </c>
      <c r="H525" s="1" t="s">
        <v>810</v>
      </c>
      <c r="I525" s="1" t="s">
        <v>809</v>
      </c>
      <c r="J525" s="1" t="s">
        <v>818</v>
      </c>
      <c r="K525" s="1" t="s">
        <v>821</v>
      </c>
      <c r="L525" s="1" t="s">
        <v>855</v>
      </c>
      <c r="M525" s="1">
        <v>2.81</v>
      </c>
      <c r="N525" s="1">
        <v>1722.67</v>
      </c>
      <c r="O525" s="1">
        <v>4934.62</v>
      </c>
      <c r="P525" s="1">
        <v>0</v>
      </c>
      <c r="Q525" s="1">
        <v>5292.21</v>
      </c>
      <c r="R525" s="1">
        <v>2911.33</v>
      </c>
      <c r="S525" s="1">
        <f t="shared" si="17"/>
        <v>2380.88</v>
      </c>
      <c r="T525" s="1" t="s">
        <v>875</v>
      </c>
      <c r="U525" s="1" t="s">
        <v>878</v>
      </c>
      <c r="V525" s="5" t="s">
        <v>882</v>
      </c>
    </row>
    <row r="526" spans="1:22" x14ac:dyDescent="0.3">
      <c r="A526" s="4" t="s">
        <v>168</v>
      </c>
      <c r="B526" s="3">
        <v>45377</v>
      </c>
      <c r="C526" s="1" t="str">
        <f t="shared" si="16"/>
        <v>March</v>
      </c>
      <c r="D526" s="1" t="s">
        <v>402</v>
      </c>
      <c r="E526" s="1" t="s">
        <v>653</v>
      </c>
      <c r="F526" s="1" t="s">
        <v>803</v>
      </c>
      <c r="G526" s="1" t="s">
        <v>805</v>
      </c>
      <c r="H526" s="1" t="s">
        <v>809</v>
      </c>
      <c r="I526" s="1" t="s">
        <v>814</v>
      </c>
      <c r="J526" s="1" t="s">
        <v>817</v>
      </c>
      <c r="K526" s="1" t="s">
        <v>822</v>
      </c>
      <c r="L526" s="1" t="s">
        <v>858</v>
      </c>
      <c r="M526" s="1">
        <v>1.01</v>
      </c>
      <c r="N526" s="1">
        <v>2306.9499999999998</v>
      </c>
      <c r="O526" s="1">
        <v>2309.7600000000002</v>
      </c>
      <c r="P526" s="1">
        <v>0.1</v>
      </c>
      <c r="Q526" s="1">
        <v>1940.55</v>
      </c>
      <c r="R526" s="1">
        <v>1172.8699999999999</v>
      </c>
      <c r="S526" s="1">
        <f t="shared" si="17"/>
        <v>767.68000000000006</v>
      </c>
      <c r="T526" s="1" t="s">
        <v>874</v>
      </c>
      <c r="U526" s="1" t="s">
        <v>879</v>
      </c>
      <c r="V526" s="5" t="s">
        <v>882</v>
      </c>
    </row>
    <row r="527" spans="1:22" x14ac:dyDescent="0.3">
      <c r="A527" s="4" t="s">
        <v>211</v>
      </c>
      <c r="B527" s="3">
        <v>45482</v>
      </c>
      <c r="C527" s="1" t="str">
        <f t="shared" si="16"/>
        <v>July</v>
      </c>
      <c r="D527" s="1" t="s">
        <v>484</v>
      </c>
      <c r="E527" s="1" t="s">
        <v>694</v>
      </c>
      <c r="F527" s="1" t="s">
        <v>802</v>
      </c>
      <c r="G527" s="1" t="s">
        <v>806</v>
      </c>
      <c r="H527" s="1" t="s">
        <v>811</v>
      </c>
      <c r="I527" s="1" t="s">
        <v>809</v>
      </c>
      <c r="J527" s="1" t="s">
        <v>818</v>
      </c>
      <c r="K527" s="1" t="s">
        <v>820</v>
      </c>
      <c r="L527" s="1" t="s">
        <v>860</v>
      </c>
      <c r="M527" s="1">
        <v>1.05</v>
      </c>
      <c r="N527" s="1">
        <v>2309.23</v>
      </c>
      <c r="O527" s="1">
        <v>2573.3000000000002</v>
      </c>
      <c r="P527" s="1">
        <v>0.05</v>
      </c>
      <c r="Q527" s="1">
        <v>2853.72</v>
      </c>
      <c r="R527" s="1">
        <v>1764.92</v>
      </c>
      <c r="S527" s="1">
        <f t="shared" si="17"/>
        <v>1088.7999999999997</v>
      </c>
      <c r="T527" s="1" t="s">
        <v>876</v>
      </c>
      <c r="U527" s="1" t="s">
        <v>879</v>
      </c>
      <c r="V527" s="5" t="s">
        <v>882</v>
      </c>
    </row>
    <row r="528" spans="1:22" x14ac:dyDescent="0.3">
      <c r="A528" s="4" t="s">
        <v>181</v>
      </c>
      <c r="B528" s="3">
        <v>45552</v>
      </c>
      <c r="C528" s="1" t="str">
        <f t="shared" si="16"/>
        <v>September</v>
      </c>
      <c r="D528" s="1" t="s">
        <v>398</v>
      </c>
      <c r="E528" s="1" t="s">
        <v>665</v>
      </c>
      <c r="F528" s="1" t="s">
        <v>801</v>
      </c>
      <c r="G528" s="1" t="s">
        <v>805</v>
      </c>
      <c r="H528" s="1" t="s">
        <v>809</v>
      </c>
      <c r="I528" s="1" t="s">
        <v>809</v>
      </c>
      <c r="J528" s="1" t="s">
        <v>818</v>
      </c>
      <c r="K528" s="1" t="s">
        <v>821</v>
      </c>
      <c r="L528" s="1" t="s">
        <v>827</v>
      </c>
      <c r="M528" s="1">
        <v>1</v>
      </c>
      <c r="N528" s="1">
        <v>660.53</v>
      </c>
      <c r="O528" s="1">
        <v>704.33</v>
      </c>
      <c r="P528" s="1">
        <v>0.05</v>
      </c>
      <c r="Q528" s="1">
        <v>705.16</v>
      </c>
      <c r="R528" s="1">
        <v>577.95000000000005</v>
      </c>
      <c r="S528" s="1">
        <f t="shared" si="17"/>
        <v>127.20999999999992</v>
      </c>
      <c r="T528" s="1" t="s">
        <v>875</v>
      </c>
      <c r="U528" s="1" t="s">
        <v>880</v>
      </c>
      <c r="V528" s="5" t="s">
        <v>884</v>
      </c>
    </row>
    <row r="529" spans="1:22" x14ac:dyDescent="0.3">
      <c r="A529" s="4" t="s">
        <v>262</v>
      </c>
      <c r="B529" s="3">
        <v>45598</v>
      </c>
      <c r="C529" s="1" t="str">
        <f t="shared" si="16"/>
        <v>November</v>
      </c>
      <c r="D529" s="1" t="s">
        <v>494</v>
      </c>
      <c r="E529" s="1" t="s">
        <v>745</v>
      </c>
      <c r="F529" s="1" t="s">
        <v>803</v>
      </c>
      <c r="G529" s="1" t="s">
        <v>807</v>
      </c>
      <c r="H529" s="1" t="s">
        <v>812</v>
      </c>
      <c r="I529" s="1" t="s">
        <v>816</v>
      </c>
      <c r="J529" s="1" t="s">
        <v>819</v>
      </c>
      <c r="K529" s="1" t="s">
        <v>820</v>
      </c>
      <c r="L529" s="1" t="s">
        <v>868</v>
      </c>
      <c r="M529" s="1">
        <v>0.99</v>
      </c>
      <c r="N529" s="1">
        <v>1498.15</v>
      </c>
      <c r="O529" s="1">
        <v>1365.85</v>
      </c>
      <c r="P529" s="1">
        <v>0.05</v>
      </c>
      <c r="Q529" s="1">
        <v>1273.05</v>
      </c>
      <c r="R529" s="1">
        <v>1165.07</v>
      </c>
      <c r="S529" s="1">
        <f t="shared" si="17"/>
        <v>107.98000000000002</v>
      </c>
      <c r="T529" s="1" t="s">
        <v>874</v>
      </c>
      <c r="U529" s="1" t="s">
        <v>880</v>
      </c>
      <c r="V529" s="5" t="s">
        <v>882</v>
      </c>
    </row>
    <row r="530" spans="1:22" x14ac:dyDescent="0.3">
      <c r="A530" s="4" t="s">
        <v>137</v>
      </c>
      <c r="B530" s="3">
        <v>45363</v>
      </c>
      <c r="C530" s="1" t="str">
        <f t="shared" si="16"/>
        <v>March</v>
      </c>
      <c r="D530" s="1" t="s">
        <v>416</v>
      </c>
      <c r="E530" s="1" t="s">
        <v>622</v>
      </c>
      <c r="F530" s="1" t="s">
        <v>801</v>
      </c>
      <c r="G530" s="1" t="s">
        <v>804</v>
      </c>
      <c r="H530" s="1" t="s">
        <v>812</v>
      </c>
      <c r="I530" s="1" t="s">
        <v>809</v>
      </c>
      <c r="J530" s="1" t="s">
        <v>819</v>
      </c>
      <c r="K530" s="1" t="s">
        <v>821</v>
      </c>
      <c r="L530" s="1" t="s">
        <v>848</v>
      </c>
      <c r="M530" s="1">
        <v>4.78</v>
      </c>
      <c r="N530" s="1">
        <v>2318.2199999999998</v>
      </c>
      <c r="O530" s="1">
        <v>10725.37</v>
      </c>
      <c r="P530" s="1">
        <v>0.11</v>
      </c>
      <c r="Q530" s="1">
        <v>8759.42</v>
      </c>
      <c r="R530" s="1">
        <v>8184.49</v>
      </c>
      <c r="S530" s="1">
        <f t="shared" si="17"/>
        <v>574.93000000000029</v>
      </c>
      <c r="T530" s="1" t="s">
        <v>876</v>
      </c>
      <c r="U530" s="1" t="s">
        <v>878</v>
      </c>
      <c r="V530" s="5" t="s">
        <v>883</v>
      </c>
    </row>
    <row r="531" spans="1:22" x14ac:dyDescent="0.3">
      <c r="A531" s="4" t="s">
        <v>68</v>
      </c>
      <c r="B531" s="3">
        <v>45323</v>
      </c>
      <c r="C531" s="1" t="str">
        <f t="shared" si="16"/>
        <v>February</v>
      </c>
      <c r="D531" s="1" t="s">
        <v>451</v>
      </c>
      <c r="E531" s="1" t="s">
        <v>553</v>
      </c>
      <c r="F531" s="1" t="s">
        <v>802</v>
      </c>
      <c r="G531" s="1" t="s">
        <v>806</v>
      </c>
      <c r="H531" s="1" t="s">
        <v>809</v>
      </c>
      <c r="I531" s="1" t="s">
        <v>815</v>
      </c>
      <c r="J531" s="1" t="s">
        <v>817</v>
      </c>
      <c r="K531" s="1" t="s">
        <v>822</v>
      </c>
      <c r="L531" s="1" t="s">
        <v>832</v>
      </c>
      <c r="M531" s="1">
        <v>4.74</v>
      </c>
      <c r="N531" s="1">
        <v>2038.06</v>
      </c>
      <c r="O531" s="1">
        <v>11360.94</v>
      </c>
      <c r="P531" s="1">
        <v>0.11</v>
      </c>
      <c r="Q531" s="1">
        <v>10250.219999999999</v>
      </c>
      <c r="R531" s="1">
        <v>6582.21</v>
      </c>
      <c r="S531" s="1">
        <f t="shared" si="17"/>
        <v>3668.0099999999993</v>
      </c>
      <c r="T531" s="1" t="s">
        <v>873</v>
      </c>
      <c r="U531" s="1" t="s">
        <v>878</v>
      </c>
      <c r="V531" s="5" t="s">
        <v>884</v>
      </c>
    </row>
    <row r="532" spans="1:22" x14ac:dyDescent="0.3">
      <c r="A532" s="4" t="s">
        <v>302</v>
      </c>
      <c r="B532" s="3">
        <v>45394</v>
      </c>
      <c r="C532" s="1" t="str">
        <f t="shared" si="16"/>
        <v>April</v>
      </c>
      <c r="D532" s="1" t="s">
        <v>412</v>
      </c>
      <c r="E532" s="1" t="s">
        <v>784</v>
      </c>
      <c r="F532" s="1" t="s">
        <v>802</v>
      </c>
      <c r="G532" s="1" t="s">
        <v>804</v>
      </c>
      <c r="H532" s="1" t="s">
        <v>808</v>
      </c>
      <c r="I532" s="1" t="s">
        <v>814</v>
      </c>
      <c r="J532" s="1" t="s">
        <v>819</v>
      </c>
      <c r="K532" s="1" t="s">
        <v>822</v>
      </c>
      <c r="L532" s="1" t="s">
        <v>847</v>
      </c>
      <c r="M532" s="1">
        <v>1.0900000000000001</v>
      </c>
      <c r="N532" s="1">
        <v>493.45</v>
      </c>
      <c r="O532" s="1">
        <v>468.56</v>
      </c>
      <c r="P532" s="1">
        <v>0</v>
      </c>
      <c r="Q532" s="1">
        <v>477.68</v>
      </c>
      <c r="R532" s="1">
        <v>376.89</v>
      </c>
      <c r="S532" s="1">
        <f t="shared" si="17"/>
        <v>100.79000000000002</v>
      </c>
      <c r="T532" s="1" t="s">
        <v>875</v>
      </c>
      <c r="U532" s="1" t="s">
        <v>878</v>
      </c>
      <c r="V532" s="5" t="s">
        <v>882</v>
      </c>
    </row>
    <row r="533" spans="1:22" x14ac:dyDescent="0.3">
      <c r="A533" s="4" t="s">
        <v>41</v>
      </c>
      <c r="B533" s="3">
        <v>45419</v>
      </c>
      <c r="C533" s="1" t="str">
        <f t="shared" si="16"/>
        <v>May</v>
      </c>
      <c r="D533" s="1" t="s">
        <v>326</v>
      </c>
      <c r="E533" s="1" t="s">
        <v>526</v>
      </c>
      <c r="F533" s="1" t="s">
        <v>803</v>
      </c>
      <c r="G533" s="1" t="s">
        <v>805</v>
      </c>
      <c r="H533" s="1" t="s">
        <v>812</v>
      </c>
      <c r="I533" s="1" t="s">
        <v>814</v>
      </c>
      <c r="J533" s="1" t="s">
        <v>818</v>
      </c>
      <c r="K533" s="1" t="s">
        <v>821</v>
      </c>
      <c r="L533" s="1" t="s">
        <v>842</v>
      </c>
      <c r="M533" s="1">
        <v>4.6500000000000004</v>
      </c>
      <c r="N533" s="1">
        <v>566.91999999999996</v>
      </c>
      <c r="O533" s="1">
        <v>2557.0500000000002</v>
      </c>
      <c r="P533" s="1">
        <v>0</v>
      </c>
      <c r="Q533" s="1">
        <v>2824.81</v>
      </c>
      <c r="R533" s="1">
        <v>1757.65</v>
      </c>
      <c r="S533" s="1">
        <f t="shared" si="17"/>
        <v>1067.1599999999999</v>
      </c>
      <c r="T533" s="1" t="s">
        <v>875</v>
      </c>
      <c r="U533" s="1" t="s">
        <v>879</v>
      </c>
      <c r="V533" s="5" t="s">
        <v>884</v>
      </c>
    </row>
    <row r="534" spans="1:22" x14ac:dyDescent="0.3">
      <c r="A534" s="4" t="s">
        <v>278</v>
      </c>
      <c r="B534" s="3">
        <v>45505</v>
      </c>
      <c r="C534" s="1" t="str">
        <f t="shared" si="16"/>
        <v>August</v>
      </c>
      <c r="D534" s="1" t="s">
        <v>480</v>
      </c>
      <c r="E534" s="1" t="s">
        <v>761</v>
      </c>
      <c r="F534" s="1" t="s">
        <v>801</v>
      </c>
      <c r="G534" s="1" t="s">
        <v>807</v>
      </c>
      <c r="H534" s="1" t="s">
        <v>811</v>
      </c>
      <c r="I534" s="1" t="s">
        <v>814</v>
      </c>
      <c r="J534" s="1" t="s">
        <v>818</v>
      </c>
      <c r="K534" s="1" t="s">
        <v>820</v>
      </c>
      <c r="L534" s="1" t="s">
        <v>848</v>
      </c>
      <c r="M534" s="1">
        <v>10.33</v>
      </c>
      <c r="N534" s="1">
        <v>2350.0100000000002</v>
      </c>
      <c r="O534" s="1">
        <v>21570.5</v>
      </c>
      <c r="P534" s="1">
        <v>0.13</v>
      </c>
      <c r="Q534" s="1">
        <v>17641.23</v>
      </c>
      <c r="R534" s="1">
        <v>12173.34</v>
      </c>
      <c r="S534" s="1">
        <f t="shared" si="17"/>
        <v>5467.8899999999994</v>
      </c>
      <c r="T534" s="1" t="s">
        <v>873</v>
      </c>
      <c r="U534" s="1" t="s">
        <v>878</v>
      </c>
      <c r="V534" s="5" t="s">
        <v>884</v>
      </c>
    </row>
    <row r="535" spans="1:22" x14ac:dyDescent="0.3">
      <c r="A535" s="4" t="s">
        <v>237</v>
      </c>
      <c r="B535" s="3">
        <v>45546</v>
      </c>
      <c r="C535" s="1" t="str">
        <f t="shared" si="16"/>
        <v>September</v>
      </c>
      <c r="D535" s="1" t="s">
        <v>350</v>
      </c>
      <c r="E535" s="1" t="s">
        <v>720</v>
      </c>
      <c r="F535" s="1" t="s">
        <v>802</v>
      </c>
      <c r="G535" s="1" t="s">
        <v>806</v>
      </c>
      <c r="H535" s="1" t="s">
        <v>809</v>
      </c>
      <c r="I535" s="1" t="s">
        <v>815</v>
      </c>
      <c r="J535" s="1" t="s">
        <v>819</v>
      </c>
      <c r="K535" s="1" t="s">
        <v>820</v>
      </c>
      <c r="L535" s="1" t="s">
        <v>847</v>
      </c>
      <c r="M535" s="1">
        <v>5.75</v>
      </c>
      <c r="N535" s="1">
        <v>3660.33</v>
      </c>
      <c r="O535" s="1">
        <v>20257.14</v>
      </c>
      <c r="P535" s="1">
        <v>0.05</v>
      </c>
      <c r="Q535" s="1">
        <v>19944.509999999998</v>
      </c>
      <c r="R535" s="1">
        <v>16052.27</v>
      </c>
      <c r="S535" s="1">
        <f t="shared" si="17"/>
        <v>3892.239999999998</v>
      </c>
      <c r="T535" s="1" t="s">
        <v>875</v>
      </c>
      <c r="U535" s="1" t="s">
        <v>881</v>
      </c>
      <c r="V535" s="5" t="s">
        <v>882</v>
      </c>
    </row>
    <row r="536" spans="1:22" x14ac:dyDescent="0.3">
      <c r="A536" s="4" t="s">
        <v>147</v>
      </c>
      <c r="B536" s="3">
        <v>45384</v>
      </c>
      <c r="C536" s="1" t="str">
        <f t="shared" si="16"/>
        <v>April</v>
      </c>
      <c r="D536" s="1" t="s">
        <v>430</v>
      </c>
      <c r="E536" s="1" t="s">
        <v>632</v>
      </c>
      <c r="F536" s="1" t="s">
        <v>803</v>
      </c>
      <c r="G536" s="1" t="s">
        <v>806</v>
      </c>
      <c r="H536" s="1" t="s">
        <v>809</v>
      </c>
      <c r="I536" s="1" t="s">
        <v>816</v>
      </c>
      <c r="J536" s="1" t="s">
        <v>819</v>
      </c>
      <c r="K536" s="1" t="s">
        <v>820</v>
      </c>
      <c r="L536" s="1" t="s">
        <v>831</v>
      </c>
      <c r="M536" s="1">
        <v>12.77</v>
      </c>
      <c r="N536" s="1">
        <v>1248.9100000000001</v>
      </c>
      <c r="O536" s="1">
        <v>14088.99</v>
      </c>
      <c r="P536" s="1">
        <v>0.1</v>
      </c>
      <c r="Q536" s="1">
        <v>13673.14</v>
      </c>
      <c r="R536" s="1">
        <v>9740.27</v>
      </c>
      <c r="S536" s="1">
        <f t="shared" si="17"/>
        <v>3932.869999999999</v>
      </c>
      <c r="T536" s="1" t="s">
        <v>873</v>
      </c>
      <c r="U536" s="1" t="s">
        <v>877</v>
      </c>
      <c r="V536" s="5" t="s">
        <v>882</v>
      </c>
    </row>
    <row r="537" spans="1:22" x14ac:dyDescent="0.3">
      <c r="A537" s="4" t="s">
        <v>212</v>
      </c>
      <c r="B537" s="3">
        <v>45479</v>
      </c>
      <c r="C537" s="1" t="str">
        <f t="shared" si="16"/>
        <v>July</v>
      </c>
      <c r="D537" s="1" t="s">
        <v>352</v>
      </c>
      <c r="E537" s="1" t="s">
        <v>695</v>
      </c>
      <c r="F537" s="1" t="s">
        <v>803</v>
      </c>
      <c r="G537" s="1" t="s">
        <v>807</v>
      </c>
      <c r="H537" s="1" t="s">
        <v>808</v>
      </c>
      <c r="I537" s="1" t="s">
        <v>814</v>
      </c>
      <c r="J537" s="1" t="s">
        <v>819</v>
      </c>
      <c r="K537" s="1" t="s">
        <v>821</v>
      </c>
      <c r="L537" s="1" t="s">
        <v>826</v>
      </c>
      <c r="M537" s="1">
        <v>4.72</v>
      </c>
      <c r="N537" s="1">
        <v>2683.85</v>
      </c>
      <c r="O537" s="1">
        <v>15759.3</v>
      </c>
      <c r="P537" s="1">
        <v>0</v>
      </c>
      <c r="Q537" s="1">
        <v>17329.16</v>
      </c>
      <c r="R537" s="1">
        <v>12706.85</v>
      </c>
      <c r="S537" s="1">
        <f t="shared" si="17"/>
        <v>4622.3099999999995</v>
      </c>
      <c r="T537" s="1" t="s">
        <v>876</v>
      </c>
      <c r="U537" s="1" t="s">
        <v>881</v>
      </c>
      <c r="V537" s="5" t="s">
        <v>884</v>
      </c>
    </row>
    <row r="538" spans="1:22" x14ac:dyDescent="0.3">
      <c r="A538" s="4" t="s">
        <v>304</v>
      </c>
      <c r="B538" s="3">
        <v>45335</v>
      </c>
      <c r="C538" s="1" t="str">
        <f t="shared" si="16"/>
        <v>February</v>
      </c>
      <c r="D538" s="1" t="s">
        <v>380</v>
      </c>
      <c r="E538" s="1" t="s">
        <v>786</v>
      </c>
      <c r="F538" s="1" t="s">
        <v>802</v>
      </c>
      <c r="G538" s="1" t="s">
        <v>807</v>
      </c>
      <c r="H538" s="1" t="s">
        <v>811</v>
      </c>
      <c r="I538" s="1" t="s">
        <v>816</v>
      </c>
      <c r="J538" s="1" t="s">
        <v>818</v>
      </c>
      <c r="K538" s="1" t="s">
        <v>820</v>
      </c>
      <c r="L538" s="1" t="s">
        <v>846</v>
      </c>
      <c r="M538" s="1">
        <v>8.74</v>
      </c>
      <c r="N538" s="1">
        <v>2124.0300000000002</v>
      </c>
      <c r="O538" s="1">
        <v>21262.53</v>
      </c>
      <c r="P538" s="1">
        <v>0</v>
      </c>
      <c r="Q538" s="1">
        <v>21427.33</v>
      </c>
      <c r="R538" s="1">
        <v>15316.79</v>
      </c>
      <c r="S538" s="1">
        <f t="shared" si="17"/>
        <v>6110.5400000000009</v>
      </c>
      <c r="T538" s="1" t="s">
        <v>875</v>
      </c>
      <c r="U538" s="1" t="s">
        <v>877</v>
      </c>
      <c r="V538" s="5" t="s">
        <v>882</v>
      </c>
    </row>
    <row r="539" spans="1:22" x14ac:dyDescent="0.3">
      <c r="A539" s="4" t="s">
        <v>32</v>
      </c>
      <c r="B539" s="3">
        <v>45421</v>
      </c>
      <c r="C539" s="1" t="str">
        <f t="shared" si="16"/>
        <v>May</v>
      </c>
      <c r="D539" s="1" t="s">
        <v>331</v>
      </c>
      <c r="E539" s="1" t="s">
        <v>517</v>
      </c>
      <c r="F539" s="1" t="s">
        <v>801</v>
      </c>
      <c r="G539" s="1" t="s">
        <v>805</v>
      </c>
      <c r="H539" s="1" t="s">
        <v>811</v>
      </c>
      <c r="I539" s="1" t="s">
        <v>815</v>
      </c>
      <c r="J539" s="1" t="s">
        <v>817</v>
      </c>
      <c r="K539" s="1" t="s">
        <v>820</v>
      </c>
      <c r="L539" s="1" t="s">
        <v>834</v>
      </c>
      <c r="M539" s="1">
        <v>9.1199999999999992</v>
      </c>
      <c r="N539" s="1">
        <v>1566.15</v>
      </c>
      <c r="O539" s="1">
        <v>14942.62</v>
      </c>
      <c r="P539" s="1">
        <v>0</v>
      </c>
      <c r="Q539" s="1">
        <v>16624.02</v>
      </c>
      <c r="R539" s="1">
        <v>9171.17</v>
      </c>
      <c r="S539" s="1">
        <f t="shared" si="17"/>
        <v>7452.85</v>
      </c>
      <c r="T539" s="1" t="s">
        <v>874</v>
      </c>
      <c r="U539" s="1" t="s">
        <v>879</v>
      </c>
      <c r="V539" s="5" t="s">
        <v>884</v>
      </c>
    </row>
    <row r="540" spans="1:22" x14ac:dyDescent="0.3">
      <c r="A540" s="4" t="s">
        <v>294</v>
      </c>
      <c r="B540" s="3">
        <v>45391</v>
      </c>
      <c r="C540" s="1" t="str">
        <f t="shared" si="16"/>
        <v>April</v>
      </c>
      <c r="D540" s="1" t="s">
        <v>501</v>
      </c>
      <c r="E540" s="1" t="s">
        <v>776</v>
      </c>
      <c r="F540" s="1" t="s">
        <v>802</v>
      </c>
      <c r="G540" s="1" t="s">
        <v>806</v>
      </c>
      <c r="H540" s="1" t="s">
        <v>812</v>
      </c>
      <c r="I540" s="1" t="s">
        <v>813</v>
      </c>
      <c r="J540" s="1" t="s">
        <v>818</v>
      </c>
      <c r="K540" s="1" t="s">
        <v>821</v>
      </c>
      <c r="L540" s="1" t="s">
        <v>839</v>
      </c>
      <c r="M540" s="1">
        <v>13.11</v>
      </c>
      <c r="N540" s="1">
        <v>2927.52</v>
      </c>
      <c r="O540" s="1">
        <v>35063.14</v>
      </c>
      <c r="P540" s="1">
        <v>0</v>
      </c>
      <c r="Q540" s="1">
        <v>36857</v>
      </c>
      <c r="R540" s="1">
        <v>27238.48</v>
      </c>
      <c r="S540" s="1">
        <f t="shared" si="17"/>
        <v>9618.52</v>
      </c>
      <c r="T540" s="1" t="s">
        <v>876</v>
      </c>
      <c r="U540" s="1" t="s">
        <v>881</v>
      </c>
      <c r="V540" s="5" t="s">
        <v>883</v>
      </c>
    </row>
    <row r="541" spans="1:22" x14ac:dyDescent="0.3">
      <c r="A541" s="4" t="s">
        <v>155</v>
      </c>
      <c r="B541" s="3">
        <v>45347</v>
      </c>
      <c r="C541" s="1" t="str">
        <f t="shared" si="16"/>
        <v>February</v>
      </c>
      <c r="D541" s="1" t="s">
        <v>470</v>
      </c>
      <c r="E541" s="1" t="s">
        <v>640</v>
      </c>
      <c r="F541" s="1" t="s">
        <v>803</v>
      </c>
      <c r="G541" s="1" t="s">
        <v>806</v>
      </c>
      <c r="H541" s="1" t="s">
        <v>808</v>
      </c>
      <c r="I541" s="1" t="s">
        <v>816</v>
      </c>
      <c r="J541" s="1" t="s">
        <v>819</v>
      </c>
      <c r="K541" s="1" t="s">
        <v>820</v>
      </c>
      <c r="L541" s="1" t="s">
        <v>844</v>
      </c>
      <c r="M541" s="1">
        <v>8.33</v>
      </c>
      <c r="N541" s="1">
        <v>3045.37</v>
      </c>
      <c r="O541" s="1">
        <v>26637.84</v>
      </c>
      <c r="P541" s="1">
        <v>0</v>
      </c>
      <c r="Q541" s="1">
        <v>24303.46</v>
      </c>
      <c r="R541" s="1">
        <v>16172.31</v>
      </c>
      <c r="S541" s="1">
        <f t="shared" si="17"/>
        <v>8131.15</v>
      </c>
      <c r="T541" s="1" t="s">
        <v>875</v>
      </c>
      <c r="U541" s="1" t="s">
        <v>879</v>
      </c>
      <c r="V541" s="5" t="s">
        <v>884</v>
      </c>
    </row>
    <row r="542" spans="1:22" x14ac:dyDescent="0.3">
      <c r="A542" s="4" t="s">
        <v>139</v>
      </c>
      <c r="B542" s="3">
        <v>45572</v>
      </c>
      <c r="C542" s="1" t="str">
        <f t="shared" si="16"/>
        <v>October</v>
      </c>
      <c r="D542" s="1" t="s">
        <v>468</v>
      </c>
      <c r="E542" s="1" t="s">
        <v>624</v>
      </c>
      <c r="F542" s="1" t="s">
        <v>801</v>
      </c>
      <c r="G542" s="1" t="s">
        <v>804</v>
      </c>
      <c r="H542" s="1" t="s">
        <v>809</v>
      </c>
      <c r="I542" s="1" t="s">
        <v>809</v>
      </c>
      <c r="J542" s="1" t="s">
        <v>817</v>
      </c>
      <c r="K542" s="1" t="s">
        <v>820</v>
      </c>
      <c r="L542" s="1" t="s">
        <v>866</v>
      </c>
      <c r="M542" s="1">
        <v>1.84</v>
      </c>
      <c r="N542" s="1">
        <v>2326.2199999999998</v>
      </c>
      <c r="O542" s="1">
        <v>4878.3900000000003</v>
      </c>
      <c r="P542" s="1">
        <v>0.05</v>
      </c>
      <c r="Q542" s="1">
        <v>4358.99</v>
      </c>
      <c r="R542" s="1">
        <v>3922.45</v>
      </c>
      <c r="S542" s="1">
        <f t="shared" si="17"/>
        <v>436.53999999999996</v>
      </c>
      <c r="T542" s="1" t="s">
        <v>875</v>
      </c>
      <c r="U542" s="1" t="s">
        <v>878</v>
      </c>
      <c r="V542" s="5" t="s">
        <v>882</v>
      </c>
    </row>
    <row r="543" spans="1:22" x14ac:dyDescent="0.3">
      <c r="A543" s="4" t="s">
        <v>109</v>
      </c>
      <c r="B543" s="3">
        <v>45306</v>
      </c>
      <c r="C543" s="1" t="str">
        <f t="shared" si="16"/>
        <v>January</v>
      </c>
      <c r="D543" s="1" t="s">
        <v>459</v>
      </c>
      <c r="E543" s="1" t="s">
        <v>594</v>
      </c>
      <c r="F543" s="1" t="s">
        <v>803</v>
      </c>
      <c r="G543" s="1" t="s">
        <v>807</v>
      </c>
      <c r="H543" s="1" t="s">
        <v>810</v>
      </c>
      <c r="I543" s="1" t="s">
        <v>814</v>
      </c>
      <c r="J543" s="1" t="s">
        <v>818</v>
      </c>
      <c r="K543" s="1" t="s">
        <v>820</v>
      </c>
      <c r="L543" s="1" t="s">
        <v>853</v>
      </c>
      <c r="M543" s="1">
        <v>0.96</v>
      </c>
      <c r="N543" s="1">
        <v>910.08</v>
      </c>
      <c r="O543" s="1">
        <v>863.14</v>
      </c>
      <c r="P543" s="1">
        <v>0</v>
      </c>
      <c r="Q543" s="1">
        <v>780.47</v>
      </c>
      <c r="R543" s="1">
        <v>693.85</v>
      </c>
      <c r="S543" s="1">
        <f t="shared" si="17"/>
        <v>86.62</v>
      </c>
      <c r="T543" s="1" t="s">
        <v>873</v>
      </c>
      <c r="U543" s="1" t="s">
        <v>877</v>
      </c>
      <c r="V543" s="5" t="s">
        <v>882</v>
      </c>
    </row>
    <row r="544" spans="1:22" x14ac:dyDescent="0.3">
      <c r="A544" s="4" t="s">
        <v>104</v>
      </c>
      <c r="B544" s="3">
        <v>45588</v>
      </c>
      <c r="C544" s="1" t="str">
        <f t="shared" si="16"/>
        <v>October</v>
      </c>
      <c r="D544" s="1" t="s">
        <v>425</v>
      </c>
      <c r="E544" s="1" t="s">
        <v>589</v>
      </c>
      <c r="F544" s="1" t="s">
        <v>803</v>
      </c>
      <c r="G544" s="1" t="s">
        <v>804</v>
      </c>
      <c r="H544" s="1" t="s">
        <v>808</v>
      </c>
      <c r="I544" s="1" t="s">
        <v>809</v>
      </c>
      <c r="J544" s="1" t="s">
        <v>819</v>
      </c>
      <c r="K544" s="1" t="s">
        <v>820</v>
      </c>
      <c r="L544" s="1" t="s">
        <v>829</v>
      </c>
      <c r="M544" s="1">
        <v>9.9700000000000006</v>
      </c>
      <c r="N544" s="1">
        <v>3512.72</v>
      </c>
      <c r="O544" s="1">
        <v>34811.18</v>
      </c>
      <c r="P544" s="1">
        <v>0.14000000000000001</v>
      </c>
      <c r="Q544" s="1">
        <v>28187.56</v>
      </c>
      <c r="R544" s="1">
        <v>16988.91</v>
      </c>
      <c r="S544" s="1">
        <f t="shared" si="17"/>
        <v>11198.650000000001</v>
      </c>
      <c r="T544" s="1" t="s">
        <v>875</v>
      </c>
      <c r="U544" s="1" t="s">
        <v>877</v>
      </c>
      <c r="V544" s="5" t="s">
        <v>882</v>
      </c>
    </row>
    <row r="545" spans="1:22" x14ac:dyDescent="0.3">
      <c r="A545" s="4" t="s">
        <v>94</v>
      </c>
      <c r="B545" s="3">
        <v>45590</v>
      </c>
      <c r="C545" s="1" t="str">
        <f t="shared" si="16"/>
        <v>October</v>
      </c>
      <c r="D545" s="1" t="s">
        <v>425</v>
      </c>
      <c r="E545" s="1" t="s">
        <v>579</v>
      </c>
      <c r="F545" s="1" t="s">
        <v>803</v>
      </c>
      <c r="G545" s="1" t="s">
        <v>804</v>
      </c>
      <c r="H545" s="1" t="s">
        <v>809</v>
      </c>
      <c r="I545" s="1" t="s">
        <v>814</v>
      </c>
      <c r="J545" s="1" t="s">
        <v>819</v>
      </c>
      <c r="K545" s="1" t="s">
        <v>822</v>
      </c>
      <c r="L545" s="1" t="s">
        <v>829</v>
      </c>
      <c r="M545" s="1">
        <v>6.89</v>
      </c>
      <c r="N545" s="1">
        <v>1735.56</v>
      </c>
      <c r="O545" s="1">
        <v>10495.01</v>
      </c>
      <c r="P545" s="1">
        <v>0.1</v>
      </c>
      <c r="Q545" s="1">
        <v>9521.24</v>
      </c>
      <c r="R545" s="1">
        <v>6798.92</v>
      </c>
      <c r="S545" s="1">
        <f t="shared" si="17"/>
        <v>2722.3199999999997</v>
      </c>
      <c r="T545" s="1" t="s">
        <v>873</v>
      </c>
      <c r="U545" s="1" t="s">
        <v>881</v>
      </c>
      <c r="V545" s="5" t="s">
        <v>884</v>
      </c>
    </row>
    <row r="546" spans="1:22" x14ac:dyDescent="0.3">
      <c r="A546" s="4" t="s">
        <v>46</v>
      </c>
      <c r="B546" s="3">
        <v>45430</v>
      </c>
      <c r="C546" s="1" t="str">
        <f t="shared" si="16"/>
        <v>May</v>
      </c>
      <c r="D546" s="1" t="s">
        <v>445</v>
      </c>
      <c r="E546" s="1" t="s">
        <v>531</v>
      </c>
      <c r="F546" s="1" t="s">
        <v>802</v>
      </c>
      <c r="G546" s="1" t="s">
        <v>805</v>
      </c>
      <c r="H546" s="1" t="s">
        <v>812</v>
      </c>
      <c r="I546" s="1" t="s">
        <v>809</v>
      </c>
      <c r="J546" s="1" t="s">
        <v>819</v>
      </c>
      <c r="K546" s="1" t="s">
        <v>820</v>
      </c>
      <c r="L546" s="1" t="s">
        <v>845</v>
      </c>
      <c r="M546" s="1">
        <v>3.3</v>
      </c>
      <c r="N546" s="1">
        <v>3008</v>
      </c>
      <c r="O546" s="1">
        <v>7966.63</v>
      </c>
      <c r="P546" s="1">
        <v>0.1</v>
      </c>
      <c r="Q546" s="1">
        <v>7780.22</v>
      </c>
      <c r="R546" s="1">
        <v>5932.28</v>
      </c>
      <c r="S546" s="1">
        <f t="shared" si="17"/>
        <v>1847.9400000000005</v>
      </c>
      <c r="T546" s="1" t="s">
        <v>875</v>
      </c>
      <c r="U546" s="1" t="s">
        <v>878</v>
      </c>
      <c r="V546" s="5" t="s">
        <v>882</v>
      </c>
    </row>
    <row r="547" spans="1:22" x14ac:dyDescent="0.3">
      <c r="A547" s="4" t="s">
        <v>53</v>
      </c>
      <c r="B547" s="3">
        <v>45487</v>
      </c>
      <c r="C547" s="1" t="str">
        <f t="shared" si="16"/>
        <v>July</v>
      </c>
      <c r="D547" s="1" t="s">
        <v>428</v>
      </c>
      <c r="E547" s="1" t="s">
        <v>538</v>
      </c>
      <c r="F547" s="1" t="s">
        <v>803</v>
      </c>
      <c r="G547" s="1" t="s">
        <v>807</v>
      </c>
      <c r="H547" s="1" t="s">
        <v>809</v>
      </c>
      <c r="I547" s="1" t="s">
        <v>813</v>
      </c>
      <c r="J547" s="1" t="s">
        <v>819</v>
      </c>
      <c r="K547" s="1" t="s">
        <v>821</v>
      </c>
      <c r="L547" s="1" t="s">
        <v>847</v>
      </c>
      <c r="M547" s="1">
        <v>7.91</v>
      </c>
      <c r="N547" s="1">
        <v>1375.98</v>
      </c>
      <c r="O547" s="1">
        <v>10764.21</v>
      </c>
      <c r="P547" s="1">
        <v>0.05</v>
      </c>
      <c r="Q547" s="1">
        <v>9464.83</v>
      </c>
      <c r="R547" s="1">
        <v>6346.18</v>
      </c>
      <c r="S547" s="1">
        <f t="shared" si="17"/>
        <v>3118.6499999999996</v>
      </c>
      <c r="T547" s="1" t="s">
        <v>873</v>
      </c>
      <c r="U547" s="1" t="s">
        <v>877</v>
      </c>
      <c r="V547" s="5" t="s">
        <v>884</v>
      </c>
    </row>
    <row r="548" spans="1:22" x14ac:dyDescent="0.3">
      <c r="A548" s="4" t="s">
        <v>160</v>
      </c>
      <c r="B548" s="3">
        <v>45479</v>
      </c>
      <c r="C548" s="1" t="str">
        <f t="shared" si="16"/>
        <v>July</v>
      </c>
      <c r="D548" s="1" t="s">
        <v>368</v>
      </c>
      <c r="E548" s="1" t="s">
        <v>645</v>
      </c>
      <c r="F548" s="1" t="s">
        <v>802</v>
      </c>
      <c r="G548" s="1" t="s">
        <v>804</v>
      </c>
      <c r="H548" s="1" t="s">
        <v>809</v>
      </c>
      <c r="I548" s="1" t="s">
        <v>815</v>
      </c>
      <c r="J548" s="1" t="s">
        <v>818</v>
      </c>
      <c r="K548" s="1" t="s">
        <v>820</v>
      </c>
      <c r="L548" s="1" t="s">
        <v>827</v>
      </c>
      <c r="M548" s="1">
        <v>2.72</v>
      </c>
      <c r="N548" s="1">
        <v>2735.33</v>
      </c>
      <c r="O548" s="1">
        <v>7882.53</v>
      </c>
      <c r="P548" s="1">
        <v>0</v>
      </c>
      <c r="Q548" s="1">
        <v>7140.08</v>
      </c>
      <c r="R548" s="1">
        <v>5692.9</v>
      </c>
      <c r="S548" s="1">
        <f t="shared" si="17"/>
        <v>1447.1800000000003</v>
      </c>
      <c r="T548" s="1" t="s">
        <v>873</v>
      </c>
      <c r="U548" s="1" t="s">
        <v>881</v>
      </c>
      <c r="V548" s="5" t="s">
        <v>882</v>
      </c>
    </row>
    <row r="549" spans="1:22" x14ac:dyDescent="0.3">
      <c r="A549" s="4" t="s">
        <v>151</v>
      </c>
      <c r="B549" s="3">
        <v>45366</v>
      </c>
      <c r="C549" s="1" t="str">
        <f t="shared" si="16"/>
        <v>March</v>
      </c>
      <c r="D549" s="1" t="s">
        <v>324</v>
      </c>
      <c r="E549" s="1" t="s">
        <v>636</v>
      </c>
      <c r="F549" s="1" t="s">
        <v>802</v>
      </c>
      <c r="G549" s="1" t="s">
        <v>804</v>
      </c>
      <c r="H549" s="1" t="s">
        <v>811</v>
      </c>
      <c r="I549" s="1" t="s">
        <v>815</v>
      </c>
      <c r="J549" s="1" t="s">
        <v>819</v>
      </c>
      <c r="K549" s="1" t="s">
        <v>822</v>
      </c>
      <c r="L549" s="1" t="s">
        <v>867</v>
      </c>
      <c r="M549" s="1">
        <v>1.01</v>
      </c>
      <c r="N549" s="1">
        <v>3266.42</v>
      </c>
      <c r="O549" s="1">
        <v>3288.62</v>
      </c>
      <c r="P549" s="1">
        <v>0.09</v>
      </c>
      <c r="Q549" s="1">
        <v>2980.94</v>
      </c>
      <c r="R549" s="1">
        <v>2301.6799999999998</v>
      </c>
      <c r="S549" s="1">
        <f t="shared" si="17"/>
        <v>679.26000000000022</v>
      </c>
      <c r="T549" s="1" t="s">
        <v>876</v>
      </c>
      <c r="U549" s="1" t="s">
        <v>879</v>
      </c>
      <c r="V549" s="5" t="s">
        <v>884</v>
      </c>
    </row>
    <row r="550" spans="1:22" x14ac:dyDescent="0.3">
      <c r="A550" s="4" t="s">
        <v>255</v>
      </c>
      <c r="B550" s="3">
        <v>45564</v>
      </c>
      <c r="C550" s="1" t="str">
        <f t="shared" si="16"/>
        <v>September</v>
      </c>
      <c r="D550" s="1" t="s">
        <v>472</v>
      </c>
      <c r="E550" s="1" t="s">
        <v>738</v>
      </c>
      <c r="F550" s="1" t="s">
        <v>801</v>
      </c>
      <c r="G550" s="1" t="s">
        <v>807</v>
      </c>
      <c r="H550" s="1" t="s">
        <v>810</v>
      </c>
      <c r="I550" s="1" t="s">
        <v>813</v>
      </c>
      <c r="J550" s="1" t="s">
        <v>818</v>
      </c>
      <c r="K550" s="1" t="s">
        <v>821</v>
      </c>
      <c r="L550" s="1" t="s">
        <v>861</v>
      </c>
      <c r="M550" s="1">
        <v>7.47</v>
      </c>
      <c r="N550" s="1">
        <v>3683.51</v>
      </c>
      <c r="O550" s="1">
        <v>24534.67</v>
      </c>
      <c r="P550" s="1">
        <v>0.1</v>
      </c>
      <c r="Q550" s="1">
        <v>21486.17</v>
      </c>
      <c r="R550" s="1">
        <v>12751.84</v>
      </c>
      <c r="S550" s="1">
        <f t="shared" si="17"/>
        <v>8734.3299999999981</v>
      </c>
      <c r="T550" s="1" t="s">
        <v>873</v>
      </c>
      <c r="U550" s="1" t="s">
        <v>878</v>
      </c>
      <c r="V550" s="5" t="s">
        <v>882</v>
      </c>
    </row>
    <row r="551" spans="1:22" x14ac:dyDescent="0.3">
      <c r="A551" s="4" t="s">
        <v>107</v>
      </c>
      <c r="B551" s="3">
        <v>45426</v>
      </c>
      <c r="C551" s="1" t="str">
        <f t="shared" si="16"/>
        <v>May</v>
      </c>
      <c r="D551" s="1" t="s">
        <v>454</v>
      </c>
      <c r="E551" s="1" t="s">
        <v>592</v>
      </c>
      <c r="F551" s="1" t="s">
        <v>801</v>
      </c>
      <c r="G551" s="1" t="s">
        <v>807</v>
      </c>
      <c r="H551" s="1" t="s">
        <v>810</v>
      </c>
      <c r="I551" s="1" t="s">
        <v>809</v>
      </c>
      <c r="J551" s="1" t="s">
        <v>818</v>
      </c>
      <c r="K551" s="1" t="s">
        <v>820</v>
      </c>
      <c r="L551" s="1" t="s">
        <v>835</v>
      </c>
      <c r="M551" s="1">
        <v>1.03</v>
      </c>
      <c r="N551" s="1">
        <v>1338.21</v>
      </c>
      <c r="O551" s="1">
        <v>1307.19</v>
      </c>
      <c r="P551" s="1">
        <v>0.14000000000000001</v>
      </c>
      <c r="Q551" s="1">
        <v>1139.3</v>
      </c>
      <c r="R551" s="1">
        <v>798.65</v>
      </c>
      <c r="S551" s="1">
        <f t="shared" si="17"/>
        <v>340.65</v>
      </c>
      <c r="T551" s="1" t="s">
        <v>874</v>
      </c>
      <c r="U551" s="1" t="s">
        <v>880</v>
      </c>
      <c r="V551" s="5" t="s">
        <v>883</v>
      </c>
    </row>
    <row r="552" spans="1:22" x14ac:dyDescent="0.3">
      <c r="A552" s="4" t="s">
        <v>286</v>
      </c>
      <c r="B552" s="3">
        <v>45376</v>
      </c>
      <c r="C552" s="1" t="str">
        <f t="shared" si="16"/>
        <v>March</v>
      </c>
      <c r="D552" s="1" t="s">
        <v>499</v>
      </c>
      <c r="E552" s="1" t="s">
        <v>769</v>
      </c>
      <c r="F552" s="1" t="s">
        <v>802</v>
      </c>
      <c r="G552" s="1" t="s">
        <v>807</v>
      </c>
      <c r="H552" s="1" t="s">
        <v>811</v>
      </c>
      <c r="I552" s="1" t="s">
        <v>816</v>
      </c>
      <c r="J552" s="1" t="s">
        <v>819</v>
      </c>
      <c r="K552" s="1" t="s">
        <v>822</v>
      </c>
      <c r="L552" s="1" t="s">
        <v>836</v>
      </c>
      <c r="M552" s="1">
        <v>2.94</v>
      </c>
      <c r="N552" s="1">
        <v>3572.21</v>
      </c>
      <c r="O552" s="1">
        <v>9839.1299999999992</v>
      </c>
      <c r="P552" s="1">
        <v>0</v>
      </c>
      <c r="Q552" s="1">
        <v>10886.87</v>
      </c>
      <c r="R552" s="1">
        <v>8347.65</v>
      </c>
      <c r="S552" s="1">
        <f t="shared" si="17"/>
        <v>2539.2200000000012</v>
      </c>
      <c r="T552" s="1" t="s">
        <v>875</v>
      </c>
      <c r="U552" s="1" t="s">
        <v>880</v>
      </c>
      <c r="V552" s="5" t="s">
        <v>883</v>
      </c>
    </row>
    <row r="553" spans="1:22" x14ac:dyDescent="0.3">
      <c r="A553" s="4" t="s">
        <v>212</v>
      </c>
      <c r="B553" s="3">
        <v>45479</v>
      </c>
      <c r="C553" s="1" t="str">
        <f t="shared" si="16"/>
        <v>July</v>
      </c>
      <c r="D553" s="1" t="s">
        <v>352</v>
      </c>
      <c r="E553" s="1" t="s">
        <v>695</v>
      </c>
      <c r="F553" s="1" t="s">
        <v>803</v>
      </c>
      <c r="G553" s="1" t="s">
        <v>807</v>
      </c>
      <c r="H553" s="1" t="s">
        <v>808</v>
      </c>
      <c r="I553" s="1" t="s">
        <v>814</v>
      </c>
      <c r="J553" s="1" t="s">
        <v>819</v>
      </c>
      <c r="K553" s="1" t="s">
        <v>821</v>
      </c>
      <c r="L553" s="1" t="s">
        <v>826</v>
      </c>
      <c r="M553" s="1">
        <v>5.47</v>
      </c>
      <c r="N553" s="1">
        <v>3099.75</v>
      </c>
      <c r="O553" s="1">
        <v>18696.57</v>
      </c>
      <c r="P553" s="1">
        <v>0</v>
      </c>
      <c r="Q553" s="1">
        <v>18851.34</v>
      </c>
      <c r="R553" s="1">
        <v>15382.6</v>
      </c>
      <c r="S553" s="1">
        <f t="shared" si="17"/>
        <v>3468.74</v>
      </c>
      <c r="T553" s="1" t="s">
        <v>876</v>
      </c>
      <c r="U553" s="1" t="s">
        <v>881</v>
      </c>
      <c r="V553" s="5" t="s">
        <v>884</v>
      </c>
    </row>
    <row r="554" spans="1:22" x14ac:dyDescent="0.3">
      <c r="A554" s="4" t="s">
        <v>93</v>
      </c>
      <c r="B554" s="3">
        <v>45557</v>
      </c>
      <c r="C554" s="1" t="str">
        <f t="shared" si="16"/>
        <v>September</v>
      </c>
      <c r="D554" s="1" t="s">
        <v>382</v>
      </c>
      <c r="E554" s="1" t="s">
        <v>578</v>
      </c>
      <c r="F554" s="1" t="s">
        <v>803</v>
      </c>
      <c r="G554" s="1" t="s">
        <v>804</v>
      </c>
      <c r="H554" s="1" t="s">
        <v>812</v>
      </c>
      <c r="I554" s="1" t="s">
        <v>809</v>
      </c>
      <c r="J554" s="1" t="s">
        <v>819</v>
      </c>
      <c r="K554" s="1" t="s">
        <v>821</v>
      </c>
      <c r="L554" s="1" t="s">
        <v>861</v>
      </c>
      <c r="M554" s="1">
        <v>7.28</v>
      </c>
      <c r="N554" s="1">
        <v>1785.77</v>
      </c>
      <c r="O554" s="1">
        <v>11302.54</v>
      </c>
      <c r="P554" s="1">
        <v>0.05</v>
      </c>
      <c r="Q554" s="1">
        <v>10730.06</v>
      </c>
      <c r="R554" s="1">
        <v>7248.72</v>
      </c>
      <c r="S554" s="1">
        <f t="shared" si="17"/>
        <v>3481.3399999999992</v>
      </c>
      <c r="T554" s="1" t="s">
        <v>874</v>
      </c>
      <c r="U554" s="1" t="s">
        <v>878</v>
      </c>
      <c r="V554" s="5" t="s">
        <v>884</v>
      </c>
    </row>
    <row r="555" spans="1:22" x14ac:dyDescent="0.3">
      <c r="A555" s="4" t="s">
        <v>169</v>
      </c>
      <c r="B555" s="3">
        <v>45336</v>
      </c>
      <c r="C555" s="1" t="str">
        <f t="shared" si="16"/>
        <v>February</v>
      </c>
      <c r="D555" s="1" t="s">
        <v>373</v>
      </c>
      <c r="E555" s="1" t="s">
        <v>654</v>
      </c>
      <c r="F555" s="1" t="s">
        <v>802</v>
      </c>
      <c r="G555" s="1" t="s">
        <v>805</v>
      </c>
      <c r="H555" s="1" t="s">
        <v>810</v>
      </c>
      <c r="I555" s="1" t="s">
        <v>814</v>
      </c>
      <c r="J555" s="1" t="s">
        <v>818</v>
      </c>
      <c r="K555" s="1" t="s">
        <v>822</v>
      </c>
      <c r="L555" s="1" t="s">
        <v>861</v>
      </c>
      <c r="M555" s="1">
        <v>9.7899999999999991</v>
      </c>
      <c r="N555" s="1">
        <v>1301.52</v>
      </c>
      <c r="O555" s="1">
        <v>11119.11</v>
      </c>
      <c r="P555" s="1">
        <v>0.16</v>
      </c>
      <c r="Q555" s="1">
        <v>10397.790000000001</v>
      </c>
      <c r="R555" s="1">
        <v>7602.37</v>
      </c>
      <c r="S555" s="1">
        <f t="shared" si="17"/>
        <v>2795.420000000001</v>
      </c>
      <c r="T555" s="1" t="s">
        <v>874</v>
      </c>
      <c r="U555" s="1" t="s">
        <v>881</v>
      </c>
      <c r="V555" s="5" t="s">
        <v>884</v>
      </c>
    </row>
    <row r="556" spans="1:22" x14ac:dyDescent="0.3">
      <c r="A556" s="4" t="s">
        <v>183</v>
      </c>
      <c r="B556" s="3">
        <v>45314</v>
      </c>
      <c r="C556" s="1" t="str">
        <f t="shared" si="16"/>
        <v>January</v>
      </c>
      <c r="D556" s="1" t="s">
        <v>362</v>
      </c>
      <c r="E556" s="1" t="s">
        <v>667</v>
      </c>
      <c r="F556" s="1" t="s">
        <v>802</v>
      </c>
      <c r="G556" s="1" t="s">
        <v>806</v>
      </c>
      <c r="H556" s="1" t="s">
        <v>812</v>
      </c>
      <c r="I556" s="1" t="s">
        <v>809</v>
      </c>
      <c r="J556" s="1" t="s">
        <v>819</v>
      </c>
      <c r="K556" s="1" t="s">
        <v>822</v>
      </c>
      <c r="L556" s="1" t="s">
        <v>858</v>
      </c>
      <c r="M556" s="1">
        <v>1.17</v>
      </c>
      <c r="N556" s="1">
        <v>2372.4499999999998</v>
      </c>
      <c r="O556" s="1">
        <v>2519.5700000000002</v>
      </c>
      <c r="P556" s="1">
        <v>0.05</v>
      </c>
      <c r="Q556" s="1">
        <v>1796.15</v>
      </c>
      <c r="R556" s="1">
        <v>1497.45</v>
      </c>
      <c r="S556" s="1">
        <f t="shared" si="17"/>
        <v>298.70000000000005</v>
      </c>
      <c r="T556" s="1" t="s">
        <v>874</v>
      </c>
      <c r="U556" s="1" t="s">
        <v>878</v>
      </c>
      <c r="V556" s="5" t="s">
        <v>882</v>
      </c>
    </row>
    <row r="557" spans="1:22" x14ac:dyDescent="0.3">
      <c r="A557" s="4" t="s">
        <v>157</v>
      </c>
      <c r="B557" s="3">
        <v>45561</v>
      </c>
      <c r="C557" s="1" t="str">
        <f t="shared" si="16"/>
        <v>September</v>
      </c>
      <c r="D557" s="1" t="s">
        <v>321</v>
      </c>
      <c r="E557" s="1" t="s">
        <v>642</v>
      </c>
      <c r="F557" s="1" t="s">
        <v>801</v>
      </c>
      <c r="G557" s="1" t="s">
        <v>806</v>
      </c>
      <c r="H557" s="1" t="s">
        <v>810</v>
      </c>
      <c r="I557" s="1" t="s">
        <v>813</v>
      </c>
      <c r="J557" s="1" t="s">
        <v>818</v>
      </c>
      <c r="K557" s="1" t="s">
        <v>820</v>
      </c>
      <c r="L557" s="1" t="s">
        <v>850</v>
      </c>
      <c r="M557" s="1">
        <v>3.07</v>
      </c>
      <c r="N557" s="1">
        <v>1558.72</v>
      </c>
      <c r="O557" s="1">
        <v>4563.5200000000004</v>
      </c>
      <c r="P557" s="1">
        <v>0</v>
      </c>
      <c r="Q557" s="1">
        <v>4522.58</v>
      </c>
      <c r="R557" s="1">
        <v>4096.9399999999996</v>
      </c>
      <c r="S557" s="1">
        <f t="shared" si="17"/>
        <v>425.64000000000033</v>
      </c>
      <c r="T557" s="1" t="s">
        <v>875</v>
      </c>
      <c r="U557" s="1" t="s">
        <v>880</v>
      </c>
      <c r="V557" s="5" t="s">
        <v>883</v>
      </c>
    </row>
    <row r="558" spans="1:22" x14ac:dyDescent="0.3">
      <c r="A558" s="4" t="s">
        <v>187</v>
      </c>
      <c r="B558" s="3">
        <v>45531</v>
      </c>
      <c r="C558" s="1" t="str">
        <f t="shared" si="16"/>
        <v>August</v>
      </c>
      <c r="D558" s="1" t="s">
        <v>478</v>
      </c>
      <c r="E558" s="1" t="s">
        <v>671</v>
      </c>
      <c r="F558" s="1" t="s">
        <v>801</v>
      </c>
      <c r="G558" s="1" t="s">
        <v>806</v>
      </c>
      <c r="H558" s="1" t="s">
        <v>812</v>
      </c>
      <c r="I558" s="1" t="s">
        <v>816</v>
      </c>
      <c r="J558" s="1" t="s">
        <v>818</v>
      </c>
      <c r="K558" s="1" t="s">
        <v>820</v>
      </c>
      <c r="L558" s="1" t="s">
        <v>830</v>
      </c>
      <c r="M558" s="1">
        <v>3.85</v>
      </c>
      <c r="N558" s="1">
        <v>904.96</v>
      </c>
      <c r="O558" s="1">
        <v>3391.43</v>
      </c>
      <c r="P558" s="1">
        <v>0.11</v>
      </c>
      <c r="Q558" s="1">
        <v>3110.44</v>
      </c>
      <c r="R558" s="1">
        <v>1794.51</v>
      </c>
      <c r="S558" s="1">
        <f t="shared" si="17"/>
        <v>1315.93</v>
      </c>
      <c r="T558" s="1" t="s">
        <v>873</v>
      </c>
      <c r="U558" s="1" t="s">
        <v>880</v>
      </c>
      <c r="V558" s="5" t="s">
        <v>883</v>
      </c>
    </row>
    <row r="559" spans="1:22" x14ac:dyDescent="0.3">
      <c r="A559" s="4" t="s">
        <v>283</v>
      </c>
      <c r="B559" s="3">
        <v>45609</v>
      </c>
      <c r="C559" s="1" t="str">
        <f t="shared" si="16"/>
        <v>November</v>
      </c>
      <c r="D559" s="1" t="s">
        <v>473</v>
      </c>
      <c r="E559" s="1" t="s">
        <v>766</v>
      </c>
      <c r="F559" s="1" t="s">
        <v>801</v>
      </c>
      <c r="G559" s="1" t="s">
        <v>805</v>
      </c>
      <c r="H559" s="1" t="s">
        <v>812</v>
      </c>
      <c r="I559" s="1" t="s">
        <v>809</v>
      </c>
      <c r="J559" s="1" t="s">
        <v>817</v>
      </c>
      <c r="K559" s="1" t="s">
        <v>821</v>
      </c>
      <c r="L559" s="1" t="s">
        <v>871</v>
      </c>
      <c r="M559" s="1">
        <v>7.62</v>
      </c>
      <c r="N559" s="1">
        <v>1517.47</v>
      </c>
      <c r="O559" s="1">
        <v>13338.07</v>
      </c>
      <c r="P559" s="1">
        <v>0.09</v>
      </c>
      <c r="Q559" s="1">
        <v>11054.6</v>
      </c>
      <c r="R559" s="1">
        <v>8422.26</v>
      </c>
      <c r="S559" s="1">
        <f t="shared" si="17"/>
        <v>2632.34</v>
      </c>
      <c r="T559" s="1" t="s">
        <v>873</v>
      </c>
      <c r="U559" s="1" t="s">
        <v>880</v>
      </c>
      <c r="V559" s="5" t="s">
        <v>884</v>
      </c>
    </row>
    <row r="560" spans="1:22" x14ac:dyDescent="0.3">
      <c r="A560" s="4" t="s">
        <v>220</v>
      </c>
      <c r="B560" s="3">
        <v>45369</v>
      </c>
      <c r="C560" s="1" t="str">
        <f t="shared" si="16"/>
        <v>March</v>
      </c>
      <c r="D560" s="1" t="s">
        <v>400</v>
      </c>
      <c r="E560" s="1" t="s">
        <v>703</v>
      </c>
      <c r="F560" s="1" t="s">
        <v>802</v>
      </c>
      <c r="G560" s="1" t="s">
        <v>807</v>
      </c>
      <c r="H560" s="1" t="s">
        <v>810</v>
      </c>
      <c r="I560" s="1" t="s">
        <v>814</v>
      </c>
      <c r="J560" s="1" t="s">
        <v>817</v>
      </c>
      <c r="K560" s="1" t="s">
        <v>820</v>
      </c>
      <c r="L560" s="1" t="s">
        <v>852</v>
      </c>
      <c r="M560" s="1">
        <v>4.37</v>
      </c>
      <c r="N560" s="1">
        <v>464.41</v>
      </c>
      <c r="O560" s="1">
        <v>1640.59</v>
      </c>
      <c r="P560" s="1">
        <v>0.14000000000000001</v>
      </c>
      <c r="Q560" s="1">
        <v>1309.73</v>
      </c>
      <c r="R560" s="1">
        <v>987.36</v>
      </c>
      <c r="S560" s="1">
        <f t="shared" si="17"/>
        <v>322.37</v>
      </c>
      <c r="T560" s="1" t="s">
        <v>874</v>
      </c>
      <c r="U560" s="1" t="s">
        <v>879</v>
      </c>
      <c r="V560" s="5" t="s">
        <v>883</v>
      </c>
    </row>
    <row r="561" spans="1:22" x14ac:dyDescent="0.3">
      <c r="A561" s="4" t="s">
        <v>283</v>
      </c>
      <c r="B561" s="3">
        <v>45609</v>
      </c>
      <c r="C561" s="1" t="str">
        <f t="shared" si="16"/>
        <v>November</v>
      </c>
      <c r="D561" s="1" t="s">
        <v>473</v>
      </c>
      <c r="E561" s="1" t="s">
        <v>766</v>
      </c>
      <c r="F561" s="1" t="s">
        <v>801</v>
      </c>
      <c r="G561" s="1" t="s">
        <v>805</v>
      </c>
      <c r="H561" s="1" t="s">
        <v>812</v>
      </c>
      <c r="I561" s="1" t="s">
        <v>809</v>
      </c>
      <c r="J561" s="1" t="s">
        <v>817</v>
      </c>
      <c r="K561" s="1" t="s">
        <v>821</v>
      </c>
      <c r="L561" s="1" t="s">
        <v>871</v>
      </c>
      <c r="M561" s="1">
        <v>7.28</v>
      </c>
      <c r="N561" s="1">
        <v>1574.24</v>
      </c>
      <c r="O561" s="1">
        <v>12902.26</v>
      </c>
      <c r="P561" s="1">
        <v>0.08</v>
      </c>
      <c r="Q561" s="1">
        <v>11521.43</v>
      </c>
      <c r="R561" s="1">
        <v>7615.48</v>
      </c>
      <c r="S561" s="1">
        <f t="shared" si="17"/>
        <v>3905.9500000000007</v>
      </c>
      <c r="T561" s="1" t="s">
        <v>873</v>
      </c>
      <c r="U561" s="1" t="s">
        <v>880</v>
      </c>
      <c r="V561" s="5" t="s">
        <v>884</v>
      </c>
    </row>
    <row r="562" spans="1:22" x14ac:dyDescent="0.3">
      <c r="A562" s="4" t="s">
        <v>71</v>
      </c>
      <c r="B562" s="3">
        <v>45420</v>
      </c>
      <c r="C562" s="1" t="str">
        <f t="shared" si="16"/>
        <v>May</v>
      </c>
      <c r="D562" s="1" t="s">
        <v>358</v>
      </c>
      <c r="E562" s="1" t="s">
        <v>556</v>
      </c>
      <c r="F562" s="1" t="s">
        <v>802</v>
      </c>
      <c r="G562" s="1" t="s">
        <v>806</v>
      </c>
      <c r="H562" s="1" t="s">
        <v>811</v>
      </c>
      <c r="I562" s="1" t="s">
        <v>815</v>
      </c>
      <c r="J562" s="1" t="s">
        <v>817</v>
      </c>
      <c r="K562" s="1" t="s">
        <v>821</v>
      </c>
      <c r="L562" s="1" t="s">
        <v>851</v>
      </c>
      <c r="M562" s="1">
        <v>11.56</v>
      </c>
      <c r="N562" s="1">
        <v>1647.91</v>
      </c>
      <c r="O562" s="1">
        <v>20078.560000000001</v>
      </c>
      <c r="P562" s="1">
        <v>0</v>
      </c>
      <c r="Q562" s="1">
        <v>17823.830000000002</v>
      </c>
      <c r="R562" s="1">
        <v>12037.37</v>
      </c>
      <c r="S562" s="1">
        <f t="shared" si="17"/>
        <v>5786.4600000000009</v>
      </c>
      <c r="T562" s="1" t="s">
        <v>876</v>
      </c>
      <c r="U562" s="1" t="s">
        <v>881</v>
      </c>
      <c r="V562" s="5" t="s">
        <v>884</v>
      </c>
    </row>
    <row r="563" spans="1:22" x14ac:dyDescent="0.3">
      <c r="A563" s="4" t="s">
        <v>273</v>
      </c>
      <c r="B563" s="3">
        <v>45544</v>
      </c>
      <c r="C563" s="1" t="str">
        <f t="shared" si="16"/>
        <v>September</v>
      </c>
      <c r="D563" s="1" t="s">
        <v>475</v>
      </c>
      <c r="E563" s="1" t="s">
        <v>756</v>
      </c>
      <c r="F563" s="1" t="s">
        <v>802</v>
      </c>
      <c r="G563" s="1" t="s">
        <v>807</v>
      </c>
      <c r="H563" s="1" t="s">
        <v>811</v>
      </c>
      <c r="I563" s="1" t="s">
        <v>816</v>
      </c>
      <c r="J563" s="1" t="s">
        <v>817</v>
      </c>
      <c r="K563" s="1" t="s">
        <v>820</v>
      </c>
      <c r="L563" s="1" t="s">
        <v>848</v>
      </c>
      <c r="M563" s="1">
        <v>11.01</v>
      </c>
      <c r="N563" s="1">
        <v>3191.35</v>
      </c>
      <c r="O563" s="1">
        <v>32077.34</v>
      </c>
      <c r="P563" s="1">
        <v>0</v>
      </c>
      <c r="Q563" s="1">
        <v>38023.07</v>
      </c>
      <c r="R563" s="1">
        <v>25410.02</v>
      </c>
      <c r="S563" s="1">
        <f t="shared" si="17"/>
        <v>12613.05</v>
      </c>
      <c r="T563" s="1" t="s">
        <v>874</v>
      </c>
      <c r="U563" s="1" t="s">
        <v>881</v>
      </c>
      <c r="V563" s="5" t="s">
        <v>884</v>
      </c>
    </row>
    <row r="564" spans="1:22" x14ac:dyDescent="0.3">
      <c r="A564" s="4" t="s">
        <v>41</v>
      </c>
      <c r="B564" s="3">
        <v>45419</v>
      </c>
      <c r="C564" s="1" t="str">
        <f t="shared" si="16"/>
        <v>May</v>
      </c>
      <c r="D564" s="1" t="s">
        <v>326</v>
      </c>
      <c r="E564" s="1" t="s">
        <v>526</v>
      </c>
      <c r="F564" s="1" t="s">
        <v>803</v>
      </c>
      <c r="G564" s="1" t="s">
        <v>805</v>
      </c>
      <c r="H564" s="1" t="s">
        <v>812</v>
      </c>
      <c r="I564" s="1" t="s">
        <v>814</v>
      </c>
      <c r="J564" s="1" t="s">
        <v>818</v>
      </c>
      <c r="K564" s="1" t="s">
        <v>821</v>
      </c>
      <c r="L564" s="1" t="s">
        <v>842</v>
      </c>
      <c r="M564" s="1">
        <v>5</v>
      </c>
      <c r="N564" s="1">
        <v>569.42999999999995</v>
      </c>
      <c r="O564" s="1">
        <v>2882.24</v>
      </c>
      <c r="P564" s="1">
        <v>0</v>
      </c>
      <c r="Q564" s="1">
        <v>2555.65</v>
      </c>
      <c r="R564" s="1">
        <v>2036.43</v>
      </c>
      <c r="S564" s="1">
        <f t="shared" si="17"/>
        <v>519.22</v>
      </c>
      <c r="T564" s="1" t="s">
        <v>875</v>
      </c>
      <c r="U564" s="1" t="s">
        <v>879</v>
      </c>
      <c r="V564" s="5" t="s">
        <v>884</v>
      </c>
    </row>
    <row r="565" spans="1:22" x14ac:dyDescent="0.3">
      <c r="A565" s="4" t="s">
        <v>207</v>
      </c>
      <c r="B565" s="3">
        <v>45362</v>
      </c>
      <c r="C565" s="1" t="str">
        <f t="shared" si="16"/>
        <v>March</v>
      </c>
      <c r="D565" s="1" t="s">
        <v>483</v>
      </c>
      <c r="E565" s="1" t="s">
        <v>691</v>
      </c>
      <c r="F565" s="1" t="s">
        <v>802</v>
      </c>
      <c r="G565" s="1" t="s">
        <v>805</v>
      </c>
      <c r="H565" s="1" t="s">
        <v>809</v>
      </c>
      <c r="I565" s="1" t="s">
        <v>813</v>
      </c>
      <c r="J565" s="1" t="s">
        <v>818</v>
      </c>
      <c r="K565" s="1" t="s">
        <v>821</v>
      </c>
      <c r="L565" s="1" t="s">
        <v>831</v>
      </c>
      <c r="M565" s="1">
        <v>5.26</v>
      </c>
      <c r="N565" s="1">
        <v>2015.56</v>
      </c>
      <c r="O565" s="1">
        <v>11476.43</v>
      </c>
      <c r="P565" s="1">
        <v>0</v>
      </c>
      <c r="Q565" s="1">
        <v>13783.06</v>
      </c>
      <c r="R565" s="1">
        <v>9431.11</v>
      </c>
      <c r="S565" s="1">
        <f t="shared" si="17"/>
        <v>4351.9499999999989</v>
      </c>
      <c r="T565" s="1" t="s">
        <v>873</v>
      </c>
      <c r="U565" s="1" t="s">
        <v>879</v>
      </c>
      <c r="V565" s="5" t="s">
        <v>883</v>
      </c>
    </row>
    <row r="566" spans="1:22" x14ac:dyDescent="0.3">
      <c r="A566" s="4" t="s">
        <v>41</v>
      </c>
      <c r="B566" s="3">
        <v>45419</v>
      </c>
      <c r="C566" s="1" t="str">
        <f t="shared" si="16"/>
        <v>May</v>
      </c>
      <c r="D566" s="1" t="s">
        <v>326</v>
      </c>
      <c r="E566" s="1" t="s">
        <v>526</v>
      </c>
      <c r="F566" s="1" t="s">
        <v>803</v>
      </c>
      <c r="G566" s="1" t="s">
        <v>805</v>
      </c>
      <c r="H566" s="1" t="s">
        <v>812</v>
      </c>
      <c r="I566" s="1" t="s">
        <v>814</v>
      </c>
      <c r="J566" s="1" t="s">
        <v>818</v>
      </c>
      <c r="K566" s="1" t="s">
        <v>821</v>
      </c>
      <c r="L566" s="1" t="s">
        <v>842</v>
      </c>
      <c r="M566" s="1">
        <v>4.62</v>
      </c>
      <c r="N566" s="1">
        <v>558.33000000000004</v>
      </c>
      <c r="O566" s="1">
        <v>2803.76</v>
      </c>
      <c r="P566" s="1">
        <v>0</v>
      </c>
      <c r="Q566" s="1">
        <v>2786.47</v>
      </c>
      <c r="R566" s="1">
        <v>1762.15</v>
      </c>
      <c r="S566" s="1">
        <f t="shared" si="17"/>
        <v>1024.3199999999997</v>
      </c>
      <c r="T566" s="1" t="s">
        <v>875</v>
      </c>
      <c r="U566" s="1" t="s">
        <v>879</v>
      </c>
      <c r="V566" s="5" t="s">
        <v>884</v>
      </c>
    </row>
    <row r="567" spans="1:22" x14ac:dyDescent="0.3">
      <c r="A567" s="4" t="s">
        <v>194</v>
      </c>
      <c r="B567" s="3">
        <v>45493</v>
      </c>
      <c r="C567" s="1" t="str">
        <f t="shared" si="16"/>
        <v>July</v>
      </c>
      <c r="D567" s="1" t="s">
        <v>353</v>
      </c>
      <c r="E567" s="1" t="s">
        <v>678</v>
      </c>
      <c r="F567" s="1" t="s">
        <v>801</v>
      </c>
      <c r="G567" s="1" t="s">
        <v>805</v>
      </c>
      <c r="H567" s="1" t="s">
        <v>812</v>
      </c>
      <c r="I567" s="1" t="s">
        <v>814</v>
      </c>
      <c r="J567" s="1" t="s">
        <v>818</v>
      </c>
      <c r="K567" s="1" t="s">
        <v>821</v>
      </c>
      <c r="L567" s="1" t="s">
        <v>862</v>
      </c>
      <c r="M567" s="1">
        <v>10.76</v>
      </c>
      <c r="N567" s="1">
        <v>3001.82</v>
      </c>
      <c r="O567" s="1">
        <v>29543.15</v>
      </c>
      <c r="P567" s="1">
        <v>0.1</v>
      </c>
      <c r="Q567" s="1">
        <v>28036.59</v>
      </c>
      <c r="R567" s="1">
        <v>21745.279999999999</v>
      </c>
      <c r="S567" s="1">
        <f t="shared" si="17"/>
        <v>6291.3100000000013</v>
      </c>
      <c r="T567" s="1" t="s">
        <v>873</v>
      </c>
      <c r="U567" s="1" t="s">
        <v>881</v>
      </c>
      <c r="V567" s="5" t="s">
        <v>882</v>
      </c>
    </row>
    <row r="568" spans="1:22" x14ac:dyDescent="0.3">
      <c r="A568" s="4" t="s">
        <v>257</v>
      </c>
      <c r="B568" s="3">
        <v>45442</v>
      </c>
      <c r="C568" s="1" t="str">
        <f t="shared" si="16"/>
        <v>May</v>
      </c>
      <c r="D568" s="1" t="s">
        <v>467</v>
      </c>
      <c r="E568" s="1" t="s">
        <v>740</v>
      </c>
      <c r="F568" s="1" t="s">
        <v>802</v>
      </c>
      <c r="G568" s="1" t="s">
        <v>804</v>
      </c>
      <c r="H568" s="1" t="s">
        <v>811</v>
      </c>
      <c r="I568" s="1" t="s">
        <v>809</v>
      </c>
      <c r="J568" s="1" t="s">
        <v>817</v>
      </c>
      <c r="K568" s="1" t="s">
        <v>820</v>
      </c>
      <c r="L568" s="1" t="s">
        <v>865</v>
      </c>
      <c r="M568" s="1">
        <v>4</v>
      </c>
      <c r="N568" s="1">
        <v>2024.03</v>
      </c>
      <c r="O568" s="1">
        <v>8992.4500000000007</v>
      </c>
      <c r="P568" s="1">
        <v>0.05</v>
      </c>
      <c r="Q568" s="1">
        <v>7617.31</v>
      </c>
      <c r="R568" s="1">
        <v>4542.09</v>
      </c>
      <c r="S568" s="1">
        <f t="shared" si="17"/>
        <v>3075.2200000000003</v>
      </c>
      <c r="T568" s="1" t="s">
        <v>873</v>
      </c>
      <c r="U568" s="1" t="s">
        <v>880</v>
      </c>
      <c r="V568" s="5" t="s">
        <v>883</v>
      </c>
    </row>
    <row r="569" spans="1:22" x14ac:dyDescent="0.3">
      <c r="A569" s="4" t="s">
        <v>54</v>
      </c>
      <c r="B569" s="3">
        <v>45447</v>
      </c>
      <c r="C569" s="1" t="str">
        <f t="shared" si="16"/>
        <v>June</v>
      </c>
      <c r="D569" s="1" t="s">
        <v>343</v>
      </c>
      <c r="E569" s="1" t="s">
        <v>539</v>
      </c>
      <c r="F569" s="1" t="s">
        <v>801</v>
      </c>
      <c r="G569" s="1" t="s">
        <v>805</v>
      </c>
      <c r="H569" s="1" t="s">
        <v>810</v>
      </c>
      <c r="I569" s="1" t="s">
        <v>815</v>
      </c>
      <c r="J569" s="1" t="s">
        <v>818</v>
      </c>
      <c r="K569" s="1" t="s">
        <v>821</v>
      </c>
      <c r="L569" s="1" t="s">
        <v>848</v>
      </c>
      <c r="M569" s="1">
        <v>4.3600000000000003</v>
      </c>
      <c r="N569" s="1">
        <v>722.99</v>
      </c>
      <c r="O569" s="1">
        <v>2606.98</v>
      </c>
      <c r="P569" s="1">
        <v>0.05</v>
      </c>
      <c r="Q569" s="1">
        <v>2266.08</v>
      </c>
      <c r="R569" s="1">
        <v>1822.82</v>
      </c>
      <c r="S569" s="1">
        <f t="shared" si="17"/>
        <v>443.26</v>
      </c>
      <c r="T569" s="1" t="s">
        <v>875</v>
      </c>
      <c r="U569" s="1" t="s">
        <v>877</v>
      </c>
      <c r="V569" s="5" t="s">
        <v>883</v>
      </c>
    </row>
    <row r="570" spans="1:22" x14ac:dyDescent="0.3">
      <c r="A570" s="4" t="s">
        <v>188</v>
      </c>
      <c r="B570" s="3">
        <v>45425</v>
      </c>
      <c r="C570" s="1" t="str">
        <f t="shared" si="16"/>
        <v>May</v>
      </c>
      <c r="D570" s="1" t="s">
        <v>336</v>
      </c>
      <c r="E570" s="1" t="s">
        <v>672</v>
      </c>
      <c r="F570" s="1" t="s">
        <v>802</v>
      </c>
      <c r="G570" s="1" t="s">
        <v>806</v>
      </c>
      <c r="H570" s="1" t="s">
        <v>810</v>
      </c>
      <c r="I570" s="1" t="s">
        <v>809</v>
      </c>
      <c r="J570" s="1" t="s">
        <v>818</v>
      </c>
      <c r="K570" s="1" t="s">
        <v>821</v>
      </c>
      <c r="L570" s="1" t="s">
        <v>859</v>
      </c>
      <c r="M570" s="1">
        <v>8.02</v>
      </c>
      <c r="N570" s="1">
        <v>2402.25</v>
      </c>
      <c r="O570" s="1">
        <v>18392.650000000001</v>
      </c>
      <c r="P570" s="1">
        <v>0.09</v>
      </c>
      <c r="Q570" s="1">
        <v>16896.509999999998</v>
      </c>
      <c r="R570" s="1">
        <v>12233.12</v>
      </c>
      <c r="S570" s="1">
        <f t="shared" si="17"/>
        <v>4663.3899999999976</v>
      </c>
      <c r="T570" s="1" t="s">
        <v>874</v>
      </c>
      <c r="U570" s="1" t="s">
        <v>878</v>
      </c>
      <c r="V570" s="5" t="s">
        <v>882</v>
      </c>
    </row>
    <row r="571" spans="1:22" x14ac:dyDescent="0.3">
      <c r="A571" s="4" t="s">
        <v>306</v>
      </c>
      <c r="B571" s="3">
        <v>45337</v>
      </c>
      <c r="C571" s="1" t="str">
        <f t="shared" si="16"/>
        <v>February</v>
      </c>
      <c r="D571" s="1" t="s">
        <v>380</v>
      </c>
      <c r="E571" s="1" t="s">
        <v>788</v>
      </c>
      <c r="F571" s="1" t="s">
        <v>803</v>
      </c>
      <c r="G571" s="1" t="s">
        <v>804</v>
      </c>
      <c r="H571" s="1" t="s">
        <v>809</v>
      </c>
      <c r="I571" s="1" t="s">
        <v>809</v>
      </c>
      <c r="J571" s="1" t="s">
        <v>817</v>
      </c>
      <c r="K571" s="1" t="s">
        <v>820</v>
      </c>
      <c r="L571" s="1" t="s">
        <v>828</v>
      </c>
      <c r="M571" s="1">
        <v>4.7300000000000004</v>
      </c>
      <c r="N571" s="1">
        <v>1407.1</v>
      </c>
      <c r="O571" s="1">
        <v>6528.57</v>
      </c>
      <c r="P571" s="1">
        <v>0.1</v>
      </c>
      <c r="Q571" s="1">
        <v>6166.7</v>
      </c>
      <c r="R571" s="1">
        <v>4181.8500000000004</v>
      </c>
      <c r="S571" s="1">
        <f t="shared" si="17"/>
        <v>1984.8499999999995</v>
      </c>
      <c r="T571" s="1" t="s">
        <v>875</v>
      </c>
      <c r="U571" s="1" t="s">
        <v>881</v>
      </c>
      <c r="V571" s="5" t="s">
        <v>884</v>
      </c>
    </row>
    <row r="572" spans="1:22" x14ac:dyDescent="0.3">
      <c r="A572" s="4" t="s">
        <v>239</v>
      </c>
      <c r="B572" s="3">
        <v>45508</v>
      </c>
      <c r="C572" s="1" t="str">
        <f t="shared" si="16"/>
        <v>August</v>
      </c>
      <c r="D572" s="1" t="s">
        <v>409</v>
      </c>
      <c r="E572" s="1" t="s">
        <v>722</v>
      </c>
      <c r="F572" s="1" t="s">
        <v>801</v>
      </c>
      <c r="G572" s="1" t="s">
        <v>806</v>
      </c>
      <c r="H572" s="1" t="s">
        <v>809</v>
      </c>
      <c r="I572" s="1" t="s">
        <v>813</v>
      </c>
      <c r="J572" s="1" t="s">
        <v>818</v>
      </c>
      <c r="K572" s="1" t="s">
        <v>821</v>
      </c>
      <c r="L572" s="1" t="s">
        <v>844</v>
      </c>
      <c r="M572" s="1">
        <v>8.65</v>
      </c>
      <c r="N572" s="1">
        <v>1707.92</v>
      </c>
      <c r="O572" s="1">
        <v>15532.13</v>
      </c>
      <c r="P572" s="1">
        <v>0.05</v>
      </c>
      <c r="Q572" s="1">
        <v>15185.01</v>
      </c>
      <c r="R572" s="1">
        <v>9198.11</v>
      </c>
      <c r="S572" s="1">
        <f t="shared" si="17"/>
        <v>5986.9</v>
      </c>
      <c r="T572" s="1" t="s">
        <v>873</v>
      </c>
      <c r="U572" s="1" t="s">
        <v>880</v>
      </c>
      <c r="V572" s="5" t="s">
        <v>882</v>
      </c>
    </row>
    <row r="573" spans="1:22" x14ac:dyDescent="0.3">
      <c r="A573" s="4" t="s">
        <v>190</v>
      </c>
      <c r="B573" s="3">
        <v>45451</v>
      </c>
      <c r="C573" s="1" t="str">
        <f t="shared" si="16"/>
        <v>June</v>
      </c>
      <c r="D573" s="1" t="s">
        <v>365</v>
      </c>
      <c r="E573" s="1" t="s">
        <v>674</v>
      </c>
      <c r="F573" s="1" t="s">
        <v>801</v>
      </c>
      <c r="G573" s="1" t="s">
        <v>806</v>
      </c>
      <c r="H573" s="1" t="s">
        <v>812</v>
      </c>
      <c r="I573" s="1" t="s">
        <v>813</v>
      </c>
      <c r="J573" s="1" t="s">
        <v>817</v>
      </c>
      <c r="K573" s="1" t="s">
        <v>822</v>
      </c>
      <c r="L573" s="1" t="s">
        <v>828</v>
      </c>
      <c r="M573" s="1">
        <v>3.68</v>
      </c>
      <c r="N573" s="1">
        <v>1234.95</v>
      </c>
      <c r="O573" s="1">
        <v>5402.07</v>
      </c>
      <c r="P573" s="1">
        <v>0.16</v>
      </c>
      <c r="Q573" s="1">
        <v>4595.6099999999997</v>
      </c>
      <c r="R573" s="1">
        <v>3198.32</v>
      </c>
      <c r="S573" s="1">
        <f t="shared" si="17"/>
        <v>1397.2899999999995</v>
      </c>
      <c r="T573" s="1" t="s">
        <v>874</v>
      </c>
      <c r="U573" s="1" t="s">
        <v>878</v>
      </c>
      <c r="V573" s="5" t="s">
        <v>882</v>
      </c>
    </row>
    <row r="574" spans="1:22" x14ac:dyDescent="0.3">
      <c r="A574" s="4" t="s">
        <v>296</v>
      </c>
      <c r="B574" s="3">
        <v>45381</v>
      </c>
      <c r="C574" s="1" t="str">
        <f t="shared" si="16"/>
        <v>March</v>
      </c>
      <c r="D574" s="1" t="s">
        <v>502</v>
      </c>
      <c r="E574" s="1" t="s">
        <v>778</v>
      </c>
      <c r="F574" s="1" t="s">
        <v>803</v>
      </c>
      <c r="G574" s="1" t="s">
        <v>807</v>
      </c>
      <c r="H574" s="1" t="s">
        <v>809</v>
      </c>
      <c r="I574" s="1" t="s">
        <v>813</v>
      </c>
      <c r="J574" s="1" t="s">
        <v>819</v>
      </c>
      <c r="K574" s="1" t="s">
        <v>822</v>
      </c>
      <c r="L574" s="1" t="s">
        <v>826</v>
      </c>
      <c r="M574" s="1">
        <v>5.56</v>
      </c>
      <c r="N574" s="1">
        <v>1868.15</v>
      </c>
      <c r="O574" s="1">
        <v>10781.41</v>
      </c>
      <c r="P574" s="1">
        <v>0</v>
      </c>
      <c r="Q574" s="1">
        <v>9778.06</v>
      </c>
      <c r="R574" s="1">
        <v>7391.4</v>
      </c>
      <c r="S574" s="1">
        <f t="shared" si="17"/>
        <v>2386.66</v>
      </c>
      <c r="T574" s="1" t="s">
        <v>876</v>
      </c>
      <c r="U574" s="1" t="s">
        <v>879</v>
      </c>
      <c r="V574" s="5" t="s">
        <v>884</v>
      </c>
    </row>
    <row r="575" spans="1:22" x14ac:dyDescent="0.3">
      <c r="A575" s="4" t="s">
        <v>80</v>
      </c>
      <c r="B575" s="3">
        <v>45426</v>
      </c>
      <c r="C575" s="1" t="str">
        <f t="shared" si="16"/>
        <v>May</v>
      </c>
      <c r="D575" s="1" t="s">
        <v>454</v>
      </c>
      <c r="E575" s="1" t="s">
        <v>565</v>
      </c>
      <c r="F575" s="1" t="s">
        <v>803</v>
      </c>
      <c r="G575" s="1" t="s">
        <v>806</v>
      </c>
      <c r="H575" s="1" t="s">
        <v>809</v>
      </c>
      <c r="I575" s="1" t="s">
        <v>816</v>
      </c>
      <c r="J575" s="1" t="s">
        <v>818</v>
      </c>
      <c r="K575" s="1" t="s">
        <v>822</v>
      </c>
      <c r="L575" s="1" t="s">
        <v>857</v>
      </c>
      <c r="M575" s="1">
        <v>12.76</v>
      </c>
      <c r="N575" s="1">
        <v>2462.27</v>
      </c>
      <c r="O575" s="1">
        <v>30311.42</v>
      </c>
      <c r="P575" s="1">
        <v>0.11</v>
      </c>
      <c r="Q575" s="1">
        <v>24764.18</v>
      </c>
      <c r="R575" s="1">
        <v>18238.939999999999</v>
      </c>
      <c r="S575" s="1">
        <f t="shared" si="17"/>
        <v>6525.2400000000016</v>
      </c>
      <c r="T575" s="1" t="s">
        <v>873</v>
      </c>
      <c r="U575" s="1" t="s">
        <v>879</v>
      </c>
      <c r="V575" s="5" t="s">
        <v>884</v>
      </c>
    </row>
    <row r="576" spans="1:22" x14ac:dyDescent="0.3">
      <c r="A576" s="4" t="s">
        <v>212</v>
      </c>
      <c r="B576" s="3">
        <v>45479</v>
      </c>
      <c r="C576" s="1" t="str">
        <f t="shared" si="16"/>
        <v>July</v>
      </c>
      <c r="D576" s="1" t="s">
        <v>352</v>
      </c>
      <c r="E576" s="1" t="s">
        <v>695</v>
      </c>
      <c r="F576" s="1" t="s">
        <v>803</v>
      </c>
      <c r="G576" s="1" t="s">
        <v>807</v>
      </c>
      <c r="H576" s="1" t="s">
        <v>808</v>
      </c>
      <c r="I576" s="1" t="s">
        <v>814</v>
      </c>
      <c r="J576" s="1" t="s">
        <v>819</v>
      </c>
      <c r="K576" s="1" t="s">
        <v>821</v>
      </c>
      <c r="L576" s="1" t="s">
        <v>826</v>
      </c>
      <c r="M576" s="1">
        <v>5.4</v>
      </c>
      <c r="N576" s="1">
        <v>2656.46</v>
      </c>
      <c r="O576" s="1">
        <v>18056.89</v>
      </c>
      <c r="P576" s="1">
        <v>0</v>
      </c>
      <c r="Q576" s="1">
        <v>18400.560000000001</v>
      </c>
      <c r="R576" s="1">
        <v>13691.37</v>
      </c>
      <c r="S576" s="1">
        <f t="shared" si="17"/>
        <v>4709.1900000000005</v>
      </c>
      <c r="T576" s="1" t="s">
        <v>876</v>
      </c>
      <c r="U576" s="1" t="s">
        <v>881</v>
      </c>
      <c r="V576" s="5" t="s">
        <v>884</v>
      </c>
    </row>
    <row r="577" spans="1:22" x14ac:dyDescent="0.3">
      <c r="A577" s="4" t="s">
        <v>99</v>
      </c>
      <c r="B577" s="3">
        <v>45427</v>
      </c>
      <c r="C577" s="1" t="str">
        <f t="shared" si="16"/>
        <v>May</v>
      </c>
      <c r="D577" s="1" t="s">
        <v>458</v>
      </c>
      <c r="E577" s="1" t="s">
        <v>584</v>
      </c>
      <c r="F577" s="1" t="s">
        <v>802</v>
      </c>
      <c r="G577" s="1" t="s">
        <v>804</v>
      </c>
      <c r="H577" s="1" t="s">
        <v>812</v>
      </c>
      <c r="I577" s="1" t="s">
        <v>814</v>
      </c>
      <c r="J577" s="1" t="s">
        <v>818</v>
      </c>
      <c r="K577" s="1" t="s">
        <v>822</v>
      </c>
      <c r="L577" s="1" t="s">
        <v>855</v>
      </c>
      <c r="M577" s="1">
        <v>9.65</v>
      </c>
      <c r="N577" s="1">
        <v>525.62</v>
      </c>
      <c r="O577" s="1">
        <v>5164.78</v>
      </c>
      <c r="P577" s="1">
        <v>0.1</v>
      </c>
      <c r="Q577" s="1">
        <v>4531.71</v>
      </c>
      <c r="R577" s="1">
        <v>3858.82</v>
      </c>
      <c r="S577" s="1">
        <f t="shared" si="17"/>
        <v>672.88999999999987</v>
      </c>
      <c r="T577" s="1" t="s">
        <v>874</v>
      </c>
      <c r="U577" s="1" t="s">
        <v>879</v>
      </c>
      <c r="V577" s="5" t="s">
        <v>884</v>
      </c>
    </row>
    <row r="578" spans="1:22" x14ac:dyDescent="0.3">
      <c r="A578" s="4" t="s">
        <v>243</v>
      </c>
      <c r="B578" s="3">
        <v>45478</v>
      </c>
      <c r="C578" s="1" t="str">
        <f t="shared" ref="C578:C641" si="18">TEXT(B578,"MMMM")</f>
        <v>July</v>
      </c>
      <c r="D578" s="1" t="s">
        <v>484</v>
      </c>
      <c r="E578" s="1" t="s">
        <v>726</v>
      </c>
      <c r="F578" s="1" t="s">
        <v>803</v>
      </c>
      <c r="G578" s="1" t="s">
        <v>805</v>
      </c>
      <c r="H578" s="1" t="s">
        <v>810</v>
      </c>
      <c r="I578" s="1" t="s">
        <v>809</v>
      </c>
      <c r="J578" s="1" t="s">
        <v>819</v>
      </c>
      <c r="K578" s="1" t="s">
        <v>822</v>
      </c>
      <c r="L578" s="1" t="s">
        <v>831</v>
      </c>
      <c r="M578" s="1">
        <v>4.1500000000000004</v>
      </c>
      <c r="N578" s="1">
        <v>1720.04</v>
      </c>
      <c r="O578" s="1">
        <v>9558.07</v>
      </c>
      <c r="P578" s="1">
        <v>0.12</v>
      </c>
      <c r="Q578" s="1">
        <v>7017.88</v>
      </c>
      <c r="R578" s="1">
        <v>5728.37</v>
      </c>
      <c r="S578" s="1">
        <f t="shared" ref="S578:S641" si="19">Q578-R578</f>
        <v>1289.5100000000002</v>
      </c>
      <c r="T578" s="1" t="s">
        <v>873</v>
      </c>
      <c r="U578" s="1" t="s">
        <v>877</v>
      </c>
      <c r="V578" s="5" t="s">
        <v>884</v>
      </c>
    </row>
    <row r="579" spans="1:22" x14ac:dyDescent="0.3">
      <c r="A579" s="4" t="s">
        <v>38</v>
      </c>
      <c r="B579" s="3">
        <v>45572</v>
      </c>
      <c r="C579" s="1" t="str">
        <f t="shared" si="18"/>
        <v>October</v>
      </c>
      <c r="D579" s="1" t="s">
        <v>443</v>
      </c>
      <c r="E579" s="1" t="s">
        <v>523</v>
      </c>
      <c r="F579" s="1" t="s">
        <v>801</v>
      </c>
      <c r="G579" s="1" t="s">
        <v>806</v>
      </c>
      <c r="H579" s="1" t="s">
        <v>810</v>
      </c>
      <c r="I579" s="1" t="s">
        <v>809</v>
      </c>
      <c r="J579" s="1" t="s">
        <v>819</v>
      </c>
      <c r="K579" s="1" t="s">
        <v>820</v>
      </c>
      <c r="L579" s="1" t="s">
        <v>839</v>
      </c>
      <c r="M579" s="1">
        <v>3.05</v>
      </c>
      <c r="N579" s="1">
        <v>471.78</v>
      </c>
      <c r="O579" s="1">
        <v>1414.63</v>
      </c>
      <c r="P579" s="1">
        <v>0</v>
      </c>
      <c r="Q579" s="1">
        <v>1319.74</v>
      </c>
      <c r="R579" s="1">
        <v>948.13</v>
      </c>
      <c r="S579" s="1">
        <f t="shared" si="19"/>
        <v>371.61</v>
      </c>
      <c r="T579" s="1" t="s">
        <v>875</v>
      </c>
      <c r="U579" s="1" t="s">
        <v>881</v>
      </c>
      <c r="V579" s="5" t="s">
        <v>884</v>
      </c>
    </row>
    <row r="580" spans="1:22" x14ac:dyDescent="0.3">
      <c r="A580" s="4" t="s">
        <v>199</v>
      </c>
      <c r="B580" s="3">
        <v>45374</v>
      </c>
      <c r="C580" s="1" t="str">
        <f t="shared" si="18"/>
        <v>March</v>
      </c>
      <c r="D580" s="1" t="s">
        <v>394</v>
      </c>
      <c r="E580" s="1" t="s">
        <v>683</v>
      </c>
      <c r="F580" s="1" t="s">
        <v>803</v>
      </c>
      <c r="G580" s="1" t="s">
        <v>804</v>
      </c>
      <c r="H580" s="1" t="s">
        <v>811</v>
      </c>
      <c r="I580" s="1" t="s">
        <v>816</v>
      </c>
      <c r="J580" s="1" t="s">
        <v>817</v>
      </c>
      <c r="K580" s="1" t="s">
        <v>821</v>
      </c>
      <c r="L580" s="1" t="s">
        <v>850</v>
      </c>
      <c r="M580" s="1">
        <v>8.06</v>
      </c>
      <c r="N580" s="1">
        <v>1839.21</v>
      </c>
      <c r="O580" s="1">
        <v>15464.2</v>
      </c>
      <c r="P580" s="1">
        <v>0.1</v>
      </c>
      <c r="Q580" s="1">
        <v>13042.35</v>
      </c>
      <c r="R580" s="1">
        <v>9035.07</v>
      </c>
      <c r="S580" s="1">
        <f t="shared" si="19"/>
        <v>4007.2800000000007</v>
      </c>
      <c r="T580" s="1" t="s">
        <v>874</v>
      </c>
      <c r="U580" s="1" t="s">
        <v>881</v>
      </c>
      <c r="V580" s="5" t="s">
        <v>884</v>
      </c>
    </row>
    <row r="581" spans="1:22" x14ac:dyDescent="0.3">
      <c r="A581" s="4" t="s">
        <v>289</v>
      </c>
      <c r="B581" s="3">
        <v>45488</v>
      </c>
      <c r="C581" s="1" t="str">
        <f t="shared" si="18"/>
        <v>July</v>
      </c>
      <c r="D581" s="1" t="s">
        <v>401</v>
      </c>
      <c r="E581" s="1" t="s">
        <v>772</v>
      </c>
      <c r="F581" s="1" t="s">
        <v>801</v>
      </c>
      <c r="G581" s="1" t="s">
        <v>804</v>
      </c>
      <c r="H581" s="1" t="s">
        <v>812</v>
      </c>
      <c r="I581" s="1" t="s">
        <v>814</v>
      </c>
      <c r="J581" s="1" t="s">
        <v>817</v>
      </c>
      <c r="K581" s="1" t="s">
        <v>822</v>
      </c>
      <c r="L581" s="1" t="s">
        <v>856</v>
      </c>
      <c r="M581" s="1">
        <v>4.63</v>
      </c>
      <c r="N581" s="1">
        <v>2804.1</v>
      </c>
      <c r="O581" s="1">
        <v>12881.5</v>
      </c>
      <c r="P581" s="1">
        <v>0.1</v>
      </c>
      <c r="Q581" s="1">
        <v>12084.7</v>
      </c>
      <c r="R581" s="1">
        <v>9703.5400000000009</v>
      </c>
      <c r="S581" s="1">
        <f t="shared" si="19"/>
        <v>2381.16</v>
      </c>
      <c r="T581" s="1" t="s">
        <v>876</v>
      </c>
      <c r="U581" s="1" t="s">
        <v>877</v>
      </c>
      <c r="V581" s="5" t="s">
        <v>884</v>
      </c>
    </row>
    <row r="582" spans="1:22" x14ac:dyDescent="0.3">
      <c r="A582" s="4" t="s">
        <v>318</v>
      </c>
      <c r="B582" s="3">
        <v>45620</v>
      </c>
      <c r="C582" s="1" t="str">
        <f t="shared" si="18"/>
        <v>November</v>
      </c>
      <c r="D582" s="1" t="s">
        <v>505</v>
      </c>
      <c r="E582" s="1" t="s">
        <v>800</v>
      </c>
      <c r="F582" s="1" t="s">
        <v>801</v>
      </c>
      <c r="G582" s="1" t="s">
        <v>806</v>
      </c>
      <c r="H582" s="1" t="s">
        <v>812</v>
      </c>
      <c r="I582" s="1" t="s">
        <v>809</v>
      </c>
      <c r="J582" s="1" t="s">
        <v>819</v>
      </c>
      <c r="K582" s="1" t="s">
        <v>822</v>
      </c>
      <c r="L582" s="1" t="s">
        <v>826</v>
      </c>
      <c r="M582" s="1">
        <v>5.01</v>
      </c>
      <c r="N582" s="1">
        <v>2971.24</v>
      </c>
      <c r="O582" s="1">
        <v>15717.2</v>
      </c>
      <c r="P582" s="1">
        <v>0</v>
      </c>
      <c r="Q582" s="1">
        <v>15520.4</v>
      </c>
      <c r="R582" s="1">
        <v>9023.2199999999993</v>
      </c>
      <c r="S582" s="1">
        <f t="shared" si="19"/>
        <v>6497.18</v>
      </c>
      <c r="T582" s="1" t="s">
        <v>876</v>
      </c>
      <c r="U582" s="1" t="s">
        <v>877</v>
      </c>
      <c r="V582" s="5" t="s">
        <v>884</v>
      </c>
    </row>
    <row r="583" spans="1:22" x14ac:dyDescent="0.3">
      <c r="A583" s="4" t="s">
        <v>56</v>
      </c>
      <c r="B583" s="3">
        <v>45484</v>
      </c>
      <c r="C583" s="1" t="str">
        <f t="shared" si="18"/>
        <v>July</v>
      </c>
      <c r="D583" s="1" t="s">
        <v>376</v>
      </c>
      <c r="E583" s="1" t="s">
        <v>541</v>
      </c>
      <c r="F583" s="1" t="s">
        <v>801</v>
      </c>
      <c r="G583" s="1" t="s">
        <v>807</v>
      </c>
      <c r="H583" s="1" t="s">
        <v>809</v>
      </c>
      <c r="I583" s="1" t="s">
        <v>816</v>
      </c>
      <c r="J583" s="1" t="s">
        <v>817</v>
      </c>
      <c r="K583" s="1" t="s">
        <v>821</v>
      </c>
      <c r="L583" s="1" t="s">
        <v>842</v>
      </c>
      <c r="M583" s="1">
        <v>8.02</v>
      </c>
      <c r="N583" s="1">
        <v>2007.6</v>
      </c>
      <c r="O583" s="1">
        <v>17953</v>
      </c>
      <c r="P583" s="1">
        <v>0</v>
      </c>
      <c r="Q583" s="1">
        <v>16971.669999999998</v>
      </c>
      <c r="R583" s="1">
        <v>13311.13</v>
      </c>
      <c r="S583" s="1">
        <f t="shared" si="19"/>
        <v>3660.5399999999991</v>
      </c>
      <c r="T583" s="1" t="s">
        <v>876</v>
      </c>
      <c r="U583" s="1" t="s">
        <v>881</v>
      </c>
      <c r="V583" s="5" t="s">
        <v>882</v>
      </c>
    </row>
    <row r="584" spans="1:22" x14ac:dyDescent="0.3">
      <c r="A584" s="4" t="s">
        <v>198</v>
      </c>
      <c r="B584" s="3">
        <v>45499</v>
      </c>
      <c r="C584" s="1" t="str">
        <f t="shared" si="18"/>
        <v>July</v>
      </c>
      <c r="D584" s="1" t="s">
        <v>480</v>
      </c>
      <c r="E584" s="1" t="s">
        <v>682</v>
      </c>
      <c r="F584" s="1" t="s">
        <v>803</v>
      </c>
      <c r="G584" s="1" t="s">
        <v>804</v>
      </c>
      <c r="H584" s="1" t="s">
        <v>809</v>
      </c>
      <c r="I584" s="1" t="s">
        <v>815</v>
      </c>
      <c r="J584" s="1" t="s">
        <v>819</v>
      </c>
      <c r="K584" s="1" t="s">
        <v>820</v>
      </c>
      <c r="L584" s="1" t="s">
        <v>866</v>
      </c>
      <c r="M584" s="1">
        <v>4.0199999999999996</v>
      </c>
      <c r="N584" s="1">
        <v>780.73</v>
      </c>
      <c r="O584" s="1">
        <v>3017.32</v>
      </c>
      <c r="P584" s="1">
        <v>0.1</v>
      </c>
      <c r="Q584" s="1">
        <v>2473.31</v>
      </c>
      <c r="R584" s="1">
        <v>1560.75</v>
      </c>
      <c r="S584" s="1">
        <f t="shared" si="19"/>
        <v>912.56</v>
      </c>
      <c r="T584" s="1" t="s">
        <v>874</v>
      </c>
      <c r="U584" s="1" t="s">
        <v>878</v>
      </c>
      <c r="V584" s="5" t="s">
        <v>882</v>
      </c>
    </row>
    <row r="585" spans="1:22" x14ac:dyDescent="0.3">
      <c r="A585" s="4" t="s">
        <v>251</v>
      </c>
      <c r="B585" s="3">
        <v>45405</v>
      </c>
      <c r="C585" s="1" t="str">
        <f t="shared" si="18"/>
        <v>April</v>
      </c>
      <c r="D585" s="1" t="s">
        <v>492</v>
      </c>
      <c r="E585" s="1" t="s">
        <v>734</v>
      </c>
      <c r="F585" s="1" t="s">
        <v>803</v>
      </c>
      <c r="G585" s="1" t="s">
        <v>805</v>
      </c>
      <c r="H585" s="1" t="s">
        <v>809</v>
      </c>
      <c r="I585" s="1" t="s">
        <v>813</v>
      </c>
      <c r="J585" s="1" t="s">
        <v>818</v>
      </c>
      <c r="K585" s="1" t="s">
        <v>822</v>
      </c>
      <c r="L585" s="1" t="s">
        <v>841</v>
      </c>
      <c r="M585" s="1">
        <v>1.94</v>
      </c>
      <c r="N585" s="1">
        <v>2162.04</v>
      </c>
      <c r="O585" s="1">
        <v>4031.38</v>
      </c>
      <c r="P585" s="1">
        <v>0</v>
      </c>
      <c r="Q585" s="1">
        <v>4083.81</v>
      </c>
      <c r="R585" s="1">
        <v>2548.3000000000002</v>
      </c>
      <c r="S585" s="1">
        <f t="shared" si="19"/>
        <v>1535.5099999999998</v>
      </c>
      <c r="T585" s="1" t="s">
        <v>876</v>
      </c>
      <c r="U585" s="1" t="s">
        <v>881</v>
      </c>
      <c r="V585" s="5" t="s">
        <v>883</v>
      </c>
    </row>
    <row r="586" spans="1:22" x14ac:dyDescent="0.3">
      <c r="A586" s="4" t="s">
        <v>282</v>
      </c>
      <c r="B586" s="3">
        <v>45323</v>
      </c>
      <c r="C586" s="1" t="str">
        <f t="shared" si="18"/>
        <v>February</v>
      </c>
      <c r="D586" s="1" t="s">
        <v>414</v>
      </c>
      <c r="E586" s="1" t="s">
        <v>765</v>
      </c>
      <c r="F586" s="1" t="s">
        <v>802</v>
      </c>
      <c r="G586" s="1" t="s">
        <v>807</v>
      </c>
      <c r="H586" s="1" t="s">
        <v>811</v>
      </c>
      <c r="I586" s="1" t="s">
        <v>815</v>
      </c>
      <c r="J586" s="1" t="s">
        <v>818</v>
      </c>
      <c r="K586" s="1" t="s">
        <v>820</v>
      </c>
      <c r="L586" s="1" t="s">
        <v>849</v>
      </c>
      <c r="M586" s="1">
        <v>5.13</v>
      </c>
      <c r="N586" s="1">
        <v>2868.52</v>
      </c>
      <c r="O586" s="1">
        <v>13910.67</v>
      </c>
      <c r="P586" s="1">
        <v>0.05</v>
      </c>
      <c r="Q586" s="1">
        <v>12817.25</v>
      </c>
      <c r="R586" s="1">
        <v>9247.09</v>
      </c>
      <c r="S586" s="1">
        <f t="shared" si="19"/>
        <v>3570.16</v>
      </c>
      <c r="T586" s="1" t="s">
        <v>874</v>
      </c>
      <c r="U586" s="1" t="s">
        <v>878</v>
      </c>
      <c r="V586" s="5" t="s">
        <v>882</v>
      </c>
    </row>
    <row r="587" spans="1:22" x14ac:dyDescent="0.3">
      <c r="A587" s="4" t="s">
        <v>41</v>
      </c>
      <c r="B587" s="3">
        <v>45419</v>
      </c>
      <c r="C587" s="1" t="str">
        <f t="shared" si="18"/>
        <v>May</v>
      </c>
      <c r="D587" s="1" t="s">
        <v>326</v>
      </c>
      <c r="E587" s="1" t="s">
        <v>526</v>
      </c>
      <c r="F587" s="1" t="s">
        <v>803</v>
      </c>
      <c r="G587" s="1" t="s">
        <v>805</v>
      </c>
      <c r="H587" s="1" t="s">
        <v>812</v>
      </c>
      <c r="I587" s="1" t="s">
        <v>814</v>
      </c>
      <c r="J587" s="1" t="s">
        <v>818</v>
      </c>
      <c r="K587" s="1" t="s">
        <v>821</v>
      </c>
      <c r="L587" s="1" t="s">
        <v>842</v>
      </c>
      <c r="M587" s="1">
        <v>4.78</v>
      </c>
      <c r="N587" s="1">
        <v>609.66999999999996</v>
      </c>
      <c r="O587" s="1">
        <v>3001.29</v>
      </c>
      <c r="P587" s="1">
        <v>0</v>
      </c>
      <c r="Q587" s="1">
        <v>2470.11</v>
      </c>
      <c r="R587" s="1">
        <v>2062.9899999999998</v>
      </c>
      <c r="S587" s="1">
        <f t="shared" si="19"/>
        <v>407.12000000000035</v>
      </c>
      <c r="T587" s="1" t="s">
        <v>875</v>
      </c>
      <c r="U587" s="1" t="s">
        <v>879</v>
      </c>
      <c r="V587" s="5" t="s">
        <v>884</v>
      </c>
    </row>
    <row r="588" spans="1:22" x14ac:dyDescent="0.3">
      <c r="A588" s="4" t="s">
        <v>147</v>
      </c>
      <c r="B588" s="3">
        <v>45384</v>
      </c>
      <c r="C588" s="1" t="str">
        <f t="shared" si="18"/>
        <v>April</v>
      </c>
      <c r="D588" s="1" t="s">
        <v>430</v>
      </c>
      <c r="E588" s="1" t="s">
        <v>632</v>
      </c>
      <c r="F588" s="1" t="s">
        <v>803</v>
      </c>
      <c r="G588" s="1" t="s">
        <v>806</v>
      </c>
      <c r="H588" s="1" t="s">
        <v>809</v>
      </c>
      <c r="I588" s="1" t="s">
        <v>816</v>
      </c>
      <c r="J588" s="1" t="s">
        <v>819</v>
      </c>
      <c r="K588" s="1" t="s">
        <v>820</v>
      </c>
      <c r="L588" s="1" t="s">
        <v>831</v>
      </c>
      <c r="M588" s="1">
        <v>13.58</v>
      </c>
      <c r="N588" s="1">
        <v>1228.53</v>
      </c>
      <c r="O588" s="1">
        <v>14398.29</v>
      </c>
      <c r="P588" s="1">
        <v>0.1</v>
      </c>
      <c r="Q588" s="1">
        <v>13609.54</v>
      </c>
      <c r="R588" s="1">
        <v>10533.91</v>
      </c>
      <c r="S588" s="1">
        <f t="shared" si="19"/>
        <v>3075.630000000001</v>
      </c>
      <c r="T588" s="1" t="s">
        <v>873</v>
      </c>
      <c r="U588" s="1" t="s">
        <v>877</v>
      </c>
      <c r="V588" s="5" t="s">
        <v>882</v>
      </c>
    </row>
    <row r="589" spans="1:22" x14ac:dyDescent="0.3">
      <c r="A589" s="4" t="s">
        <v>160</v>
      </c>
      <c r="B589" s="3">
        <v>45479</v>
      </c>
      <c r="C589" s="1" t="str">
        <f t="shared" si="18"/>
        <v>July</v>
      </c>
      <c r="D589" s="1" t="s">
        <v>368</v>
      </c>
      <c r="E589" s="1" t="s">
        <v>645</v>
      </c>
      <c r="F589" s="1" t="s">
        <v>802</v>
      </c>
      <c r="G589" s="1" t="s">
        <v>804</v>
      </c>
      <c r="H589" s="1" t="s">
        <v>809</v>
      </c>
      <c r="I589" s="1" t="s">
        <v>815</v>
      </c>
      <c r="J589" s="1" t="s">
        <v>818</v>
      </c>
      <c r="K589" s="1" t="s">
        <v>820</v>
      </c>
      <c r="L589" s="1" t="s">
        <v>827</v>
      </c>
      <c r="M589" s="1">
        <v>3.2</v>
      </c>
      <c r="N589" s="1">
        <v>2701.1</v>
      </c>
      <c r="O589" s="1">
        <v>7732.43</v>
      </c>
      <c r="P589" s="1">
        <v>0</v>
      </c>
      <c r="Q589" s="1">
        <v>7165.4</v>
      </c>
      <c r="R589" s="1">
        <v>5148.66</v>
      </c>
      <c r="S589" s="1">
        <f t="shared" si="19"/>
        <v>2016.7399999999998</v>
      </c>
      <c r="T589" s="1" t="s">
        <v>873</v>
      </c>
      <c r="U589" s="1" t="s">
        <v>881</v>
      </c>
      <c r="V589" s="5" t="s">
        <v>882</v>
      </c>
    </row>
    <row r="590" spans="1:22" x14ac:dyDescent="0.3">
      <c r="A590" s="4" t="s">
        <v>83</v>
      </c>
      <c r="B590" s="3">
        <v>45507</v>
      </c>
      <c r="C590" s="1" t="str">
        <f t="shared" si="18"/>
        <v>August</v>
      </c>
      <c r="D590" s="1" t="s">
        <v>409</v>
      </c>
      <c r="E590" s="1" t="s">
        <v>568</v>
      </c>
      <c r="F590" s="1" t="s">
        <v>801</v>
      </c>
      <c r="G590" s="1" t="s">
        <v>806</v>
      </c>
      <c r="H590" s="1" t="s">
        <v>808</v>
      </c>
      <c r="I590" s="1" t="s">
        <v>809</v>
      </c>
      <c r="J590" s="1" t="s">
        <v>819</v>
      </c>
      <c r="K590" s="1" t="s">
        <v>822</v>
      </c>
      <c r="L590" s="1" t="s">
        <v>849</v>
      </c>
      <c r="M590" s="1">
        <v>11.87</v>
      </c>
      <c r="N590" s="1">
        <v>3391.9</v>
      </c>
      <c r="O590" s="1">
        <v>42333.22</v>
      </c>
      <c r="P590" s="1">
        <v>0.05</v>
      </c>
      <c r="Q590" s="1">
        <v>35761.54</v>
      </c>
      <c r="R590" s="1">
        <v>26235.38</v>
      </c>
      <c r="S590" s="1">
        <f t="shared" si="19"/>
        <v>9526.16</v>
      </c>
      <c r="T590" s="1" t="s">
        <v>874</v>
      </c>
      <c r="U590" s="1" t="s">
        <v>879</v>
      </c>
      <c r="V590" s="5" t="s">
        <v>884</v>
      </c>
    </row>
    <row r="591" spans="1:22" x14ac:dyDescent="0.3">
      <c r="A591" s="4" t="s">
        <v>62</v>
      </c>
      <c r="B591" s="3">
        <v>45453</v>
      </c>
      <c r="C591" s="1" t="str">
        <f t="shared" si="18"/>
        <v>June</v>
      </c>
      <c r="D591" s="1" t="s">
        <v>449</v>
      </c>
      <c r="E591" s="1" t="s">
        <v>547</v>
      </c>
      <c r="F591" s="1" t="s">
        <v>803</v>
      </c>
      <c r="G591" s="1" t="s">
        <v>804</v>
      </c>
      <c r="H591" s="1" t="s">
        <v>812</v>
      </c>
      <c r="I591" s="1" t="s">
        <v>815</v>
      </c>
      <c r="J591" s="1" t="s">
        <v>819</v>
      </c>
      <c r="K591" s="1" t="s">
        <v>820</v>
      </c>
      <c r="L591" s="1" t="s">
        <v>832</v>
      </c>
      <c r="M591" s="1">
        <v>5.82</v>
      </c>
      <c r="N591" s="1">
        <v>361.56</v>
      </c>
      <c r="O591" s="1">
        <v>2348.13</v>
      </c>
      <c r="P591" s="1">
        <v>0.11</v>
      </c>
      <c r="Q591" s="1">
        <v>2215.75</v>
      </c>
      <c r="R591" s="1">
        <v>1509.57</v>
      </c>
      <c r="S591" s="1">
        <f t="shared" si="19"/>
        <v>706.18000000000006</v>
      </c>
      <c r="T591" s="1" t="s">
        <v>873</v>
      </c>
      <c r="U591" s="1" t="s">
        <v>881</v>
      </c>
      <c r="V591" s="5" t="s">
        <v>882</v>
      </c>
    </row>
    <row r="592" spans="1:22" x14ac:dyDescent="0.3">
      <c r="A592" s="4" t="s">
        <v>87</v>
      </c>
      <c r="B592" s="3">
        <v>45311</v>
      </c>
      <c r="C592" s="1" t="str">
        <f t="shared" si="18"/>
        <v>January</v>
      </c>
      <c r="D592" s="1" t="s">
        <v>455</v>
      </c>
      <c r="E592" s="1" t="s">
        <v>572</v>
      </c>
      <c r="F592" s="1" t="s">
        <v>801</v>
      </c>
      <c r="G592" s="1" t="s">
        <v>807</v>
      </c>
      <c r="H592" s="1" t="s">
        <v>810</v>
      </c>
      <c r="I592" s="1" t="s">
        <v>814</v>
      </c>
      <c r="J592" s="1" t="s">
        <v>819</v>
      </c>
      <c r="K592" s="1" t="s">
        <v>820</v>
      </c>
      <c r="L592" s="1" t="s">
        <v>833</v>
      </c>
      <c r="M592" s="1">
        <v>13.03</v>
      </c>
      <c r="N592" s="1">
        <v>2607.11</v>
      </c>
      <c r="O592" s="1">
        <v>25078.39</v>
      </c>
      <c r="P592" s="1">
        <v>0.05</v>
      </c>
      <c r="Q592" s="1">
        <v>23907.58</v>
      </c>
      <c r="R592" s="1">
        <v>21596.73</v>
      </c>
      <c r="S592" s="1">
        <f t="shared" si="19"/>
        <v>2310.8500000000022</v>
      </c>
      <c r="T592" s="1" t="s">
        <v>876</v>
      </c>
      <c r="U592" s="1" t="s">
        <v>878</v>
      </c>
      <c r="V592" s="5" t="s">
        <v>883</v>
      </c>
    </row>
    <row r="593" spans="1:22" x14ac:dyDescent="0.3">
      <c r="A593" s="4" t="s">
        <v>190</v>
      </c>
      <c r="B593" s="3">
        <v>45451</v>
      </c>
      <c r="C593" s="1" t="str">
        <f t="shared" si="18"/>
        <v>June</v>
      </c>
      <c r="D593" s="1" t="s">
        <v>365</v>
      </c>
      <c r="E593" s="1" t="s">
        <v>674</v>
      </c>
      <c r="F593" s="1" t="s">
        <v>801</v>
      </c>
      <c r="G593" s="1" t="s">
        <v>806</v>
      </c>
      <c r="H593" s="1" t="s">
        <v>812</v>
      </c>
      <c r="I593" s="1" t="s">
        <v>813</v>
      </c>
      <c r="J593" s="1" t="s">
        <v>817</v>
      </c>
      <c r="K593" s="1" t="s">
        <v>822</v>
      </c>
      <c r="L593" s="1" t="s">
        <v>828</v>
      </c>
      <c r="M593" s="1">
        <v>3.52</v>
      </c>
      <c r="N593" s="1">
        <v>1326.39</v>
      </c>
      <c r="O593" s="1">
        <v>5179.5</v>
      </c>
      <c r="P593" s="1">
        <v>0.17</v>
      </c>
      <c r="Q593" s="1">
        <v>4399.09</v>
      </c>
      <c r="R593" s="1">
        <v>2981.55</v>
      </c>
      <c r="S593" s="1">
        <f t="shared" si="19"/>
        <v>1417.54</v>
      </c>
      <c r="T593" s="1" t="s">
        <v>874</v>
      </c>
      <c r="U593" s="1" t="s">
        <v>878</v>
      </c>
      <c r="V593" s="5" t="s">
        <v>882</v>
      </c>
    </row>
    <row r="594" spans="1:22" x14ac:dyDescent="0.3">
      <c r="A594" s="4" t="s">
        <v>194</v>
      </c>
      <c r="B594" s="3">
        <v>45493</v>
      </c>
      <c r="C594" s="1" t="str">
        <f t="shared" si="18"/>
        <v>July</v>
      </c>
      <c r="D594" s="1" t="s">
        <v>353</v>
      </c>
      <c r="E594" s="1" t="s">
        <v>678</v>
      </c>
      <c r="F594" s="1" t="s">
        <v>801</v>
      </c>
      <c r="G594" s="1" t="s">
        <v>805</v>
      </c>
      <c r="H594" s="1" t="s">
        <v>812</v>
      </c>
      <c r="I594" s="1" t="s">
        <v>814</v>
      </c>
      <c r="J594" s="1" t="s">
        <v>818</v>
      </c>
      <c r="K594" s="1" t="s">
        <v>821</v>
      </c>
      <c r="L594" s="1" t="s">
        <v>862</v>
      </c>
      <c r="M594" s="1">
        <v>10.45</v>
      </c>
      <c r="N594" s="1">
        <v>2854.97</v>
      </c>
      <c r="O594" s="1">
        <v>33091.54</v>
      </c>
      <c r="P594" s="1">
        <v>0.11</v>
      </c>
      <c r="Q594" s="1">
        <v>27908.29</v>
      </c>
      <c r="R594" s="1">
        <v>21747.78</v>
      </c>
      <c r="S594" s="1">
        <f t="shared" si="19"/>
        <v>6160.510000000002</v>
      </c>
      <c r="T594" s="1" t="s">
        <v>873</v>
      </c>
      <c r="U594" s="1" t="s">
        <v>881</v>
      </c>
      <c r="V594" s="5" t="s">
        <v>882</v>
      </c>
    </row>
    <row r="595" spans="1:22" x14ac:dyDescent="0.3">
      <c r="A595" s="4" t="s">
        <v>283</v>
      </c>
      <c r="B595" s="3">
        <v>45609</v>
      </c>
      <c r="C595" s="1" t="str">
        <f t="shared" si="18"/>
        <v>November</v>
      </c>
      <c r="D595" s="1" t="s">
        <v>473</v>
      </c>
      <c r="E595" s="1" t="s">
        <v>766</v>
      </c>
      <c r="F595" s="1" t="s">
        <v>801</v>
      </c>
      <c r="G595" s="1" t="s">
        <v>805</v>
      </c>
      <c r="H595" s="1" t="s">
        <v>812</v>
      </c>
      <c r="I595" s="1" t="s">
        <v>809</v>
      </c>
      <c r="J595" s="1" t="s">
        <v>817</v>
      </c>
      <c r="K595" s="1" t="s">
        <v>821</v>
      </c>
      <c r="L595" s="1" t="s">
        <v>871</v>
      </c>
      <c r="M595" s="1">
        <v>9.08</v>
      </c>
      <c r="N595" s="1">
        <v>1700.65</v>
      </c>
      <c r="O595" s="1">
        <v>13554.44</v>
      </c>
      <c r="P595" s="1">
        <v>0.09</v>
      </c>
      <c r="Q595" s="1">
        <v>12090</v>
      </c>
      <c r="R595" s="1">
        <v>7466.55</v>
      </c>
      <c r="S595" s="1">
        <f t="shared" si="19"/>
        <v>4623.45</v>
      </c>
      <c r="T595" s="1" t="s">
        <v>873</v>
      </c>
      <c r="U595" s="1" t="s">
        <v>880</v>
      </c>
      <c r="V595" s="5" t="s">
        <v>884</v>
      </c>
    </row>
    <row r="596" spans="1:22" x14ac:dyDescent="0.3">
      <c r="A596" s="4" t="s">
        <v>217</v>
      </c>
      <c r="B596" s="3">
        <v>45588</v>
      </c>
      <c r="C596" s="1" t="str">
        <f t="shared" si="18"/>
        <v>October</v>
      </c>
      <c r="D596" s="1" t="s">
        <v>425</v>
      </c>
      <c r="E596" s="1" t="s">
        <v>700</v>
      </c>
      <c r="F596" s="1" t="s">
        <v>802</v>
      </c>
      <c r="G596" s="1" t="s">
        <v>806</v>
      </c>
      <c r="H596" s="1" t="s">
        <v>810</v>
      </c>
      <c r="I596" s="1" t="s">
        <v>815</v>
      </c>
      <c r="J596" s="1" t="s">
        <v>819</v>
      </c>
      <c r="K596" s="1" t="s">
        <v>822</v>
      </c>
      <c r="L596" s="1" t="s">
        <v>863</v>
      </c>
      <c r="M596" s="1">
        <v>5.64</v>
      </c>
      <c r="N596" s="1">
        <v>1171.82</v>
      </c>
      <c r="O596" s="1">
        <v>5784.22</v>
      </c>
      <c r="P596" s="1">
        <v>0.05</v>
      </c>
      <c r="Q596" s="1">
        <v>6895.43</v>
      </c>
      <c r="R596" s="1">
        <v>5237.93</v>
      </c>
      <c r="S596" s="1">
        <f t="shared" si="19"/>
        <v>1657.5</v>
      </c>
      <c r="T596" s="1" t="s">
        <v>874</v>
      </c>
      <c r="U596" s="1" t="s">
        <v>879</v>
      </c>
      <c r="V596" s="5" t="s">
        <v>883</v>
      </c>
    </row>
    <row r="597" spans="1:22" x14ac:dyDescent="0.3">
      <c r="A597" s="4" t="s">
        <v>201</v>
      </c>
      <c r="B597" s="3">
        <v>45362</v>
      </c>
      <c r="C597" s="1" t="str">
        <f t="shared" si="18"/>
        <v>March</v>
      </c>
      <c r="D597" s="1" t="s">
        <v>421</v>
      </c>
      <c r="E597" s="1" t="s">
        <v>685</v>
      </c>
      <c r="F597" s="1" t="s">
        <v>801</v>
      </c>
      <c r="G597" s="1" t="s">
        <v>806</v>
      </c>
      <c r="H597" s="1" t="s">
        <v>808</v>
      </c>
      <c r="I597" s="1" t="s">
        <v>813</v>
      </c>
      <c r="J597" s="1" t="s">
        <v>817</v>
      </c>
      <c r="K597" s="1" t="s">
        <v>821</v>
      </c>
      <c r="L597" s="1" t="s">
        <v>852</v>
      </c>
      <c r="M597" s="1">
        <v>1.03</v>
      </c>
      <c r="N597" s="1">
        <v>520.24</v>
      </c>
      <c r="O597" s="1">
        <v>417.45</v>
      </c>
      <c r="P597" s="1">
        <v>0.13</v>
      </c>
      <c r="Q597" s="1">
        <v>461.65</v>
      </c>
      <c r="R597" s="1">
        <v>312.43</v>
      </c>
      <c r="S597" s="1">
        <f t="shared" si="19"/>
        <v>149.21999999999997</v>
      </c>
      <c r="T597" s="1" t="s">
        <v>874</v>
      </c>
      <c r="U597" s="1" t="s">
        <v>878</v>
      </c>
      <c r="V597" s="5" t="s">
        <v>882</v>
      </c>
    </row>
    <row r="598" spans="1:22" x14ac:dyDescent="0.3">
      <c r="A598" s="4" t="s">
        <v>159</v>
      </c>
      <c r="B598" s="3">
        <v>45558</v>
      </c>
      <c r="C598" s="1" t="str">
        <f t="shared" si="18"/>
        <v>September</v>
      </c>
      <c r="D598" s="1" t="s">
        <v>406</v>
      </c>
      <c r="E598" s="1" t="s">
        <v>644</v>
      </c>
      <c r="F598" s="1" t="s">
        <v>803</v>
      </c>
      <c r="G598" s="1" t="s">
        <v>804</v>
      </c>
      <c r="H598" s="1" t="s">
        <v>811</v>
      </c>
      <c r="I598" s="1" t="s">
        <v>816</v>
      </c>
      <c r="J598" s="1" t="s">
        <v>817</v>
      </c>
      <c r="K598" s="1" t="s">
        <v>821</v>
      </c>
      <c r="L598" s="1" t="s">
        <v>849</v>
      </c>
      <c r="M598" s="1">
        <v>13.01</v>
      </c>
      <c r="N598" s="1">
        <v>2972.31</v>
      </c>
      <c r="O598" s="1">
        <v>35456.86</v>
      </c>
      <c r="P598" s="1">
        <v>0.1</v>
      </c>
      <c r="Q598" s="1">
        <v>36759.72</v>
      </c>
      <c r="R598" s="1">
        <v>25110.94</v>
      </c>
      <c r="S598" s="1">
        <f t="shared" si="19"/>
        <v>11648.780000000002</v>
      </c>
      <c r="T598" s="1" t="s">
        <v>875</v>
      </c>
      <c r="U598" s="1" t="s">
        <v>880</v>
      </c>
      <c r="V598" s="5" t="s">
        <v>883</v>
      </c>
    </row>
    <row r="599" spans="1:22" x14ac:dyDescent="0.3">
      <c r="A599" s="4" t="s">
        <v>64</v>
      </c>
      <c r="B599" s="3">
        <v>45306</v>
      </c>
      <c r="C599" s="1" t="str">
        <f t="shared" si="18"/>
        <v>January</v>
      </c>
      <c r="D599" s="1" t="s">
        <v>450</v>
      </c>
      <c r="E599" s="1" t="s">
        <v>549</v>
      </c>
      <c r="F599" s="1" t="s">
        <v>802</v>
      </c>
      <c r="G599" s="1" t="s">
        <v>805</v>
      </c>
      <c r="H599" s="1" t="s">
        <v>811</v>
      </c>
      <c r="I599" s="1" t="s">
        <v>814</v>
      </c>
      <c r="J599" s="1" t="s">
        <v>817</v>
      </c>
      <c r="K599" s="1" t="s">
        <v>821</v>
      </c>
      <c r="L599" s="1" t="s">
        <v>839</v>
      </c>
      <c r="M599" s="1">
        <v>11.66</v>
      </c>
      <c r="N599" s="1">
        <v>1538.5</v>
      </c>
      <c r="O599" s="1">
        <v>16975.650000000001</v>
      </c>
      <c r="P599" s="1">
        <v>0.05</v>
      </c>
      <c r="Q599" s="1">
        <v>15444.32</v>
      </c>
      <c r="R599" s="1">
        <v>14388.51</v>
      </c>
      <c r="S599" s="1">
        <f t="shared" si="19"/>
        <v>1055.8099999999995</v>
      </c>
      <c r="T599" s="1" t="s">
        <v>873</v>
      </c>
      <c r="U599" s="1" t="s">
        <v>877</v>
      </c>
      <c r="V599" s="5" t="s">
        <v>883</v>
      </c>
    </row>
    <row r="600" spans="1:22" x14ac:dyDescent="0.3">
      <c r="A600" s="4" t="s">
        <v>138</v>
      </c>
      <c r="B600" s="3">
        <v>45559</v>
      </c>
      <c r="C600" s="1" t="str">
        <f t="shared" si="18"/>
        <v>September</v>
      </c>
      <c r="D600" s="1" t="s">
        <v>441</v>
      </c>
      <c r="E600" s="1" t="s">
        <v>623</v>
      </c>
      <c r="F600" s="1" t="s">
        <v>801</v>
      </c>
      <c r="G600" s="1" t="s">
        <v>804</v>
      </c>
      <c r="H600" s="1" t="s">
        <v>809</v>
      </c>
      <c r="I600" s="1" t="s">
        <v>816</v>
      </c>
      <c r="J600" s="1" t="s">
        <v>818</v>
      </c>
      <c r="K600" s="1" t="s">
        <v>821</v>
      </c>
      <c r="L600" s="1" t="s">
        <v>864</v>
      </c>
      <c r="M600" s="1">
        <v>2.2200000000000002</v>
      </c>
      <c r="N600" s="1">
        <v>2957.73</v>
      </c>
      <c r="O600" s="1">
        <v>5946.23</v>
      </c>
      <c r="P600" s="1">
        <v>0.16</v>
      </c>
      <c r="Q600" s="1">
        <v>4911.37</v>
      </c>
      <c r="R600" s="1">
        <v>3637.65</v>
      </c>
      <c r="S600" s="1">
        <f t="shared" si="19"/>
        <v>1273.7199999999998</v>
      </c>
      <c r="T600" s="1" t="s">
        <v>875</v>
      </c>
      <c r="U600" s="1" t="s">
        <v>878</v>
      </c>
      <c r="V600" s="5" t="s">
        <v>884</v>
      </c>
    </row>
    <row r="601" spans="1:22" x14ac:dyDescent="0.3">
      <c r="A601" s="4" t="s">
        <v>29</v>
      </c>
      <c r="B601" s="3">
        <v>45369</v>
      </c>
      <c r="C601" s="1" t="str">
        <f t="shared" si="18"/>
        <v>March</v>
      </c>
      <c r="D601" s="1" t="s">
        <v>400</v>
      </c>
      <c r="E601" s="1" t="s">
        <v>514</v>
      </c>
      <c r="F601" s="1" t="s">
        <v>801</v>
      </c>
      <c r="G601" s="1" t="s">
        <v>807</v>
      </c>
      <c r="H601" s="1" t="s">
        <v>809</v>
      </c>
      <c r="I601" s="1" t="s">
        <v>813</v>
      </c>
      <c r="J601" s="1" t="s">
        <v>819</v>
      </c>
      <c r="K601" s="1" t="s">
        <v>821</v>
      </c>
      <c r="L601" s="1" t="s">
        <v>831</v>
      </c>
      <c r="M601" s="1">
        <v>9.92</v>
      </c>
      <c r="N601" s="1">
        <v>1119.67</v>
      </c>
      <c r="O601" s="1">
        <v>11669.18</v>
      </c>
      <c r="P601" s="1">
        <v>0.16</v>
      </c>
      <c r="Q601" s="1">
        <v>10077.19</v>
      </c>
      <c r="R601" s="1">
        <v>8284.35</v>
      </c>
      <c r="S601" s="1">
        <f t="shared" si="19"/>
        <v>1792.8400000000001</v>
      </c>
      <c r="T601" s="1" t="s">
        <v>874</v>
      </c>
      <c r="U601" s="1" t="s">
        <v>880</v>
      </c>
      <c r="V601" s="5" t="s">
        <v>883</v>
      </c>
    </row>
    <row r="602" spans="1:22" x14ac:dyDescent="0.3">
      <c r="A602" s="4" t="s">
        <v>247</v>
      </c>
      <c r="B602" s="3">
        <v>45544</v>
      </c>
      <c r="C602" s="1" t="str">
        <f t="shared" si="18"/>
        <v>September</v>
      </c>
      <c r="D602" s="1" t="s">
        <v>433</v>
      </c>
      <c r="E602" s="1" t="s">
        <v>730</v>
      </c>
      <c r="F602" s="1" t="s">
        <v>802</v>
      </c>
      <c r="G602" s="1" t="s">
        <v>807</v>
      </c>
      <c r="H602" s="1" t="s">
        <v>809</v>
      </c>
      <c r="I602" s="1" t="s">
        <v>816</v>
      </c>
      <c r="J602" s="1" t="s">
        <v>819</v>
      </c>
      <c r="K602" s="1" t="s">
        <v>822</v>
      </c>
      <c r="L602" s="1" t="s">
        <v>847</v>
      </c>
      <c r="M602" s="1">
        <v>1.96</v>
      </c>
      <c r="N602" s="1">
        <v>1044.58</v>
      </c>
      <c r="O602" s="1">
        <v>1920.33</v>
      </c>
      <c r="P602" s="1">
        <v>0.15</v>
      </c>
      <c r="Q602" s="1">
        <v>1712.45</v>
      </c>
      <c r="R602" s="1">
        <v>1530.26</v>
      </c>
      <c r="S602" s="1">
        <f t="shared" si="19"/>
        <v>182.19000000000005</v>
      </c>
      <c r="T602" s="1" t="s">
        <v>874</v>
      </c>
      <c r="U602" s="1" t="s">
        <v>878</v>
      </c>
      <c r="V602" s="5" t="s">
        <v>884</v>
      </c>
    </row>
    <row r="603" spans="1:22" x14ac:dyDescent="0.3">
      <c r="A603" s="4" t="s">
        <v>283</v>
      </c>
      <c r="B603" s="3">
        <v>45609</v>
      </c>
      <c r="C603" s="1" t="str">
        <f t="shared" si="18"/>
        <v>November</v>
      </c>
      <c r="D603" s="1" t="s">
        <v>473</v>
      </c>
      <c r="E603" s="1" t="s">
        <v>766</v>
      </c>
      <c r="F603" s="1" t="s">
        <v>801</v>
      </c>
      <c r="G603" s="1" t="s">
        <v>805</v>
      </c>
      <c r="H603" s="1" t="s">
        <v>812</v>
      </c>
      <c r="I603" s="1" t="s">
        <v>809</v>
      </c>
      <c r="J603" s="1" t="s">
        <v>817</v>
      </c>
      <c r="K603" s="1" t="s">
        <v>821</v>
      </c>
      <c r="L603" s="1" t="s">
        <v>871</v>
      </c>
      <c r="M603" s="1">
        <v>9</v>
      </c>
      <c r="N603" s="1">
        <v>1951.21</v>
      </c>
      <c r="O603" s="1">
        <v>14580.78</v>
      </c>
      <c r="P603" s="1">
        <v>0.09</v>
      </c>
      <c r="Q603" s="1">
        <v>12742.36</v>
      </c>
      <c r="R603" s="1">
        <v>8532.51</v>
      </c>
      <c r="S603" s="1">
        <f t="shared" si="19"/>
        <v>4209.8500000000004</v>
      </c>
      <c r="T603" s="1" t="s">
        <v>873</v>
      </c>
      <c r="U603" s="1" t="s">
        <v>880</v>
      </c>
      <c r="V603" s="5" t="s">
        <v>884</v>
      </c>
    </row>
    <row r="604" spans="1:22" x14ac:dyDescent="0.3">
      <c r="A604" s="4" t="s">
        <v>54</v>
      </c>
      <c r="B604" s="3">
        <v>45447</v>
      </c>
      <c r="C604" s="1" t="str">
        <f t="shared" si="18"/>
        <v>June</v>
      </c>
      <c r="D604" s="1" t="s">
        <v>343</v>
      </c>
      <c r="E604" s="1" t="s">
        <v>539</v>
      </c>
      <c r="F604" s="1" t="s">
        <v>801</v>
      </c>
      <c r="G604" s="1" t="s">
        <v>805</v>
      </c>
      <c r="H604" s="1" t="s">
        <v>810</v>
      </c>
      <c r="I604" s="1" t="s">
        <v>815</v>
      </c>
      <c r="J604" s="1" t="s">
        <v>818</v>
      </c>
      <c r="K604" s="1" t="s">
        <v>821</v>
      </c>
      <c r="L604" s="1" t="s">
        <v>848</v>
      </c>
      <c r="M604" s="1">
        <v>4.0599999999999996</v>
      </c>
      <c r="N604" s="1">
        <v>714.79</v>
      </c>
      <c r="O604" s="1">
        <v>2672.53</v>
      </c>
      <c r="P604" s="1">
        <v>0.05</v>
      </c>
      <c r="Q604" s="1">
        <v>2087.79</v>
      </c>
      <c r="R604" s="1">
        <v>1927.37</v>
      </c>
      <c r="S604" s="1">
        <f t="shared" si="19"/>
        <v>160.42000000000007</v>
      </c>
      <c r="T604" s="1" t="s">
        <v>875</v>
      </c>
      <c r="U604" s="1" t="s">
        <v>877</v>
      </c>
      <c r="V604" s="5" t="s">
        <v>883</v>
      </c>
    </row>
    <row r="605" spans="1:22" x14ac:dyDescent="0.3">
      <c r="A605" s="4" t="s">
        <v>283</v>
      </c>
      <c r="B605" s="3">
        <v>45609</v>
      </c>
      <c r="C605" s="1" t="str">
        <f t="shared" si="18"/>
        <v>November</v>
      </c>
      <c r="D605" s="1" t="s">
        <v>473</v>
      </c>
      <c r="E605" s="1" t="s">
        <v>766</v>
      </c>
      <c r="F605" s="1" t="s">
        <v>801</v>
      </c>
      <c r="G605" s="1" t="s">
        <v>805</v>
      </c>
      <c r="H605" s="1" t="s">
        <v>812</v>
      </c>
      <c r="I605" s="1" t="s">
        <v>809</v>
      </c>
      <c r="J605" s="1" t="s">
        <v>817</v>
      </c>
      <c r="K605" s="1" t="s">
        <v>821</v>
      </c>
      <c r="L605" s="1" t="s">
        <v>871</v>
      </c>
      <c r="M605" s="1">
        <v>8.42</v>
      </c>
      <c r="N605" s="1">
        <v>1698.3</v>
      </c>
      <c r="O605" s="1">
        <v>14445.61</v>
      </c>
      <c r="P605" s="1">
        <v>0.09</v>
      </c>
      <c r="Q605" s="1">
        <v>13162.47</v>
      </c>
      <c r="R605" s="1">
        <v>7352.26</v>
      </c>
      <c r="S605" s="1">
        <f t="shared" si="19"/>
        <v>5810.2099999999991</v>
      </c>
      <c r="T605" s="1" t="s">
        <v>873</v>
      </c>
      <c r="U605" s="1" t="s">
        <v>880</v>
      </c>
      <c r="V605" s="5" t="s">
        <v>884</v>
      </c>
    </row>
    <row r="606" spans="1:22" x14ac:dyDescent="0.3">
      <c r="A606" s="4" t="s">
        <v>188</v>
      </c>
      <c r="B606" s="3">
        <v>45425</v>
      </c>
      <c r="C606" s="1" t="str">
        <f t="shared" si="18"/>
        <v>May</v>
      </c>
      <c r="D606" s="1" t="s">
        <v>336</v>
      </c>
      <c r="E606" s="1" t="s">
        <v>672</v>
      </c>
      <c r="F606" s="1" t="s">
        <v>802</v>
      </c>
      <c r="G606" s="1" t="s">
        <v>806</v>
      </c>
      <c r="H606" s="1" t="s">
        <v>810</v>
      </c>
      <c r="I606" s="1" t="s">
        <v>809</v>
      </c>
      <c r="J606" s="1" t="s">
        <v>818</v>
      </c>
      <c r="K606" s="1" t="s">
        <v>821</v>
      </c>
      <c r="L606" s="1" t="s">
        <v>859</v>
      </c>
      <c r="M606" s="1">
        <v>8.6300000000000008</v>
      </c>
      <c r="N606" s="1">
        <v>2365.84</v>
      </c>
      <c r="O606" s="1">
        <v>17628.93</v>
      </c>
      <c r="P606" s="1">
        <v>0.08</v>
      </c>
      <c r="Q606" s="1">
        <v>15528.27</v>
      </c>
      <c r="R606" s="1">
        <v>13082.82</v>
      </c>
      <c r="S606" s="1">
        <f t="shared" si="19"/>
        <v>2445.4500000000007</v>
      </c>
      <c r="T606" s="1" t="s">
        <v>874</v>
      </c>
      <c r="U606" s="1" t="s">
        <v>878</v>
      </c>
      <c r="V606" s="5" t="s">
        <v>882</v>
      </c>
    </row>
    <row r="607" spans="1:22" x14ac:dyDescent="0.3">
      <c r="A607" s="4" t="s">
        <v>194</v>
      </c>
      <c r="B607" s="3">
        <v>45493</v>
      </c>
      <c r="C607" s="1" t="str">
        <f t="shared" si="18"/>
        <v>July</v>
      </c>
      <c r="D607" s="1" t="s">
        <v>353</v>
      </c>
      <c r="E607" s="1" t="s">
        <v>678</v>
      </c>
      <c r="F607" s="1" t="s">
        <v>801</v>
      </c>
      <c r="G607" s="1" t="s">
        <v>805</v>
      </c>
      <c r="H607" s="1" t="s">
        <v>812</v>
      </c>
      <c r="I607" s="1" t="s">
        <v>814</v>
      </c>
      <c r="J607" s="1" t="s">
        <v>818</v>
      </c>
      <c r="K607" s="1" t="s">
        <v>821</v>
      </c>
      <c r="L607" s="1" t="s">
        <v>862</v>
      </c>
      <c r="M607" s="1">
        <v>9.8800000000000008</v>
      </c>
      <c r="N607" s="1">
        <v>2631.78</v>
      </c>
      <c r="O607" s="1">
        <v>25010.59</v>
      </c>
      <c r="P607" s="1">
        <v>0.1</v>
      </c>
      <c r="Q607" s="1">
        <v>27442.54</v>
      </c>
      <c r="R607" s="1">
        <v>21174.79</v>
      </c>
      <c r="S607" s="1">
        <f t="shared" si="19"/>
        <v>6267.75</v>
      </c>
      <c r="T607" s="1" t="s">
        <v>873</v>
      </c>
      <c r="U607" s="1" t="s">
        <v>881</v>
      </c>
      <c r="V607" s="5" t="s">
        <v>882</v>
      </c>
    </row>
    <row r="608" spans="1:22" x14ac:dyDescent="0.3">
      <c r="A608" s="4" t="s">
        <v>309</v>
      </c>
      <c r="B608" s="3">
        <v>45567</v>
      </c>
      <c r="C608" s="1" t="str">
        <f t="shared" si="18"/>
        <v>October</v>
      </c>
      <c r="D608" s="1" t="s">
        <v>320</v>
      </c>
      <c r="E608" s="1" t="s">
        <v>791</v>
      </c>
      <c r="F608" s="1" t="s">
        <v>803</v>
      </c>
      <c r="G608" s="1" t="s">
        <v>806</v>
      </c>
      <c r="H608" s="1" t="s">
        <v>812</v>
      </c>
      <c r="I608" s="1" t="s">
        <v>809</v>
      </c>
      <c r="J608" s="1" t="s">
        <v>818</v>
      </c>
      <c r="K608" s="1" t="s">
        <v>820</v>
      </c>
      <c r="L608" s="1" t="s">
        <v>834</v>
      </c>
      <c r="M608" s="1">
        <v>6.48</v>
      </c>
      <c r="N608" s="1">
        <v>1118.52</v>
      </c>
      <c r="O608" s="1">
        <v>6756.79</v>
      </c>
      <c r="P608" s="1">
        <v>0.11</v>
      </c>
      <c r="Q608" s="1">
        <v>6219.58</v>
      </c>
      <c r="R608" s="1">
        <v>5389.86</v>
      </c>
      <c r="S608" s="1">
        <f t="shared" si="19"/>
        <v>829.72000000000025</v>
      </c>
      <c r="T608" s="1" t="s">
        <v>876</v>
      </c>
      <c r="U608" s="1" t="s">
        <v>879</v>
      </c>
      <c r="V608" s="5" t="s">
        <v>884</v>
      </c>
    </row>
    <row r="609" spans="1:22" x14ac:dyDescent="0.3">
      <c r="A609" s="4" t="s">
        <v>80</v>
      </c>
      <c r="B609" s="3">
        <v>45426</v>
      </c>
      <c r="C609" s="1" t="str">
        <f t="shared" si="18"/>
        <v>May</v>
      </c>
      <c r="D609" s="1" t="s">
        <v>454</v>
      </c>
      <c r="E609" s="1" t="s">
        <v>565</v>
      </c>
      <c r="F609" s="1" t="s">
        <v>803</v>
      </c>
      <c r="G609" s="1" t="s">
        <v>806</v>
      </c>
      <c r="H609" s="1" t="s">
        <v>809</v>
      </c>
      <c r="I609" s="1" t="s">
        <v>816</v>
      </c>
      <c r="J609" s="1" t="s">
        <v>818</v>
      </c>
      <c r="K609" s="1" t="s">
        <v>822</v>
      </c>
      <c r="L609" s="1" t="s">
        <v>857</v>
      </c>
      <c r="M609" s="1">
        <v>12.03</v>
      </c>
      <c r="N609" s="1">
        <v>2789.67</v>
      </c>
      <c r="O609" s="1">
        <v>30248.71</v>
      </c>
      <c r="P609" s="1">
        <v>0.11</v>
      </c>
      <c r="Q609" s="1">
        <v>26972.92</v>
      </c>
      <c r="R609" s="1">
        <v>18867.87</v>
      </c>
      <c r="S609" s="1">
        <f t="shared" si="19"/>
        <v>8105.0499999999993</v>
      </c>
      <c r="T609" s="1" t="s">
        <v>873</v>
      </c>
      <c r="U609" s="1" t="s">
        <v>879</v>
      </c>
      <c r="V609" s="5" t="s">
        <v>884</v>
      </c>
    </row>
    <row r="610" spans="1:22" x14ac:dyDescent="0.3">
      <c r="A610" s="4" t="s">
        <v>218</v>
      </c>
      <c r="B610" s="3">
        <v>45585</v>
      </c>
      <c r="C610" s="1" t="str">
        <f t="shared" si="18"/>
        <v>October</v>
      </c>
      <c r="D610" s="1" t="s">
        <v>364</v>
      </c>
      <c r="E610" s="1" t="s">
        <v>701</v>
      </c>
      <c r="F610" s="1" t="s">
        <v>803</v>
      </c>
      <c r="G610" s="1" t="s">
        <v>805</v>
      </c>
      <c r="H610" s="1" t="s">
        <v>808</v>
      </c>
      <c r="I610" s="1" t="s">
        <v>809</v>
      </c>
      <c r="J610" s="1" t="s">
        <v>819</v>
      </c>
      <c r="K610" s="1" t="s">
        <v>822</v>
      </c>
      <c r="L610" s="1" t="s">
        <v>829</v>
      </c>
      <c r="M610" s="1">
        <v>10.92</v>
      </c>
      <c r="N610" s="1">
        <v>3164.15</v>
      </c>
      <c r="O610" s="1">
        <v>33641.660000000003</v>
      </c>
      <c r="P610" s="1">
        <v>0</v>
      </c>
      <c r="Q610" s="1">
        <v>31306.79</v>
      </c>
      <c r="R610" s="1">
        <v>26975.83</v>
      </c>
      <c r="S610" s="1">
        <f t="shared" si="19"/>
        <v>4330.9599999999991</v>
      </c>
      <c r="T610" s="1" t="s">
        <v>875</v>
      </c>
      <c r="U610" s="1" t="s">
        <v>877</v>
      </c>
      <c r="V610" s="5" t="s">
        <v>884</v>
      </c>
    </row>
    <row r="611" spans="1:22" x14ac:dyDescent="0.3">
      <c r="A611" s="4" t="s">
        <v>57</v>
      </c>
      <c r="B611" s="3">
        <v>45534</v>
      </c>
      <c r="C611" s="1" t="str">
        <f t="shared" si="18"/>
        <v>August</v>
      </c>
      <c r="D611" s="1" t="s">
        <v>366</v>
      </c>
      <c r="E611" s="1" t="s">
        <v>542</v>
      </c>
      <c r="F611" s="1" t="s">
        <v>803</v>
      </c>
      <c r="G611" s="1" t="s">
        <v>805</v>
      </c>
      <c r="H611" s="1" t="s">
        <v>811</v>
      </c>
      <c r="I611" s="1" t="s">
        <v>816</v>
      </c>
      <c r="J611" s="1" t="s">
        <v>817</v>
      </c>
      <c r="K611" s="1" t="s">
        <v>822</v>
      </c>
      <c r="L611" s="1" t="s">
        <v>828</v>
      </c>
      <c r="M611" s="1">
        <v>2.13</v>
      </c>
      <c r="N611" s="1">
        <v>2997.26</v>
      </c>
      <c r="O611" s="1">
        <v>6543.42</v>
      </c>
      <c r="P611" s="1">
        <v>0.05</v>
      </c>
      <c r="Q611" s="1">
        <v>6023.14</v>
      </c>
      <c r="R611" s="1">
        <v>4938.97</v>
      </c>
      <c r="S611" s="1">
        <f t="shared" si="19"/>
        <v>1084.17</v>
      </c>
      <c r="T611" s="1" t="s">
        <v>874</v>
      </c>
      <c r="U611" s="1" t="s">
        <v>877</v>
      </c>
      <c r="V611" s="5" t="s">
        <v>883</v>
      </c>
    </row>
    <row r="612" spans="1:22" x14ac:dyDescent="0.3">
      <c r="A612" s="4" t="s">
        <v>296</v>
      </c>
      <c r="B612" s="3">
        <v>45381</v>
      </c>
      <c r="C612" s="1" t="str">
        <f t="shared" si="18"/>
        <v>March</v>
      </c>
      <c r="D612" s="1" t="s">
        <v>502</v>
      </c>
      <c r="E612" s="1" t="s">
        <v>778</v>
      </c>
      <c r="F612" s="1" t="s">
        <v>803</v>
      </c>
      <c r="G612" s="1" t="s">
        <v>807</v>
      </c>
      <c r="H612" s="1" t="s">
        <v>809</v>
      </c>
      <c r="I612" s="1" t="s">
        <v>813</v>
      </c>
      <c r="J612" s="1" t="s">
        <v>819</v>
      </c>
      <c r="K612" s="1" t="s">
        <v>822</v>
      </c>
      <c r="L612" s="1" t="s">
        <v>826</v>
      </c>
      <c r="M612" s="1">
        <v>5.93</v>
      </c>
      <c r="N612" s="1">
        <v>1722.6</v>
      </c>
      <c r="O612" s="1">
        <v>11131.66</v>
      </c>
      <c r="P612" s="1">
        <v>0</v>
      </c>
      <c r="Q612" s="1">
        <v>10267.66</v>
      </c>
      <c r="R612" s="1">
        <v>7400.88</v>
      </c>
      <c r="S612" s="1">
        <f t="shared" si="19"/>
        <v>2866.7799999999997</v>
      </c>
      <c r="T612" s="1" t="s">
        <v>876</v>
      </c>
      <c r="U612" s="1" t="s">
        <v>879</v>
      </c>
      <c r="V612" s="5" t="s">
        <v>884</v>
      </c>
    </row>
    <row r="613" spans="1:22" x14ac:dyDescent="0.3">
      <c r="A613" s="4" t="s">
        <v>274</v>
      </c>
      <c r="B613" s="3">
        <v>45448</v>
      </c>
      <c r="C613" s="1" t="str">
        <f t="shared" si="18"/>
        <v>June</v>
      </c>
      <c r="D613" s="1" t="s">
        <v>467</v>
      </c>
      <c r="E613" s="1" t="s">
        <v>757</v>
      </c>
      <c r="F613" s="1" t="s">
        <v>801</v>
      </c>
      <c r="G613" s="1" t="s">
        <v>805</v>
      </c>
      <c r="H613" s="1" t="s">
        <v>808</v>
      </c>
      <c r="I613" s="1" t="s">
        <v>815</v>
      </c>
      <c r="J613" s="1" t="s">
        <v>819</v>
      </c>
      <c r="K613" s="1" t="s">
        <v>820</v>
      </c>
      <c r="L613" s="1" t="s">
        <v>868</v>
      </c>
      <c r="M613" s="1">
        <v>5.61</v>
      </c>
      <c r="N613" s="1">
        <v>1908.53</v>
      </c>
      <c r="O613" s="1">
        <v>8851.06</v>
      </c>
      <c r="P613" s="1">
        <v>0</v>
      </c>
      <c r="Q613" s="1">
        <v>9377.11</v>
      </c>
      <c r="R613" s="1">
        <v>9354.84</v>
      </c>
      <c r="S613" s="1">
        <f t="shared" si="19"/>
        <v>22.270000000000437</v>
      </c>
      <c r="T613" s="1" t="s">
        <v>875</v>
      </c>
      <c r="U613" s="1" t="s">
        <v>877</v>
      </c>
      <c r="V613" s="5" t="s">
        <v>884</v>
      </c>
    </row>
    <row r="614" spans="1:22" x14ac:dyDescent="0.3">
      <c r="A614" s="4" t="s">
        <v>190</v>
      </c>
      <c r="B614" s="3">
        <v>45451</v>
      </c>
      <c r="C614" s="1" t="str">
        <f t="shared" si="18"/>
        <v>June</v>
      </c>
      <c r="D614" s="1" t="s">
        <v>365</v>
      </c>
      <c r="E614" s="1" t="s">
        <v>674</v>
      </c>
      <c r="F614" s="1" t="s">
        <v>801</v>
      </c>
      <c r="G614" s="1" t="s">
        <v>806</v>
      </c>
      <c r="H614" s="1" t="s">
        <v>812</v>
      </c>
      <c r="I614" s="1" t="s">
        <v>813</v>
      </c>
      <c r="J614" s="1" t="s">
        <v>817</v>
      </c>
      <c r="K614" s="1" t="s">
        <v>822</v>
      </c>
      <c r="L614" s="1" t="s">
        <v>828</v>
      </c>
      <c r="M614" s="1">
        <v>3.87</v>
      </c>
      <c r="N614" s="1">
        <v>1386.58</v>
      </c>
      <c r="O614" s="1">
        <v>4865.95</v>
      </c>
      <c r="P614" s="1">
        <v>0.16</v>
      </c>
      <c r="Q614" s="1">
        <v>4461.1899999999996</v>
      </c>
      <c r="R614" s="1">
        <v>3227.34</v>
      </c>
      <c r="S614" s="1">
        <f t="shared" si="19"/>
        <v>1233.8499999999995</v>
      </c>
      <c r="T614" s="1" t="s">
        <v>874</v>
      </c>
      <c r="U614" s="1" t="s">
        <v>878</v>
      </c>
      <c r="V614" s="5" t="s">
        <v>882</v>
      </c>
    </row>
    <row r="615" spans="1:22" x14ac:dyDescent="0.3">
      <c r="A615" s="4" t="s">
        <v>235</v>
      </c>
      <c r="B615" s="3">
        <v>45591</v>
      </c>
      <c r="C615" s="1" t="str">
        <f t="shared" si="18"/>
        <v>October</v>
      </c>
      <c r="D615" s="1" t="s">
        <v>410</v>
      </c>
      <c r="E615" s="1" t="s">
        <v>718</v>
      </c>
      <c r="F615" s="1" t="s">
        <v>802</v>
      </c>
      <c r="G615" s="1" t="s">
        <v>806</v>
      </c>
      <c r="H615" s="1" t="s">
        <v>808</v>
      </c>
      <c r="I615" s="1" t="s">
        <v>816</v>
      </c>
      <c r="J615" s="1" t="s">
        <v>818</v>
      </c>
      <c r="K615" s="1" t="s">
        <v>820</v>
      </c>
      <c r="L615" s="1" t="s">
        <v>843</v>
      </c>
      <c r="M615" s="1">
        <v>4.17</v>
      </c>
      <c r="N615" s="1">
        <v>2769.37</v>
      </c>
      <c r="O615" s="1">
        <v>11295.68</v>
      </c>
      <c r="P615" s="1">
        <v>0</v>
      </c>
      <c r="Q615" s="1">
        <v>12421.21</v>
      </c>
      <c r="R615" s="1">
        <v>7656.06</v>
      </c>
      <c r="S615" s="1">
        <f t="shared" si="19"/>
        <v>4765.1499999999987</v>
      </c>
      <c r="T615" s="1" t="s">
        <v>876</v>
      </c>
      <c r="U615" s="1" t="s">
        <v>877</v>
      </c>
      <c r="V615" s="5" t="s">
        <v>884</v>
      </c>
    </row>
    <row r="616" spans="1:22" x14ac:dyDescent="0.3">
      <c r="A616" s="4" t="s">
        <v>298</v>
      </c>
      <c r="B616" s="3">
        <v>45515</v>
      </c>
      <c r="C616" s="1" t="str">
        <f t="shared" si="18"/>
        <v>August</v>
      </c>
      <c r="D616" s="1" t="s">
        <v>482</v>
      </c>
      <c r="E616" s="1" t="s">
        <v>780</v>
      </c>
      <c r="F616" s="1" t="s">
        <v>801</v>
      </c>
      <c r="G616" s="1" t="s">
        <v>804</v>
      </c>
      <c r="H616" s="1" t="s">
        <v>809</v>
      </c>
      <c r="I616" s="1" t="s">
        <v>809</v>
      </c>
      <c r="J616" s="1" t="s">
        <v>819</v>
      </c>
      <c r="K616" s="1" t="s">
        <v>820</v>
      </c>
      <c r="L616" s="1" t="s">
        <v>833</v>
      </c>
      <c r="M616" s="1">
        <v>2.89</v>
      </c>
      <c r="N616" s="1">
        <v>413.23</v>
      </c>
      <c r="O616" s="1">
        <v>1221.03</v>
      </c>
      <c r="P616" s="1">
        <v>0.05</v>
      </c>
      <c r="Q616" s="1">
        <v>1239.82</v>
      </c>
      <c r="R616" s="1">
        <v>933.69</v>
      </c>
      <c r="S616" s="1">
        <f t="shared" si="19"/>
        <v>306.12999999999988</v>
      </c>
      <c r="T616" s="1" t="s">
        <v>876</v>
      </c>
      <c r="U616" s="1" t="s">
        <v>879</v>
      </c>
      <c r="V616" s="5" t="s">
        <v>884</v>
      </c>
    </row>
    <row r="617" spans="1:22" x14ac:dyDescent="0.3">
      <c r="A617" s="4" t="s">
        <v>91</v>
      </c>
      <c r="B617" s="3">
        <v>45366</v>
      </c>
      <c r="C617" s="1" t="str">
        <f t="shared" si="18"/>
        <v>March</v>
      </c>
      <c r="D617" s="1" t="s">
        <v>324</v>
      </c>
      <c r="E617" s="1" t="s">
        <v>576</v>
      </c>
      <c r="F617" s="1" t="s">
        <v>801</v>
      </c>
      <c r="G617" s="1" t="s">
        <v>805</v>
      </c>
      <c r="H617" s="1" t="s">
        <v>810</v>
      </c>
      <c r="I617" s="1" t="s">
        <v>815</v>
      </c>
      <c r="J617" s="1" t="s">
        <v>817</v>
      </c>
      <c r="K617" s="1" t="s">
        <v>820</v>
      </c>
      <c r="L617" s="1" t="s">
        <v>841</v>
      </c>
      <c r="M617" s="1">
        <v>5.0999999999999996</v>
      </c>
      <c r="N617" s="1">
        <v>906.61</v>
      </c>
      <c r="O617" s="1">
        <v>4709.8900000000003</v>
      </c>
      <c r="P617" s="1">
        <v>0.05</v>
      </c>
      <c r="Q617" s="1">
        <v>4600.1000000000004</v>
      </c>
      <c r="R617" s="1">
        <v>3431.55</v>
      </c>
      <c r="S617" s="1">
        <f t="shared" si="19"/>
        <v>1168.5500000000002</v>
      </c>
      <c r="T617" s="1" t="s">
        <v>874</v>
      </c>
      <c r="U617" s="1" t="s">
        <v>877</v>
      </c>
      <c r="V617" s="5" t="s">
        <v>883</v>
      </c>
    </row>
    <row r="618" spans="1:22" x14ac:dyDescent="0.3">
      <c r="A618" s="4" t="s">
        <v>111</v>
      </c>
      <c r="B618" s="3">
        <v>45425</v>
      </c>
      <c r="C618" s="1" t="str">
        <f t="shared" si="18"/>
        <v>May</v>
      </c>
      <c r="D618" s="1" t="s">
        <v>354</v>
      </c>
      <c r="E618" s="1" t="s">
        <v>596</v>
      </c>
      <c r="F618" s="1" t="s">
        <v>801</v>
      </c>
      <c r="G618" s="1" t="s">
        <v>805</v>
      </c>
      <c r="H618" s="1" t="s">
        <v>812</v>
      </c>
      <c r="I618" s="1" t="s">
        <v>814</v>
      </c>
      <c r="J618" s="1" t="s">
        <v>818</v>
      </c>
      <c r="K618" s="1" t="s">
        <v>820</v>
      </c>
      <c r="L618" s="1" t="s">
        <v>858</v>
      </c>
      <c r="M618" s="1">
        <v>5.84</v>
      </c>
      <c r="N618" s="1">
        <v>1310.69</v>
      </c>
      <c r="O618" s="1">
        <v>6851.76</v>
      </c>
      <c r="P618" s="1">
        <v>0.11</v>
      </c>
      <c r="Q618" s="1">
        <v>7145</v>
      </c>
      <c r="R618" s="1">
        <v>3765.5</v>
      </c>
      <c r="S618" s="1">
        <f t="shared" si="19"/>
        <v>3379.5</v>
      </c>
      <c r="T618" s="1" t="s">
        <v>876</v>
      </c>
      <c r="U618" s="1" t="s">
        <v>878</v>
      </c>
      <c r="V618" s="5" t="s">
        <v>883</v>
      </c>
    </row>
    <row r="619" spans="1:22" x14ac:dyDescent="0.3">
      <c r="A619" s="4" t="s">
        <v>165</v>
      </c>
      <c r="B619" s="3">
        <v>45497</v>
      </c>
      <c r="C619" s="1" t="str">
        <f t="shared" si="18"/>
        <v>July</v>
      </c>
      <c r="D619" s="1" t="s">
        <v>353</v>
      </c>
      <c r="E619" s="1" t="s">
        <v>650</v>
      </c>
      <c r="F619" s="1" t="s">
        <v>801</v>
      </c>
      <c r="G619" s="1" t="s">
        <v>806</v>
      </c>
      <c r="H619" s="1" t="s">
        <v>812</v>
      </c>
      <c r="I619" s="1" t="s">
        <v>813</v>
      </c>
      <c r="J619" s="1" t="s">
        <v>819</v>
      </c>
      <c r="K619" s="1" t="s">
        <v>821</v>
      </c>
      <c r="L619" s="1" t="s">
        <v>862</v>
      </c>
      <c r="M619" s="1">
        <v>5.41</v>
      </c>
      <c r="N619" s="1">
        <v>2652.79</v>
      </c>
      <c r="O619" s="1">
        <v>16264.65</v>
      </c>
      <c r="P619" s="1">
        <v>0.11</v>
      </c>
      <c r="Q619" s="1">
        <v>14300.91</v>
      </c>
      <c r="R619" s="1">
        <v>11062.73</v>
      </c>
      <c r="S619" s="1">
        <f t="shared" si="19"/>
        <v>3238.1800000000003</v>
      </c>
      <c r="T619" s="1" t="s">
        <v>876</v>
      </c>
      <c r="U619" s="1" t="s">
        <v>879</v>
      </c>
      <c r="V619" s="5" t="s">
        <v>882</v>
      </c>
    </row>
    <row r="620" spans="1:22" x14ac:dyDescent="0.3">
      <c r="A620" s="4" t="s">
        <v>96</v>
      </c>
      <c r="B620" s="3">
        <v>45452</v>
      </c>
      <c r="C620" s="1" t="str">
        <f t="shared" si="18"/>
        <v>June</v>
      </c>
      <c r="D620" s="1" t="s">
        <v>374</v>
      </c>
      <c r="E620" s="1" t="s">
        <v>581</v>
      </c>
      <c r="F620" s="1" t="s">
        <v>802</v>
      </c>
      <c r="G620" s="1" t="s">
        <v>806</v>
      </c>
      <c r="H620" s="1" t="s">
        <v>809</v>
      </c>
      <c r="I620" s="1" t="s">
        <v>809</v>
      </c>
      <c r="J620" s="1" t="s">
        <v>818</v>
      </c>
      <c r="K620" s="1" t="s">
        <v>821</v>
      </c>
      <c r="L620" s="1" t="s">
        <v>845</v>
      </c>
      <c r="M620" s="1">
        <v>11.09</v>
      </c>
      <c r="N620" s="1">
        <v>2017.07</v>
      </c>
      <c r="O620" s="1">
        <v>19782.25</v>
      </c>
      <c r="P620" s="1">
        <v>0</v>
      </c>
      <c r="Q620" s="1">
        <v>22145.64</v>
      </c>
      <c r="R620" s="1">
        <v>17827.96</v>
      </c>
      <c r="S620" s="1">
        <f t="shared" si="19"/>
        <v>4317.68</v>
      </c>
      <c r="T620" s="1" t="s">
        <v>876</v>
      </c>
      <c r="U620" s="1" t="s">
        <v>880</v>
      </c>
      <c r="V620" s="5" t="s">
        <v>882</v>
      </c>
    </row>
    <row r="621" spans="1:22" x14ac:dyDescent="0.3">
      <c r="A621" s="4" t="s">
        <v>139</v>
      </c>
      <c r="B621" s="3">
        <v>45572</v>
      </c>
      <c r="C621" s="1" t="str">
        <f t="shared" si="18"/>
        <v>October</v>
      </c>
      <c r="D621" s="1" t="s">
        <v>468</v>
      </c>
      <c r="E621" s="1" t="s">
        <v>624</v>
      </c>
      <c r="F621" s="1" t="s">
        <v>801</v>
      </c>
      <c r="G621" s="1" t="s">
        <v>804</v>
      </c>
      <c r="H621" s="1" t="s">
        <v>809</v>
      </c>
      <c r="I621" s="1" t="s">
        <v>809</v>
      </c>
      <c r="J621" s="1" t="s">
        <v>817</v>
      </c>
      <c r="K621" s="1" t="s">
        <v>820</v>
      </c>
      <c r="L621" s="1" t="s">
        <v>866</v>
      </c>
      <c r="M621" s="1">
        <v>1.85</v>
      </c>
      <c r="N621" s="1">
        <v>2296.92</v>
      </c>
      <c r="O621" s="1">
        <v>5090.3900000000003</v>
      </c>
      <c r="P621" s="1">
        <v>0.05</v>
      </c>
      <c r="Q621" s="1">
        <v>4741.68</v>
      </c>
      <c r="R621" s="1">
        <v>3597.84</v>
      </c>
      <c r="S621" s="1">
        <f t="shared" si="19"/>
        <v>1143.8400000000001</v>
      </c>
      <c r="T621" s="1" t="s">
        <v>875</v>
      </c>
      <c r="U621" s="1" t="s">
        <v>878</v>
      </c>
      <c r="V621" s="5" t="s">
        <v>882</v>
      </c>
    </row>
    <row r="622" spans="1:22" x14ac:dyDescent="0.3">
      <c r="A622" s="4" t="s">
        <v>23</v>
      </c>
      <c r="B622" s="3">
        <v>45568</v>
      </c>
      <c r="C622" s="1" t="str">
        <f t="shared" si="18"/>
        <v>October</v>
      </c>
      <c r="D622" s="1" t="s">
        <v>328</v>
      </c>
      <c r="E622" s="1" t="s">
        <v>508</v>
      </c>
      <c r="F622" s="1" t="s">
        <v>801</v>
      </c>
      <c r="G622" s="1" t="s">
        <v>804</v>
      </c>
      <c r="H622" s="1" t="s">
        <v>808</v>
      </c>
      <c r="I622" s="1" t="s">
        <v>809</v>
      </c>
      <c r="J622" s="1" t="s">
        <v>818</v>
      </c>
      <c r="K622" s="1" t="s">
        <v>820</v>
      </c>
      <c r="L622" s="1" t="s">
        <v>825</v>
      </c>
      <c r="M622" s="1">
        <v>9.8699999999999992</v>
      </c>
      <c r="N622" s="1">
        <v>1248.0899999999999</v>
      </c>
      <c r="O622" s="1">
        <v>14219.75</v>
      </c>
      <c r="P622" s="1">
        <v>0.05</v>
      </c>
      <c r="Q622" s="1">
        <v>12690.15</v>
      </c>
      <c r="R622" s="1">
        <v>8397.68</v>
      </c>
      <c r="S622" s="1">
        <f t="shared" si="19"/>
        <v>4292.4699999999993</v>
      </c>
      <c r="T622" s="1" t="s">
        <v>875</v>
      </c>
      <c r="U622" s="1" t="s">
        <v>878</v>
      </c>
      <c r="V622" s="5" t="s">
        <v>883</v>
      </c>
    </row>
    <row r="623" spans="1:22" x14ac:dyDescent="0.3">
      <c r="A623" s="4" t="s">
        <v>265</v>
      </c>
      <c r="B623" s="3">
        <v>45340</v>
      </c>
      <c r="C623" s="1" t="str">
        <f t="shared" si="18"/>
        <v>February</v>
      </c>
      <c r="D623" s="1" t="s">
        <v>387</v>
      </c>
      <c r="E623" s="1" t="s">
        <v>748</v>
      </c>
      <c r="F623" s="1" t="s">
        <v>803</v>
      </c>
      <c r="G623" s="1" t="s">
        <v>807</v>
      </c>
      <c r="H623" s="1" t="s">
        <v>811</v>
      </c>
      <c r="I623" s="1" t="s">
        <v>813</v>
      </c>
      <c r="J623" s="1" t="s">
        <v>817</v>
      </c>
      <c r="K623" s="1" t="s">
        <v>821</v>
      </c>
      <c r="L623" s="1" t="s">
        <v>869</v>
      </c>
      <c r="M623" s="1">
        <v>4.04</v>
      </c>
      <c r="N623" s="1">
        <v>810.13</v>
      </c>
      <c r="O623" s="1">
        <v>3045.81</v>
      </c>
      <c r="P623" s="1">
        <v>0.15</v>
      </c>
      <c r="Q623" s="1">
        <v>2685</v>
      </c>
      <c r="R623" s="1">
        <v>1578.5</v>
      </c>
      <c r="S623" s="1">
        <f t="shared" si="19"/>
        <v>1106.5</v>
      </c>
      <c r="T623" s="1" t="s">
        <v>876</v>
      </c>
      <c r="U623" s="1" t="s">
        <v>881</v>
      </c>
      <c r="V623" s="5" t="s">
        <v>884</v>
      </c>
    </row>
    <row r="624" spans="1:22" x14ac:dyDescent="0.3">
      <c r="A624" s="4" t="s">
        <v>194</v>
      </c>
      <c r="B624" s="3">
        <v>45493</v>
      </c>
      <c r="C624" s="1" t="str">
        <f t="shared" si="18"/>
        <v>July</v>
      </c>
      <c r="D624" s="1" t="s">
        <v>353</v>
      </c>
      <c r="E624" s="1" t="s">
        <v>678</v>
      </c>
      <c r="F624" s="1" t="s">
        <v>801</v>
      </c>
      <c r="G624" s="1" t="s">
        <v>805</v>
      </c>
      <c r="H624" s="1" t="s">
        <v>812</v>
      </c>
      <c r="I624" s="1" t="s">
        <v>814</v>
      </c>
      <c r="J624" s="1" t="s">
        <v>818</v>
      </c>
      <c r="K624" s="1" t="s">
        <v>821</v>
      </c>
      <c r="L624" s="1" t="s">
        <v>862</v>
      </c>
      <c r="M624" s="1">
        <v>9</v>
      </c>
      <c r="N624" s="1">
        <v>2682.75</v>
      </c>
      <c r="O624" s="1">
        <v>31597.14</v>
      </c>
      <c r="P624" s="1">
        <v>0.1</v>
      </c>
      <c r="Q624" s="1">
        <v>24945.85</v>
      </c>
      <c r="R624" s="1">
        <v>20755.28</v>
      </c>
      <c r="S624" s="1">
        <f t="shared" si="19"/>
        <v>4190.57</v>
      </c>
      <c r="T624" s="1" t="s">
        <v>873</v>
      </c>
      <c r="U624" s="1" t="s">
        <v>881</v>
      </c>
      <c r="V624" s="5" t="s">
        <v>882</v>
      </c>
    </row>
    <row r="625" spans="1:22" x14ac:dyDescent="0.3">
      <c r="A625" s="4" t="s">
        <v>41</v>
      </c>
      <c r="B625" s="3">
        <v>45419</v>
      </c>
      <c r="C625" s="1" t="str">
        <f t="shared" si="18"/>
        <v>May</v>
      </c>
      <c r="D625" s="1" t="s">
        <v>326</v>
      </c>
      <c r="E625" s="1" t="s">
        <v>526</v>
      </c>
      <c r="F625" s="1" t="s">
        <v>803</v>
      </c>
      <c r="G625" s="1" t="s">
        <v>805</v>
      </c>
      <c r="H625" s="1" t="s">
        <v>812</v>
      </c>
      <c r="I625" s="1" t="s">
        <v>814</v>
      </c>
      <c r="J625" s="1" t="s">
        <v>818</v>
      </c>
      <c r="K625" s="1" t="s">
        <v>821</v>
      </c>
      <c r="L625" s="1" t="s">
        <v>842</v>
      </c>
      <c r="M625" s="1">
        <v>4.9000000000000004</v>
      </c>
      <c r="N625" s="1">
        <v>574.78</v>
      </c>
      <c r="O625" s="1">
        <v>2403.6999999999998</v>
      </c>
      <c r="P625" s="1">
        <v>0</v>
      </c>
      <c r="Q625" s="1">
        <v>2595.85</v>
      </c>
      <c r="R625" s="1">
        <v>1824.99</v>
      </c>
      <c r="S625" s="1">
        <f t="shared" si="19"/>
        <v>770.8599999999999</v>
      </c>
      <c r="T625" s="1" t="s">
        <v>875</v>
      </c>
      <c r="U625" s="1" t="s">
        <v>879</v>
      </c>
      <c r="V625" s="5" t="s">
        <v>884</v>
      </c>
    </row>
    <row r="626" spans="1:22" x14ac:dyDescent="0.3">
      <c r="A626" s="4" t="s">
        <v>189</v>
      </c>
      <c r="B626" s="3">
        <v>45582</v>
      </c>
      <c r="C626" s="1" t="str">
        <f t="shared" si="18"/>
        <v>October</v>
      </c>
      <c r="D626" s="1" t="s">
        <v>408</v>
      </c>
      <c r="E626" s="1" t="s">
        <v>673</v>
      </c>
      <c r="F626" s="1" t="s">
        <v>801</v>
      </c>
      <c r="G626" s="1" t="s">
        <v>806</v>
      </c>
      <c r="H626" s="1" t="s">
        <v>809</v>
      </c>
      <c r="I626" s="1" t="s">
        <v>809</v>
      </c>
      <c r="J626" s="1" t="s">
        <v>818</v>
      </c>
      <c r="K626" s="1" t="s">
        <v>822</v>
      </c>
      <c r="L626" s="1" t="s">
        <v>842</v>
      </c>
      <c r="M626" s="1">
        <v>4.68</v>
      </c>
      <c r="N626" s="1">
        <v>393.2</v>
      </c>
      <c r="O626" s="1">
        <v>2264.9699999999998</v>
      </c>
      <c r="P626" s="1">
        <v>0</v>
      </c>
      <c r="Q626" s="1">
        <v>1932.25</v>
      </c>
      <c r="R626" s="1">
        <v>1701.3</v>
      </c>
      <c r="S626" s="1">
        <f t="shared" si="19"/>
        <v>230.95000000000005</v>
      </c>
      <c r="T626" s="1" t="s">
        <v>874</v>
      </c>
      <c r="U626" s="1" t="s">
        <v>880</v>
      </c>
      <c r="V626" s="5" t="s">
        <v>882</v>
      </c>
    </row>
    <row r="627" spans="1:22" x14ac:dyDescent="0.3">
      <c r="A627" s="4" t="s">
        <v>99</v>
      </c>
      <c r="B627" s="3">
        <v>45427</v>
      </c>
      <c r="C627" s="1" t="str">
        <f t="shared" si="18"/>
        <v>May</v>
      </c>
      <c r="D627" s="1" t="s">
        <v>458</v>
      </c>
      <c r="E627" s="1" t="s">
        <v>584</v>
      </c>
      <c r="F627" s="1" t="s">
        <v>802</v>
      </c>
      <c r="G627" s="1" t="s">
        <v>804</v>
      </c>
      <c r="H627" s="1" t="s">
        <v>812</v>
      </c>
      <c r="I627" s="1" t="s">
        <v>814</v>
      </c>
      <c r="J627" s="1" t="s">
        <v>818</v>
      </c>
      <c r="K627" s="1" t="s">
        <v>822</v>
      </c>
      <c r="L627" s="1" t="s">
        <v>855</v>
      </c>
      <c r="M627" s="1">
        <v>8.1</v>
      </c>
      <c r="N627" s="1">
        <v>499.96</v>
      </c>
      <c r="O627" s="1">
        <v>5428.3</v>
      </c>
      <c r="P627" s="1">
        <v>0.11</v>
      </c>
      <c r="Q627" s="1">
        <v>4327.5</v>
      </c>
      <c r="R627" s="1">
        <v>3805.18</v>
      </c>
      <c r="S627" s="1">
        <f t="shared" si="19"/>
        <v>522.32000000000016</v>
      </c>
      <c r="T627" s="1" t="s">
        <v>874</v>
      </c>
      <c r="U627" s="1" t="s">
        <v>879</v>
      </c>
      <c r="V627" s="5" t="s">
        <v>884</v>
      </c>
    </row>
    <row r="628" spans="1:22" x14ac:dyDescent="0.3">
      <c r="A628" s="4" t="s">
        <v>304</v>
      </c>
      <c r="B628" s="3">
        <v>45335</v>
      </c>
      <c r="C628" s="1" t="str">
        <f t="shared" si="18"/>
        <v>February</v>
      </c>
      <c r="D628" s="1" t="s">
        <v>380</v>
      </c>
      <c r="E628" s="1" t="s">
        <v>786</v>
      </c>
      <c r="F628" s="1" t="s">
        <v>802</v>
      </c>
      <c r="G628" s="1" t="s">
        <v>807</v>
      </c>
      <c r="H628" s="1" t="s">
        <v>811</v>
      </c>
      <c r="I628" s="1" t="s">
        <v>816</v>
      </c>
      <c r="J628" s="1" t="s">
        <v>818</v>
      </c>
      <c r="K628" s="1" t="s">
        <v>820</v>
      </c>
      <c r="L628" s="1" t="s">
        <v>846</v>
      </c>
      <c r="M628" s="1">
        <v>8.6300000000000008</v>
      </c>
      <c r="N628" s="1">
        <v>2071.35</v>
      </c>
      <c r="O628" s="1">
        <v>19790.52</v>
      </c>
      <c r="P628" s="1">
        <v>0</v>
      </c>
      <c r="Q628" s="1">
        <v>20408.72</v>
      </c>
      <c r="R628" s="1">
        <v>15639.99</v>
      </c>
      <c r="S628" s="1">
        <f t="shared" si="19"/>
        <v>4768.7300000000014</v>
      </c>
      <c r="T628" s="1" t="s">
        <v>875</v>
      </c>
      <c r="U628" s="1" t="s">
        <v>877</v>
      </c>
      <c r="V628" s="5" t="s">
        <v>882</v>
      </c>
    </row>
    <row r="629" spans="1:22" x14ac:dyDescent="0.3">
      <c r="A629" s="4" t="s">
        <v>273</v>
      </c>
      <c r="B629" s="3">
        <v>45544</v>
      </c>
      <c r="C629" s="1" t="str">
        <f t="shared" si="18"/>
        <v>September</v>
      </c>
      <c r="D629" s="1" t="s">
        <v>475</v>
      </c>
      <c r="E629" s="1" t="s">
        <v>756</v>
      </c>
      <c r="F629" s="1" t="s">
        <v>802</v>
      </c>
      <c r="G629" s="1" t="s">
        <v>807</v>
      </c>
      <c r="H629" s="1" t="s">
        <v>811</v>
      </c>
      <c r="I629" s="1" t="s">
        <v>816</v>
      </c>
      <c r="J629" s="1" t="s">
        <v>817</v>
      </c>
      <c r="K629" s="1" t="s">
        <v>820</v>
      </c>
      <c r="L629" s="1" t="s">
        <v>848</v>
      </c>
      <c r="M629" s="1">
        <v>10.58</v>
      </c>
      <c r="N629" s="1">
        <v>3330.32</v>
      </c>
      <c r="O629" s="1">
        <v>32991.49</v>
      </c>
      <c r="P629" s="1">
        <v>0</v>
      </c>
      <c r="Q629" s="1">
        <v>39612.42</v>
      </c>
      <c r="R629" s="1">
        <v>26548.15</v>
      </c>
      <c r="S629" s="1">
        <f t="shared" si="19"/>
        <v>13064.269999999997</v>
      </c>
      <c r="T629" s="1" t="s">
        <v>874</v>
      </c>
      <c r="U629" s="1" t="s">
        <v>881</v>
      </c>
      <c r="V629" s="5" t="s">
        <v>884</v>
      </c>
    </row>
    <row r="630" spans="1:22" x14ac:dyDescent="0.3">
      <c r="A630" s="4" t="s">
        <v>283</v>
      </c>
      <c r="B630" s="3">
        <v>45609</v>
      </c>
      <c r="C630" s="1" t="str">
        <f t="shared" si="18"/>
        <v>November</v>
      </c>
      <c r="D630" s="1" t="s">
        <v>473</v>
      </c>
      <c r="E630" s="1" t="s">
        <v>766</v>
      </c>
      <c r="F630" s="1" t="s">
        <v>801</v>
      </c>
      <c r="G630" s="1" t="s">
        <v>805</v>
      </c>
      <c r="H630" s="1" t="s">
        <v>812</v>
      </c>
      <c r="I630" s="1" t="s">
        <v>809</v>
      </c>
      <c r="J630" s="1" t="s">
        <v>817</v>
      </c>
      <c r="K630" s="1" t="s">
        <v>821</v>
      </c>
      <c r="L630" s="1" t="s">
        <v>871</v>
      </c>
      <c r="M630" s="1">
        <v>7.79</v>
      </c>
      <c r="N630" s="1">
        <v>1667.03</v>
      </c>
      <c r="O630" s="1">
        <v>13686.44</v>
      </c>
      <c r="P630" s="1">
        <v>0.1</v>
      </c>
      <c r="Q630" s="1">
        <v>10802.96</v>
      </c>
      <c r="R630" s="1">
        <v>8706.19</v>
      </c>
      <c r="S630" s="1">
        <f t="shared" si="19"/>
        <v>2096.7699999999986</v>
      </c>
      <c r="T630" s="1" t="s">
        <v>873</v>
      </c>
      <c r="U630" s="1" t="s">
        <v>880</v>
      </c>
      <c r="V630" s="5" t="s">
        <v>884</v>
      </c>
    </row>
    <row r="631" spans="1:22" x14ac:dyDescent="0.3">
      <c r="A631" s="4" t="s">
        <v>107</v>
      </c>
      <c r="B631" s="3">
        <v>45426</v>
      </c>
      <c r="C631" s="1" t="str">
        <f t="shared" si="18"/>
        <v>May</v>
      </c>
      <c r="D631" s="1" t="s">
        <v>454</v>
      </c>
      <c r="E631" s="1" t="s">
        <v>592</v>
      </c>
      <c r="F631" s="1" t="s">
        <v>801</v>
      </c>
      <c r="G631" s="1" t="s">
        <v>807</v>
      </c>
      <c r="H631" s="1" t="s">
        <v>810</v>
      </c>
      <c r="I631" s="1" t="s">
        <v>809</v>
      </c>
      <c r="J631" s="1" t="s">
        <v>818</v>
      </c>
      <c r="K631" s="1" t="s">
        <v>820</v>
      </c>
      <c r="L631" s="1" t="s">
        <v>835</v>
      </c>
      <c r="M631" s="1">
        <v>0.83</v>
      </c>
      <c r="N631" s="1">
        <v>1308.75</v>
      </c>
      <c r="O631" s="1">
        <v>1385.77</v>
      </c>
      <c r="P631" s="1">
        <v>0.17</v>
      </c>
      <c r="Q631" s="1">
        <v>973.88</v>
      </c>
      <c r="R631" s="1">
        <v>943.26</v>
      </c>
      <c r="S631" s="1">
        <f t="shared" si="19"/>
        <v>30.620000000000005</v>
      </c>
      <c r="T631" s="1" t="s">
        <v>874</v>
      </c>
      <c r="U631" s="1" t="s">
        <v>880</v>
      </c>
      <c r="V631" s="5" t="s">
        <v>883</v>
      </c>
    </row>
    <row r="632" spans="1:22" x14ac:dyDescent="0.3">
      <c r="A632" s="4" t="s">
        <v>258</v>
      </c>
      <c r="B632" s="3">
        <v>45423</v>
      </c>
      <c r="C632" s="1" t="str">
        <f t="shared" si="18"/>
        <v>May</v>
      </c>
      <c r="D632" s="1" t="s">
        <v>337</v>
      </c>
      <c r="E632" s="1" t="s">
        <v>741</v>
      </c>
      <c r="F632" s="1" t="s">
        <v>803</v>
      </c>
      <c r="G632" s="1" t="s">
        <v>806</v>
      </c>
      <c r="H632" s="1" t="s">
        <v>811</v>
      </c>
      <c r="I632" s="1" t="s">
        <v>815</v>
      </c>
      <c r="J632" s="1" t="s">
        <v>817</v>
      </c>
      <c r="K632" s="1" t="s">
        <v>821</v>
      </c>
      <c r="L632" s="1" t="s">
        <v>827</v>
      </c>
      <c r="M632" s="1">
        <v>7.82</v>
      </c>
      <c r="N632" s="1">
        <v>2387.5</v>
      </c>
      <c r="O632" s="1">
        <v>22218.11</v>
      </c>
      <c r="P632" s="1">
        <v>0.05</v>
      </c>
      <c r="Q632" s="1">
        <v>18872.669999999998</v>
      </c>
      <c r="R632" s="1">
        <v>14548.22</v>
      </c>
      <c r="S632" s="1">
        <f t="shared" si="19"/>
        <v>4324.4499999999989</v>
      </c>
      <c r="T632" s="1" t="s">
        <v>875</v>
      </c>
      <c r="U632" s="1" t="s">
        <v>879</v>
      </c>
      <c r="V632" s="5" t="s">
        <v>884</v>
      </c>
    </row>
    <row r="633" spans="1:22" x14ac:dyDescent="0.3">
      <c r="A633" s="4" t="s">
        <v>286</v>
      </c>
      <c r="B633" s="3">
        <v>45376</v>
      </c>
      <c r="C633" s="1" t="str">
        <f t="shared" si="18"/>
        <v>March</v>
      </c>
      <c r="D633" s="1" t="s">
        <v>499</v>
      </c>
      <c r="E633" s="1" t="s">
        <v>769</v>
      </c>
      <c r="F633" s="1" t="s">
        <v>802</v>
      </c>
      <c r="G633" s="1" t="s">
        <v>807</v>
      </c>
      <c r="H633" s="1" t="s">
        <v>811</v>
      </c>
      <c r="I633" s="1" t="s">
        <v>816</v>
      </c>
      <c r="J633" s="1" t="s">
        <v>819</v>
      </c>
      <c r="K633" s="1" t="s">
        <v>822</v>
      </c>
      <c r="L633" s="1" t="s">
        <v>836</v>
      </c>
      <c r="M633" s="1">
        <v>2.86</v>
      </c>
      <c r="N633" s="1">
        <v>3252.6</v>
      </c>
      <c r="O633" s="1">
        <v>10451.99</v>
      </c>
      <c r="P633" s="1">
        <v>0</v>
      </c>
      <c r="Q633" s="1">
        <v>9490.82</v>
      </c>
      <c r="R633" s="1">
        <v>7324.24</v>
      </c>
      <c r="S633" s="1">
        <f t="shared" si="19"/>
        <v>2166.58</v>
      </c>
      <c r="T633" s="1" t="s">
        <v>875</v>
      </c>
      <c r="U633" s="1" t="s">
        <v>880</v>
      </c>
      <c r="V633" s="5" t="s">
        <v>883</v>
      </c>
    </row>
    <row r="634" spans="1:22" x14ac:dyDescent="0.3">
      <c r="A634" s="4" t="s">
        <v>157</v>
      </c>
      <c r="B634" s="3">
        <v>45561</v>
      </c>
      <c r="C634" s="1" t="str">
        <f t="shared" si="18"/>
        <v>September</v>
      </c>
      <c r="D634" s="1" t="s">
        <v>321</v>
      </c>
      <c r="E634" s="1" t="s">
        <v>642</v>
      </c>
      <c r="F634" s="1" t="s">
        <v>801</v>
      </c>
      <c r="G634" s="1" t="s">
        <v>806</v>
      </c>
      <c r="H634" s="1" t="s">
        <v>810</v>
      </c>
      <c r="I634" s="1" t="s">
        <v>813</v>
      </c>
      <c r="J634" s="1" t="s">
        <v>818</v>
      </c>
      <c r="K634" s="1" t="s">
        <v>820</v>
      </c>
      <c r="L634" s="1" t="s">
        <v>850</v>
      </c>
      <c r="M634" s="1">
        <v>3.36</v>
      </c>
      <c r="N634" s="1">
        <v>1643.09</v>
      </c>
      <c r="O634" s="1">
        <v>4279.58</v>
      </c>
      <c r="P634" s="1">
        <v>0</v>
      </c>
      <c r="Q634" s="1">
        <v>4236.62</v>
      </c>
      <c r="R634" s="1">
        <v>4341.49</v>
      </c>
      <c r="S634" s="1">
        <f t="shared" si="19"/>
        <v>-104.86999999999989</v>
      </c>
      <c r="T634" s="1" t="s">
        <v>875</v>
      </c>
      <c r="U634" s="1" t="s">
        <v>880</v>
      </c>
      <c r="V634" s="5" t="s">
        <v>883</v>
      </c>
    </row>
    <row r="635" spans="1:22" x14ac:dyDescent="0.3">
      <c r="A635" s="4" t="s">
        <v>147</v>
      </c>
      <c r="B635" s="3">
        <v>45384</v>
      </c>
      <c r="C635" s="1" t="str">
        <f t="shared" si="18"/>
        <v>April</v>
      </c>
      <c r="D635" s="1" t="s">
        <v>430</v>
      </c>
      <c r="E635" s="1" t="s">
        <v>632</v>
      </c>
      <c r="F635" s="1" t="s">
        <v>803</v>
      </c>
      <c r="G635" s="1" t="s">
        <v>806</v>
      </c>
      <c r="H635" s="1" t="s">
        <v>809</v>
      </c>
      <c r="I635" s="1" t="s">
        <v>816</v>
      </c>
      <c r="J635" s="1" t="s">
        <v>819</v>
      </c>
      <c r="K635" s="1" t="s">
        <v>820</v>
      </c>
      <c r="L635" s="1" t="s">
        <v>831</v>
      </c>
      <c r="M635" s="1">
        <v>13.05</v>
      </c>
      <c r="N635" s="1">
        <v>1260.53</v>
      </c>
      <c r="O635" s="1">
        <v>16625.189999999999</v>
      </c>
      <c r="P635" s="1">
        <v>0.09</v>
      </c>
      <c r="Q635" s="1">
        <v>14956.64</v>
      </c>
      <c r="R635" s="1">
        <v>9736.74</v>
      </c>
      <c r="S635" s="1">
        <f t="shared" si="19"/>
        <v>5219.8999999999996</v>
      </c>
      <c r="T635" s="1" t="s">
        <v>873</v>
      </c>
      <c r="U635" s="1" t="s">
        <v>877</v>
      </c>
      <c r="V635" s="5" t="s">
        <v>882</v>
      </c>
    </row>
    <row r="636" spans="1:22" x14ac:dyDescent="0.3">
      <c r="A636" s="4" t="s">
        <v>101</v>
      </c>
      <c r="B636" s="3">
        <v>45309</v>
      </c>
      <c r="C636" s="1" t="str">
        <f t="shared" si="18"/>
        <v>January</v>
      </c>
      <c r="D636" s="1" t="s">
        <v>360</v>
      </c>
      <c r="E636" s="1" t="s">
        <v>586</v>
      </c>
      <c r="F636" s="1" t="s">
        <v>803</v>
      </c>
      <c r="G636" s="1" t="s">
        <v>806</v>
      </c>
      <c r="H636" s="1" t="s">
        <v>811</v>
      </c>
      <c r="I636" s="1" t="s">
        <v>813</v>
      </c>
      <c r="J636" s="1" t="s">
        <v>818</v>
      </c>
      <c r="K636" s="1" t="s">
        <v>821</v>
      </c>
      <c r="L636" s="1" t="s">
        <v>847</v>
      </c>
      <c r="M636" s="1">
        <v>3.09</v>
      </c>
      <c r="N636" s="1">
        <v>1340.69</v>
      </c>
      <c r="O636" s="1">
        <v>4205.8599999999997</v>
      </c>
      <c r="P636" s="1">
        <v>0.15</v>
      </c>
      <c r="Q636" s="1">
        <v>3360.51</v>
      </c>
      <c r="R636" s="1">
        <v>2203.87</v>
      </c>
      <c r="S636" s="1">
        <f t="shared" si="19"/>
        <v>1156.6400000000003</v>
      </c>
      <c r="T636" s="1" t="s">
        <v>876</v>
      </c>
      <c r="U636" s="1" t="s">
        <v>877</v>
      </c>
      <c r="V636" s="5" t="s">
        <v>882</v>
      </c>
    </row>
    <row r="637" spans="1:22" x14ac:dyDescent="0.3">
      <c r="A637" s="4" t="s">
        <v>158</v>
      </c>
      <c r="B637" s="3">
        <v>45332</v>
      </c>
      <c r="C637" s="1" t="str">
        <f t="shared" si="18"/>
        <v>February</v>
      </c>
      <c r="D637" s="1" t="s">
        <v>397</v>
      </c>
      <c r="E637" s="1" t="s">
        <v>643</v>
      </c>
      <c r="F637" s="1" t="s">
        <v>803</v>
      </c>
      <c r="G637" s="1" t="s">
        <v>806</v>
      </c>
      <c r="H637" s="1" t="s">
        <v>808</v>
      </c>
      <c r="I637" s="1" t="s">
        <v>813</v>
      </c>
      <c r="J637" s="1" t="s">
        <v>818</v>
      </c>
      <c r="K637" s="1" t="s">
        <v>822</v>
      </c>
      <c r="L637" s="1" t="s">
        <v>837</v>
      </c>
      <c r="M637" s="1">
        <v>1.83</v>
      </c>
      <c r="N637" s="1">
        <v>3346.49</v>
      </c>
      <c r="O637" s="1">
        <v>7090.23</v>
      </c>
      <c r="P637" s="1">
        <v>0.15</v>
      </c>
      <c r="Q637" s="1">
        <v>5381.1</v>
      </c>
      <c r="R637" s="1">
        <v>4349.83</v>
      </c>
      <c r="S637" s="1">
        <f t="shared" si="19"/>
        <v>1031.2700000000004</v>
      </c>
      <c r="T637" s="1" t="s">
        <v>876</v>
      </c>
      <c r="U637" s="1" t="s">
        <v>877</v>
      </c>
      <c r="V637" s="5" t="s">
        <v>883</v>
      </c>
    </row>
    <row r="638" spans="1:22" x14ac:dyDescent="0.3">
      <c r="A638" s="4" t="s">
        <v>34</v>
      </c>
      <c r="B638" s="3">
        <v>45569</v>
      </c>
      <c r="C638" s="1" t="str">
        <f t="shared" si="18"/>
        <v>October</v>
      </c>
      <c r="D638" s="1" t="s">
        <v>346</v>
      </c>
      <c r="E638" s="1" t="s">
        <v>519</v>
      </c>
      <c r="F638" s="1" t="s">
        <v>803</v>
      </c>
      <c r="G638" s="1" t="s">
        <v>805</v>
      </c>
      <c r="H638" s="1" t="s">
        <v>810</v>
      </c>
      <c r="I638" s="1" t="s">
        <v>813</v>
      </c>
      <c r="J638" s="1" t="s">
        <v>818</v>
      </c>
      <c r="K638" s="1" t="s">
        <v>822</v>
      </c>
      <c r="L638" s="1" t="s">
        <v>836</v>
      </c>
      <c r="M638" s="1">
        <v>8.67</v>
      </c>
      <c r="N638" s="1">
        <v>1614.65</v>
      </c>
      <c r="O638" s="1">
        <v>14062.79</v>
      </c>
      <c r="P638" s="1">
        <v>0.05</v>
      </c>
      <c r="Q638" s="1">
        <v>11221.46</v>
      </c>
      <c r="R638" s="1">
        <v>8992.17</v>
      </c>
      <c r="S638" s="1">
        <f t="shared" si="19"/>
        <v>2229.2899999999991</v>
      </c>
      <c r="T638" s="1" t="s">
        <v>876</v>
      </c>
      <c r="U638" s="1" t="s">
        <v>877</v>
      </c>
      <c r="V638" s="5" t="s">
        <v>884</v>
      </c>
    </row>
    <row r="639" spans="1:22" x14ac:dyDescent="0.3">
      <c r="A639" s="4" t="s">
        <v>188</v>
      </c>
      <c r="B639" s="3">
        <v>45425</v>
      </c>
      <c r="C639" s="1" t="str">
        <f t="shared" si="18"/>
        <v>May</v>
      </c>
      <c r="D639" s="1" t="s">
        <v>336</v>
      </c>
      <c r="E639" s="1" t="s">
        <v>672</v>
      </c>
      <c r="F639" s="1" t="s">
        <v>802</v>
      </c>
      <c r="G639" s="1" t="s">
        <v>806</v>
      </c>
      <c r="H639" s="1" t="s">
        <v>810</v>
      </c>
      <c r="I639" s="1" t="s">
        <v>809</v>
      </c>
      <c r="J639" s="1" t="s">
        <v>818</v>
      </c>
      <c r="K639" s="1" t="s">
        <v>821</v>
      </c>
      <c r="L639" s="1" t="s">
        <v>859</v>
      </c>
      <c r="M639" s="1">
        <v>7.74</v>
      </c>
      <c r="N639" s="1">
        <v>2265.35</v>
      </c>
      <c r="O639" s="1">
        <v>16510.79</v>
      </c>
      <c r="P639" s="1">
        <v>0.1</v>
      </c>
      <c r="Q639" s="1">
        <v>14403.05</v>
      </c>
      <c r="R639" s="1">
        <v>12512.11</v>
      </c>
      <c r="S639" s="1">
        <f t="shared" si="19"/>
        <v>1890.9399999999987</v>
      </c>
      <c r="T639" s="1" t="s">
        <v>874</v>
      </c>
      <c r="U639" s="1" t="s">
        <v>878</v>
      </c>
      <c r="V639" s="5" t="s">
        <v>882</v>
      </c>
    </row>
    <row r="640" spans="1:22" x14ac:dyDescent="0.3">
      <c r="A640" s="4" t="s">
        <v>104</v>
      </c>
      <c r="B640" s="3">
        <v>45588</v>
      </c>
      <c r="C640" s="1" t="str">
        <f t="shared" si="18"/>
        <v>October</v>
      </c>
      <c r="D640" s="1" t="s">
        <v>425</v>
      </c>
      <c r="E640" s="1" t="s">
        <v>589</v>
      </c>
      <c r="F640" s="1" t="s">
        <v>803</v>
      </c>
      <c r="G640" s="1" t="s">
        <v>804</v>
      </c>
      <c r="H640" s="1" t="s">
        <v>808</v>
      </c>
      <c r="I640" s="1" t="s">
        <v>809</v>
      </c>
      <c r="J640" s="1" t="s">
        <v>819</v>
      </c>
      <c r="K640" s="1" t="s">
        <v>820</v>
      </c>
      <c r="L640" s="1" t="s">
        <v>829</v>
      </c>
      <c r="M640" s="1">
        <v>10.49</v>
      </c>
      <c r="N640" s="1">
        <v>2860.87</v>
      </c>
      <c r="O640" s="1">
        <v>36376.81</v>
      </c>
      <c r="P640" s="1">
        <v>0.15</v>
      </c>
      <c r="Q640" s="1">
        <v>28400.54</v>
      </c>
      <c r="R640" s="1">
        <v>18322.490000000002</v>
      </c>
      <c r="S640" s="1">
        <f t="shared" si="19"/>
        <v>10078.049999999999</v>
      </c>
      <c r="T640" s="1" t="s">
        <v>875</v>
      </c>
      <c r="U640" s="1" t="s">
        <v>877</v>
      </c>
      <c r="V640" s="5" t="s">
        <v>882</v>
      </c>
    </row>
    <row r="641" spans="1:22" x14ac:dyDescent="0.3">
      <c r="A641" s="4" t="s">
        <v>314</v>
      </c>
      <c r="B641" s="3">
        <v>45501</v>
      </c>
      <c r="C641" s="1" t="str">
        <f t="shared" si="18"/>
        <v>July</v>
      </c>
      <c r="D641" s="1" t="s">
        <v>357</v>
      </c>
      <c r="E641" s="1" t="s">
        <v>796</v>
      </c>
      <c r="F641" s="1" t="s">
        <v>801</v>
      </c>
      <c r="G641" s="1" t="s">
        <v>807</v>
      </c>
      <c r="H641" s="1" t="s">
        <v>810</v>
      </c>
      <c r="I641" s="1" t="s">
        <v>809</v>
      </c>
      <c r="J641" s="1" t="s">
        <v>819</v>
      </c>
      <c r="K641" s="1" t="s">
        <v>820</v>
      </c>
      <c r="L641" s="1" t="s">
        <v>834</v>
      </c>
      <c r="M641" s="1">
        <v>12.7</v>
      </c>
      <c r="N641" s="1">
        <v>938.42</v>
      </c>
      <c r="O641" s="1">
        <v>10545.95</v>
      </c>
      <c r="P641" s="1">
        <v>0</v>
      </c>
      <c r="Q641" s="1">
        <v>12323.81</v>
      </c>
      <c r="R641" s="1">
        <v>8471.24</v>
      </c>
      <c r="S641" s="1">
        <f t="shared" si="19"/>
        <v>3852.5699999999997</v>
      </c>
      <c r="T641" s="1" t="s">
        <v>875</v>
      </c>
      <c r="U641" s="1" t="s">
        <v>879</v>
      </c>
      <c r="V641" s="5" t="s">
        <v>883</v>
      </c>
    </row>
    <row r="642" spans="1:22" x14ac:dyDescent="0.3">
      <c r="A642" s="4" t="s">
        <v>73</v>
      </c>
      <c r="B642" s="3">
        <v>45547</v>
      </c>
      <c r="C642" s="1" t="str">
        <f t="shared" ref="C642:C705" si="20">TEXT(B642,"MMMM")</f>
        <v>September</v>
      </c>
      <c r="D642" s="1" t="s">
        <v>398</v>
      </c>
      <c r="E642" s="1" t="s">
        <v>558</v>
      </c>
      <c r="F642" s="1" t="s">
        <v>801</v>
      </c>
      <c r="G642" s="1" t="s">
        <v>806</v>
      </c>
      <c r="H642" s="1" t="s">
        <v>811</v>
      </c>
      <c r="I642" s="1" t="s">
        <v>809</v>
      </c>
      <c r="J642" s="1" t="s">
        <v>818</v>
      </c>
      <c r="K642" s="1" t="s">
        <v>822</v>
      </c>
      <c r="L642" s="1" t="s">
        <v>850</v>
      </c>
      <c r="M642" s="1">
        <v>10.17</v>
      </c>
      <c r="N642" s="1">
        <v>1669.31</v>
      </c>
      <c r="O642" s="1">
        <v>17727.87</v>
      </c>
      <c r="P642" s="1">
        <v>0.11</v>
      </c>
      <c r="Q642" s="1">
        <v>16373.27</v>
      </c>
      <c r="R642" s="1">
        <v>11894.11</v>
      </c>
      <c r="S642" s="1">
        <f t="shared" ref="S642:S705" si="21">Q642-R642</f>
        <v>4479.16</v>
      </c>
      <c r="T642" s="1" t="s">
        <v>873</v>
      </c>
      <c r="U642" s="1" t="s">
        <v>879</v>
      </c>
      <c r="V642" s="5" t="s">
        <v>883</v>
      </c>
    </row>
    <row r="643" spans="1:22" x14ac:dyDescent="0.3">
      <c r="A643" s="4" t="s">
        <v>169</v>
      </c>
      <c r="B643" s="3">
        <v>45336</v>
      </c>
      <c r="C643" s="1" t="str">
        <f t="shared" si="20"/>
        <v>February</v>
      </c>
      <c r="D643" s="1" t="s">
        <v>373</v>
      </c>
      <c r="E643" s="1" t="s">
        <v>654</v>
      </c>
      <c r="F643" s="1" t="s">
        <v>802</v>
      </c>
      <c r="G643" s="1" t="s">
        <v>805</v>
      </c>
      <c r="H643" s="1" t="s">
        <v>810</v>
      </c>
      <c r="I643" s="1" t="s">
        <v>814</v>
      </c>
      <c r="J643" s="1" t="s">
        <v>818</v>
      </c>
      <c r="K643" s="1" t="s">
        <v>822</v>
      </c>
      <c r="L643" s="1" t="s">
        <v>861</v>
      </c>
      <c r="M643" s="1">
        <v>10.29</v>
      </c>
      <c r="N643" s="1">
        <v>1194.17</v>
      </c>
      <c r="O643" s="1">
        <v>10527.04</v>
      </c>
      <c r="P643" s="1">
        <v>0.16</v>
      </c>
      <c r="Q643" s="1">
        <v>10949.85</v>
      </c>
      <c r="R643" s="1">
        <v>6993.01</v>
      </c>
      <c r="S643" s="1">
        <f t="shared" si="21"/>
        <v>3956.84</v>
      </c>
      <c r="T643" s="1" t="s">
        <v>874</v>
      </c>
      <c r="U643" s="1" t="s">
        <v>881</v>
      </c>
      <c r="V643" s="5" t="s">
        <v>884</v>
      </c>
    </row>
    <row r="644" spans="1:22" x14ac:dyDescent="0.3">
      <c r="A644" s="4" t="s">
        <v>278</v>
      </c>
      <c r="B644" s="3">
        <v>45505</v>
      </c>
      <c r="C644" s="1" t="str">
        <f t="shared" si="20"/>
        <v>August</v>
      </c>
      <c r="D644" s="1" t="s">
        <v>480</v>
      </c>
      <c r="E644" s="1" t="s">
        <v>761</v>
      </c>
      <c r="F644" s="1" t="s">
        <v>801</v>
      </c>
      <c r="G644" s="1" t="s">
        <v>807</v>
      </c>
      <c r="H644" s="1" t="s">
        <v>811</v>
      </c>
      <c r="I644" s="1" t="s">
        <v>814</v>
      </c>
      <c r="J644" s="1" t="s">
        <v>818</v>
      </c>
      <c r="K644" s="1" t="s">
        <v>820</v>
      </c>
      <c r="L644" s="1" t="s">
        <v>848</v>
      </c>
      <c r="M644" s="1">
        <v>10.16</v>
      </c>
      <c r="N644" s="1">
        <v>2436.71</v>
      </c>
      <c r="O644" s="1">
        <v>20719.759999999998</v>
      </c>
      <c r="P644" s="1">
        <v>0.14000000000000001</v>
      </c>
      <c r="Q644" s="1">
        <v>18479.43</v>
      </c>
      <c r="R644" s="1">
        <v>11662.94</v>
      </c>
      <c r="S644" s="1">
        <f t="shared" si="21"/>
        <v>6816.49</v>
      </c>
      <c r="T644" s="1" t="s">
        <v>873</v>
      </c>
      <c r="U644" s="1" t="s">
        <v>878</v>
      </c>
      <c r="V644" s="5" t="s">
        <v>884</v>
      </c>
    </row>
    <row r="645" spans="1:22" x14ac:dyDescent="0.3">
      <c r="A645" s="4" t="s">
        <v>220</v>
      </c>
      <c r="B645" s="3">
        <v>45369</v>
      </c>
      <c r="C645" s="1" t="str">
        <f t="shared" si="20"/>
        <v>March</v>
      </c>
      <c r="D645" s="1" t="s">
        <v>400</v>
      </c>
      <c r="E645" s="1" t="s">
        <v>703</v>
      </c>
      <c r="F645" s="1" t="s">
        <v>802</v>
      </c>
      <c r="G645" s="1" t="s">
        <v>807</v>
      </c>
      <c r="H645" s="1" t="s">
        <v>810</v>
      </c>
      <c r="I645" s="1" t="s">
        <v>814</v>
      </c>
      <c r="J645" s="1" t="s">
        <v>817</v>
      </c>
      <c r="K645" s="1" t="s">
        <v>820</v>
      </c>
      <c r="L645" s="1" t="s">
        <v>852</v>
      </c>
      <c r="M645" s="1">
        <v>4.54</v>
      </c>
      <c r="N645" s="1">
        <v>487.51</v>
      </c>
      <c r="O645" s="1">
        <v>1512.53</v>
      </c>
      <c r="P645" s="1">
        <v>0.14000000000000001</v>
      </c>
      <c r="Q645" s="1">
        <v>1206.8</v>
      </c>
      <c r="R645" s="1">
        <v>1020.01</v>
      </c>
      <c r="S645" s="1">
        <f t="shared" si="21"/>
        <v>186.78999999999996</v>
      </c>
      <c r="T645" s="1" t="s">
        <v>874</v>
      </c>
      <c r="U645" s="1" t="s">
        <v>879</v>
      </c>
      <c r="V645" s="5" t="s">
        <v>883</v>
      </c>
    </row>
    <row r="646" spans="1:22" x14ac:dyDescent="0.3">
      <c r="A646" s="4" t="s">
        <v>225</v>
      </c>
      <c r="B646" s="3">
        <v>45504</v>
      </c>
      <c r="C646" s="1" t="str">
        <f t="shared" si="20"/>
        <v>July</v>
      </c>
      <c r="D646" s="1" t="s">
        <v>409</v>
      </c>
      <c r="E646" s="1" t="s">
        <v>708</v>
      </c>
      <c r="F646" s="1" t="s">
        <v>801</v>
      </c>
      <c r="G646" s="1" t="s">
        <v>805</v>
      </c>
      <c r="H646" s="1" t="s">
        <v>809</v>
      </c>
      <c r="I646" s="1" t="s">
        <v>809</v>
      </c>
      <c r="J646" s="1" t="s">
        <v>819</v>
      </c>
      <c r="K646" s="1" t="s">
        <v>821</v>
      </c>
      <c r="L646" s="1" t="s">
        <v>848</v>
      </c>
      <c r="M646" s="1">
        <v>1.04</v>
      </c>
      <c r="N646" s="1">
        <v>708.67</v>
      </c>
      <c r="O646" s="1">
        <v>667.16</v>
      </c>
      <c r="P646" s="1">
        <v>0.1</v>
      </c>
      <c r="Q646" s="1">
        <v>557.75</v>
      </c>
      <c r="R646" s="1">
        <v>485.17</v>
      </c>
      <c r="S646" s="1">
        <f t="shared" si="21"/>
        <v>72.579999999999984</v>
      </c>
      <c r="T646" s="1" t="s">
        <v>874</v>
      </c>
      <c r="U646" s="1" t="s">
        <v>877</v>
      </c>
      <c r="V646" s="5" t="s">
        <v>884</v>
      </c>
    </row>
    <row r="647" spans="1:22" x14ac:dyDescent="0.3">
      <c r="A647" s="4" t="s">
        <v>194</v>
      </c>
      <c r="B647" s="3">
        <v>45493</v>
      </c>
      <c r="C647" s="1" t="str">
        <f t="shared" si="20"/>
        <v>July</v>
      </c>
      <c r="D647" s="1" t="s">
        <v>353</v>
      </c>
      <c r="E647" s="1" t="s">
        <v>678</v>
      </c>
      <c r="F647" s="1" t="s">
        <v>801</v>
      </c>
      <c r="G647" s="1" t="s">
        <v>805</v>
      </c>
      <c r="H647" s="1" t="s">
        <v>812</v>
      </c>
      <c r="I647" s="1" t="s">
        <v>814</v>
      </c>
      <c r="J647" s="1" t="s">
        <v>818</v>
      </c>
      <c r="K647" s="1" t="s">
        <v>821</v>
      </c>
      <c r="L647" s="1" t="s">
        <v>862</v>
      </c>
      <c r="M647" s="1">
        <v>9.01</v>
      </c>
      <c r="N647" s="1">
        <v>2886.08</v>
      </c>
      <c r="O647" s="1">
        <v>29065.68</v>
      </c>
      <c r="P647" s="1">
        <v>0.1</v>
      </c>
      <c r="Q647" s="1">
        <v>27216.240000000002</v>
      </c>
      <c r="R647" s="1">
        <v>20946.77</v>
      </c>
      <c r="S647" s="1">
        <f t="shared" si="21"/>
        <v>6269.4700000000012</v>
      </c>
      <c r="T647" s="1" t="s">
        <v>873</v>
      </c>
      <c r="U647" s="1" t="s">
        <v>881</v>
      </c>
      <c r="V647" s="5" t="s">
        <v>882</v>
      </c>
    </row>
    <row r="648" spans="1:22" x14ac:dyDescent="0.3">
      <c r="A648" s="4" t="s">
        <v>244</v>
      </c>
      <c r="B648" s="3">
        <v>45370</v>
      </c>
      <c r="C648" s="1" t="str">
        <f t="shared" si="20"/>
        <v>March</v>
      </c>
      <c r="D648" s="1" t="s">
        <v>379</v>
      </c>
      <c r="E648" s="1" t="s">
        <v>727</v>
      </c>
      <c r="F648" s="1" t="s">
        <v>802</v>
      </c>
      <c r="G648" s="1" t="s">
        <v>807</v>
      </c>
      <c r="H648" s="1" t="s">
        <v>811</v>
      </c>
      <c r="I648" s="1" t="s">
        <v>809</v>
      </c>
      <c r="J648" s="1" t="s">
        <v>819</v>
      </c>
      <c r="K648" s="1" t="s">
        <v>822</v>
      </c>
      <c r="L648" s="1" t="s">
        <v>839</v>
      </c>
      <c r="M648" s="1">
        <v>5.31</v>
      </c>
      <c r="N648" s="1">
        <v>1561.66</v>
      </c>
      <c r="O648" s="1">
        <v>7543.89</v>
      </c>
      <c r="P648" s="1">
        <v>0.12</v>
      </c>
      <c r="Q648" s="1">
        <v>7592.46</v>
      </c>
      <c r="R648" s="1">
        <v>4537.71</v>
      </c>
      <c r="S648" s="1">
        <f t="shared" si="21"/>
        <v>3054.75</v>
      </c>
      <c r="T648" s="1" t="s">
        <v>873</v>
      </c>
      <c r="U648" s="1" t="s">
        <v>877</v>
      </c>
      <c r="V648" s="5" t="s">
        <v>884</v>
      </c>
    </row>
    <row r="649" spans="1:22" x14ac:dyDescent="0.3">
      <c r="A649" s="4" t="s">
        <v>51</v>
      </c>
      <c r="B649" s="3">
        <v>45319</v>
      </c>
      <c r="C649" s="1" t="str">
        <f t="shared" si="20"/>
        <v>January</v>
      </c>
      <c r="D649" s="1" t="s">
        <v>396</v>
      </c>
      <c r="E649" s="1" t="s">
        <v>536</v>
      </c>
      <c r="F649" s="1" t="s">
        <v>803</v>
      </c>
      <c r="G649" s="1" t="s">
        <v>805</v>
      </c>
      <c r="H649" s="1" t="s">
        <v>808</v>
      </c>
      <c r="I649" s="1" t="s">
        <v>815</v>
      </c>
      <c r="J649" s="1" t="s">
        <v>818</v>
      </c>
      <c r="K649" s="1" t="s">
        <v>820</v>
      </c>
      <c r="L649" s="1" t="s">
        <v>845</v>
      </c>
      <c r="M649" s="1">
        <v>2.85</v>
      </c>
      <c r="N649" s="1">
        <v>472.93</v>
      </c>
      <c r="O649" s="1">
        <v>1290.81</v>
      </c>
      <c r="P649" s="1">
        <v>0.1</v>
      </c>
      <c r="Q649" s="1">
        <v>1230.3</v>
      </c>
      <c r="R649" s="1">
        <v>885.85</v>
      </c>
      <c r="S649" s="1">
        <f t="shared" si="21"/>
        <v>344.44999999999993</v>
      </c>
      <c r="T649" s="1" t="s">
        <v>874</v>
      </c>
      <c r="U649" s="1" t="s">
        <v>877</v>
      </c>
      <c r="V649" s="5" t="s">
        <v>884</v>
      </c>
    </row>
    <row r="650" spans="1:22" x14ac:dyDescent="0.3">
      <c r="A650" s="4" t="s">
        <v>64</v>
      </c>
      <c r="B650" s="3">
        <v>45306</v>
      </c>
      <c r="C650" s="1" t="str">
        <f t="shared" si="20"/>
        <v>January</v>
      </c>
      <c r="D650" s="1" t="s">
        <v>450</v>
      </c>
      <c r="E650" s="1" t="s">
        <v>549</v>
      </c>
      <c r="F650" s="1" t="s">
        <v>802</v>
      </c>
      <c r="G650" s="1" t="s">
        <v>805</v>
      </c>
      <c r="H650" s="1" t="s">
        <v>811</v>
      </c>
      <c r="I650" s="1" t="s">
        <v>814</v>
      </c>
      <c r="J650" s="1" t="s">
        <v>817</v>
      </c>
      <c r="K650" s="1" t="s">
        <v>821</v>
      </c>
      <c r="L650" s="1" t="s">
        <v>839</v>
      </c>
      <c r="M650" s="1">
        <v>10.42</v>
      </c>
      <c r="N650" s="1">
        <v>1756.59</v>
      </c>
      <c r="O650" s="1">
        <v>17772.16</v>
      </c>
      <c r="P650" s="1">
        <v>0.05</v>
      </c>
      <c r="Q650" s="1">
        <v>15774.54</v>
      </c>
      <c r="R650" s="1">
        <v>14111.96</v>
      </c>
      <c r="S650" s="1">
        <f t="shared" si="21"/>
        <v>1662.5800000000017</v>
      </c>
      <c r="T650" s="1" t="s">
        <v>873</v>
      </c>
      <c r="U650" s="1" t="s">
        <v>877</v>
      </c>
      <c r="V650" s="5" t="s">
        <v>883</v>
      </c>
    </row>
    <row r="651" spans="1:22" x14ac:dyDescent="0.3">
      <c r="A651" s="4" t="s">
        <v>282</v>
      </c>
      <c r="B651" s="3">
        <v>45323</v>
      </c>
      <c r="C651" s="1" t="str">
        <f t="shared" si="20"/>
        <v>February</v>
      </c>
      <c r="D651" s="1" t="s">
        <v>414</v>
      </c>
      <c r="E651" s="1" t="s">
        <v>765</v>
      </c>
      <c r="F651" s="1" t="s">
        <v>802</v>
      </c>
      <c r="G651" s="1" t="s">
        <v>807</v>
      </c>
      <c r="H651" s="1" t="s">
        <v>811</v>
      </c>
      <c r="I651" s="1" t="s">
        <v>815</v>
      </c>
      <c r="J651" s="1" t="s">
        <v>818</v>
      </c>
      <c r="K651" s="1" t="s">
        <v>820</v>
      </c>
      <c r="L651" s="1" t="s">
        <v>849</v>
      </c>
      <c r="M651" s="1">
        <v>5.04</v>
      </c>
      <c r="N651" s="1">
        <v>2741.58</v>
      </c>
      <c r="O651" s="1">
        <v>11244.32</v>
      </c>
      <c r="P651" s="1">
        <v>0.05</v>
      </c>
      <c r="Q651" s="1">
        <v>12638.47</v>
      </c>
      <c r="R651" s="1">
        <v>10587.99</v>
      </c>
      <c r="S651" s="1">
        <f t="shared" si="21"/>
        <v>2050.4799999999996</v>
      </c>
      <c r="T651" s="1" t="s">
        <v>874</v>
      </c>
      <c r="U651" s="1" t="s">
        <v>878</v>
      </c>
      <c r="V651" s="5" t="s">
        <v>882</v>
      </c>
    </row>
    <row r="652" spans="1:22" x14ac:dyDescent="0.3">
      <c r="A652" s="4" t="s">
        <v>214</v>
      </c>
      <c r="B652" s="3">
        <v>45348</v>
      </c>
      <c r="C652" s="1" t="str">
        <f t="shared" si="20"/>
        <v>February</v>
      </c>
      <c r="D652" s="1" t="s">
        <v>485</v>
      </c>
      <c r="E652" s="1" t="s">
        <v>697</v>
      </c>
      <c r="F652" s="1" t="s">
        <v>803</v>
      </c>
      <c r="G652" s="1" t="s">
        <v>807</v>
      </c>
      <c r="H652" s="1" t="s">
        <v>808</v>
      </c>
      <c r="I652" s="1" t="s">
        <v>815</v>
      </c>
      <c r="J652" s="1" t="s">
        <v>819</v>
      </c>
      <c r="K652" s="1" t="s">
        <v>820</v>
      </c>
      <c r="L652" s="1" t="s">
        <v>856</v>
      </c>
      <c r="M652" s="1">
        <v>5.43</v>
      </c>
      <c r="N652" s="1">
        <v>1060.93</v>
      </c>
      <c r="O652" s="1">
        <v>5246.28</v>
      </c>
      <c r="P652" s="1">
        <v>0.1</v>
      </c>
      <c r="Q652" s="1">
        <v>4647.22</v>
      </c>
      <c r="R652" s="1">
        <v>3363.38</v>
      </c>
      <c r="S652" s="1">
        <f t="shared" si="21"/>
        <v>1283.8400000000001</v>
      </c>
      <c r="T652" s="1" t="s">
        <v>874</v>
      </c>
      <c r="U652" s="1" t="s">
        <v>880</v>
      </c>
      <c r="V652" s="5" t="s">
        <v>884</v>
      </c>
    </row>
    <row r="653" spans="1:22" x14ac:dyDescent="0.3">
      <c r="A653" s="4" t="s">
        <v>198</v>
      </c>
      <c r="B653" s="3">
        <v>45499</v>
      </c>
      <c r="C653" s="1" t="str">
        <f t="shared" si="20"/>
        <v>July</v>
      </c>
      <c r="D653" s="1" t="s">
        <v>480</v>
      </c>
      <c r="E653" s="1" t="s">
        <v>682</v>
      </c>
      <c r="F653" s="1" t="s">
        <v>803</v>
      </c>
      <c r="G653" s="1" t="s">
        <v>804</v>
      </c>
      <c r="H653" s="1" t="s">
        <v>809</v>
      </c>
      <c r="I653" s="1" t="s">
        <v>815</v>
      </c>
      <c r="J653" s="1" t="s">
        <v>819</v>
      </c>
      <c r="K653" s="1" t="s">
        <v>820</v>
      </c>
      <c r="L653" s="1" t="s">
        <v>866</v>
      </c>
      <c r="M653" s="1">
        <v>4.03</v>
      </c>
      <c r="N653" s="1">
        <v>778.88</v>
      </c>
      <c r="O653" s="1">
        <v>2947.02</v>
      </c>
      <c r="P653" s="1">
        <v>0.11</v>
      </c>
      <c r="Q653" s="1">
        <v>2895.98</v>
      </c>
      <c r="R653" s="1">
        <v>1542.58</v>
      </c>
      <c r="S653" s="1">
        <f t="shared" si="21"/>
        <v>1353.4</v>
      </c>
      <c r="T653" s="1" t="s">
        <v>874</v>
      </c>
      <c r="U653" s="1" t="s">
        <v>878</v>
      </c>
      <c r="V653" s="5" t="s">
        <v>882</v>
      </c>
    </row>
    <row r="654" spans="1:22" x14ac:dyDescent="0.3">
      <c r="A654" s="4" t="s">
        <v>283</v>
      </c>
      <c r="B654" s="3">
        <v>45609</v>
      </c>
      <c r="C654" s="1" t="str">
        <f t="shared" si="20"/>
        <v>November</v>
      </c>
      <c r="D654" s="1" t="s">
        <v>473</v>
      </c>
      <c r="E654" s="1" t="s">
        <v>766</v>
      </c>
      <c r="F654" s="1" t="s">
        <v>801</v>
      </c>
      <c r="G654" s="1" t="s">
        <v>805</v>
      </c>
      <c r="H654" s="1" t="s">
        <v>812</v>
      </c>
      <c r="I654" s="1" t="s">
        <v>809</v>
      </c>
      <c r="J654" s="1" t="s">
        <v>817</v>
      </c>
      <c r="K654" s="1" t="s">
        <v>821</v>
      </c>
      <c r="L654" s="1" t="s">
        <v>871</v>
      </c>
      <c r="M654" s="1">
        <v>6.71</v>
      </c>
      <c r="N654" s="1">
        <v>1498.9</v>
      </c>
      <c r="O654" s="1">
        <v>14158.19</v>
      </c>
      <c r="P654" s="1">
        <v>0.08</v>
      </c>
      <c r="Q654" s="1">
        <v>10981.63</v>
      </c>
      <c r="R654" s="1">
        <v>7143.29</v>
      </c>
      <c r="S654" s="1">
        <f t="shared" si="21"/>
        <v>3838.3399999999992</v>
      </c>
      <c r="T654" s="1" t="s">
        <v>873</v>
      </c>
      <c r="U654" s="1" t="s">
        <v>880</v>
      </c>
      <c r="V654" s="5" t="s">
        <v>884</v>
      </c>
    </row>
    <row r="655" spans="1:22" x14ac:dyDescent="0.3">
      <c r="A655" s="4" t="s">
        <v>292</v>
      </c>
      <c r="B655" s="3">
        <v>45550</v>
      </c>
      <c r="C655" s="1" t="str">
        <f t="shared" si="20"/>
        <v>September</v>
      </c>
      <c r="D655" s="1" t="s">
        <v>398</v>
      </c>
      <c r="E655" s="1" t="s">
        <v>774</v>
      </c>
      <c r="F655" s="1" t="s">
        <v>801</v>
      </c>
      <c r="G655" s="1" t="s">
        <v>805</v>
      </c>
      <c r="H655" s="1" t="s">
        <v>808</v>
      </c>
      <c r="I655" s="1" t="s">
        <v>814</v>
      </c>
      <c r="J655" s="1" t="s">
        <v>819</v>
      </c>
      <c r="K655" s="1" t="s">
        <v>820</v>
      </c>
      <c r="L655" s="1" t="s">
        <v>864</v>
      </c>
      <c r="M655" s="1">
        <v>6.56</v>
      </c>
      <c r="N655" s="1">
        <v>1610.9</v>
      </c>
      <c r="O655" s="1">
        <v>10319.49</v>
      </c>
      <c r="P655" s="1">
        <v>0.1</v>
      </c>
      <c r="Q655" s="1">
        <v>9899.07</v>
      </c>
      <c r="R655" s="1">
        <v>8207.11</v>
      </c>
      <c r="S655" s="1">
        <f t="shared" si="21"/>
        <v>1691.9599999999991</v>
      </c>
      <c r="T655" s="1" t="s">
        <v>876</v>
      </c>
      <c r="U655" s="1" t="s">
        <v>879</v>
      </c>
      <c r="V655" s="5" t="s">
        <v>883</v>
      </c>
    </row>
    <row r="656" spans="1:22" x14ac:dyDescent="0.3">
      <c r="A656" s="4" t="s">
        <v>107</v>
      </c>
      <c r="B656" s="3">
        <v>45426</v>
      </c>
      <c r="C656" s="1" t="str">
        <f t="shared" si="20"/>
        <v>May</v>
      </c>
      <c r="D656" s="1" t="s">
        <v>454</v>
      </c>
      <c r="E656" s="1" t="s">
        <v>592</v>
      </c>
      <c r="F656" s="1" t="s">
        <v>801</v>
      </c>
      <c r="G656" s="1" t="s">
        <v>807</v>
      </c>
      <c r="H656" s="1" t="s">
        <v>810</v>
      </c>
      <c r="I656" s="1" t="s">
        <v>809</v>
      </c>
      <c r="J656" s="1" t="s">
        <v>818</v>
      </c>
      <c r="K656" s="1" t="s">
        <v>820</v>
      </c>
      <c r="L656" s="1" t="s">
        <v>835</v>
      </c>
      <c r="M656" s="1">
        <v>1.1200000000000001</v>
      </c>
      <c r="N656" s="1">
        <v>1443.14</v>
      </c>
      <c r="O656" s="1">
        <v>1234.8900000000001</v>
      </c>
      <c r="P656" s="1">
        <v>0.13</v>
      </c>
      <c r="Q656" s="1">
        <v>1111.08</v>
      </c>
      <c r="R656" s="1">
        <v>747.68</v>
      </c>
      <c r="S656" s="1">
        <f t="shared" si="21"/>
        <v>363.4</v>
      </c>
      <c r="T656" s="1" t="s">
        <v>874</v>
      </c>
      <c r="U656" s="1" t="s">
        <v>880</v>
      </c>
      <c r="V656" s="5" t="s">
        <v>883</v>
      </c>
    </row>
    <row r="657" spans="1:22" x14ac:dyDescent="0.3">
      <c r="A657" s="4" t="s">
        <v>206</v>
      </c>
      <c r="B657" s="3">
        <v>45569</v>
      </c>
      <c r="C657" s="1" t="str">
        <f t="shared" si="20"/>
        <v>October</v>
      </c>
      <c r="D657" s="1" t="s">
        <v>330</v>
      </c>
      <c r="E657" s="1" t="s">
        <v>690</v>
      </c>
      <c r="F657" s="1" t="s">
        <v>803</v>
      </c>
      <c r="G657" s="1" t="s">
        <v>807</v>
      </c>
      <c r="H657" s="1" t="s">
        <v>808</v>
      </c>
      <c r="I657" s="1" t="s">
        <v>815</v>
      </c>
      <c r="J657" s="1" t="s">
        <v>818</v>
      </c>
      <c r="K657" s="1" t="s">
        <v>821</v>
      </c>
      <c r="L657" s="1" t="s">
        <v>858</v>
      </c>
      <c r="M657" s="1">
        <v>8.76</v>
      </c>
      <c r="N657" s="1">
        <v>1719.53</v>
      </c>
      <c r="O657" s="1">
        <v>16060.33</v>
      </c>
      <c r="P657" s="1">
        <v>0.05</v>
      </c>
      <c r="Q657" s="1">
        <v>16434.79</v>
      </c>
      <c r="R657" s="1">
        <v>14000.45</v>
      </c>
      <c r="S657" s="1">
        <f t="shared" si="21"/>
        <v>2434.34</v>
      </c>
      <c r="T657" s="1" t="s">
        <v>874</v>
      </c>
      <c r="U657" s="1" t="s">
        <v>878</v>
      </c>
      <c r="V657" s="5" t="s">
        <v>883</v>
      </c>
    </row>
    <row r="658" spans="1:22" x14ac:dyDescent="0.3">
      <c r="A658" s="4" t="s">
        <v>104</v>
      </c>
      <c r="B658" s="3">
        <v>45588</v>
      </c>
      <c r="C658" s="1" t="str">
        <f t="shared" si="20"/>
        <v>October</v>
      </c>
      <c r="D658" s="1" t="s">
        <v>425</v>
      </c>
      <c r="E658" s="1" t="s">
        <v>589</v>
      </c>
      <c r="F658" s="1" t="s">
        <v>803</v>
      </c>
      <c r="G658" s="1" t="s">
        <v>804</v>
      </c>
      <c r="H658" s="1" t="s">
        <v>808</v>
      </c>
      <c r="I658" s="1" t="s">
        <v>809</v>
      </c>
      <c r="J658" s="1" t="s">
        <v>819</v>
      </c>
      <c r="K658" s="1" t="s">
        <v>820</v>
      </c>
      <c r="L658" s="1" t="s">
        <v>829</v>
      </c>
      <c r="M658" s="1">
        <v>10.86</v>
      </c>
      <c r="N658" s="1">
        <v>3125.7</v>
      </c>
      <c r="O658" s="1">
        <v>34853.17</v>
      </c>
      <c r="P658" s="1">
        <v>0.14000000000000001</v>
      </c>
      <c r="Q658" s="1">
        <v>30610.65</v>
      </c>
      <c r="R658" s="1">
        <v>19184.55</v>
      </c>
      <c r="S658" s="1">
        <f t="shared" si="21"/>
        <v>11426.100000000002</v>
      </c>
      <c r="T658" s="1" t="s">
        <v>875</v>
      </c>
      <c r="U658" s="1" t="s">
        <v>877</v>
      </c>
      <c r="V658" s="5" t="s">
        <v>882</v>
      </c>
    </row>
    <row r="659" spans="1:22" x14ac:dyDescent="0.3">
      <c r="A659" s="4" t="s">
        <v>87</v>
      </c>
      <c r="B659" s="3">
        <v>45311</v>
      </c>
      <c r="C659" s="1" t="str">
        <f t="shared" si="20"/>
        <v>January</v>
      </c>
      <c r="D659" s="1" t="s">
        <v>455</v>
      </c>
      <c r="E659" s="1" t="s">
        <v>572</v>
      </c>
      <c r="F659" s="1" t="s">
        <v>801</v>
      </c>
      <c r="G659" s="1" t="s">
        <v>807</v>
      </c>
      <c r="H659" s="1" t="s">
        <v>810</v>
      </c>
      <c r="I659" s="1" t="s">
        <v>814</v>
      </c>
      <c r="J659" s="1" t="s">
        <v>819</v>
      </c>
      <c r="K659" s="1" t="s">
        <v>820</v>
      </c>
      <c r="L659" s="1" t="s">
        <v>833</v>
      </c>
      <c r="M659" s="1">
        <v>13.03</v>
      </c>
      <c r="N659" s="1">
        <v>2798.14</v>
      </c>
      <c r="O659" s="1">
        <v>23629.040000000001</v>
      </c>
      <c r="P659" s="1">
        <v>0.05</v>
      </c>
      <c r="Q659" s="1">
        <v>24039.93</v>
      </c>
      <c r="R659" s="1">
        <v>22961.03</v>
      </c>
      <c r="S659" s="1">
        <f t="shared" si="21"/>
        <v>1078.9000000000015</v>
      </c>
      <c r="T659" s="1" t="s">
        <v>876</v>
      </c>
      <c r="U659" s="1" t="s">
        <v>878</v>
      </c>
      <c r="V659" s="5" t="s">
        <v>883</v>
      </c>
    </row>
    <row r="660" spans="1:22" x14ac:dyDescent="0.3">
      <c r="A660" s="4" t="s">
        <v>274</v>
      </c>
      <c r="B660" s="3">
        <v>45448</v>
      </c>
      <c r="C660" s="1" t="str">
        <f t="shared" si="20"/>
        <v>June</v>
      </c>
      <c r="D660" s="1" t="s">
        <v>467</v>
      </c>
      <c r="E660" s="1" t="s">
        <v>757</v>
      </c>
      <c r="F660" s="1" t="s">
        <v>801</v>
      </c>
      <c r="G660" s="1" t="s">
        <v>805</v>
      </c>
      <c r="H660" s="1" t="s">
        <v>808</v>
      </c>
      <c r="I660" s="1" t="s">
        <v>815</v>
      </c>
      <c r="J660" s="1" t="s">
        <v>819</v>
      </c>
      <c r="K660" s="1" t="s">
        <v>820</v>
      </c>
      <c r="L660" s="1" t="s">
        <v>868</v>
      </c>
      <c r="M660" s="1">
        <v>5.18</v>
      </c>
      <c r="N660" s="1">
        <v>2136.15</v>
      </c>
      <c r="O660" s="1">
        <v>7835.3</v>
      </c>
      <c r="P660" s="1">
        <v>0</v>
      </c>
      <c r="Q660" s="1">
        <v>8796.02</v>
      </c>
      <c r="R660" s="1">
        <v>8771.82</v>
      </c>
      <c r="S660" s="1">
        <f t="shared" si="21"/>
        <v>24.200000000000728</v>
      </c>
      <c r="T660" s="1" t="s">
        <v>875</v>
      </c>
      <c r="U660" s="1" t="s">
        <v>877</v>
      </c>
      <c r="V660" s="5" t="s">
        <v>884</v>
      </c>
    </row>
    <row r="661" spans="1:22" x14ac:dyDescent="0.3">
      <c r="A661" s="4" t="s">
        <v>93</v>
      </c>
      <c r="B661" s="3">
        <v>45557</v>
      </c>
      <c r="C661" s="1" t="str">
        <f t="shared" si="20"/>
        <v>September</v>
      </c>
      <c r="D661" s="1" t="s">
        <v>382</v>
      </c>
      <c r="E661" s="1" t="s">
        <v>578</v>
      </c>
      <c r="F661" s="1" t="s">
        <v>803</v>
      </c>
      <c r="G661" s="1" t="s">
        <v>804</v>
      </c>
      <c r="H661" s="1" t="s">
        <v>812</v>
      </c>
      <c r="I661" s="1" t="s">
        <v>809</v>
      </c>
      <c r="J661" s="1" t="s">
        <v>819</v>
      </c>
      <c r="K661" s="1" t="s">
        <v>821</v>
      </c>
      <c r="L661" s="1" t="s">
        <v>861</v>
      </c>
      <c r="M661" s="1">
        <v>6.85</v>
      </c>
      <c r="N661" s="1">
        <v>1630.79</v>
      </c>
      <c r="O661" s="1">
        <v>11059.55</v>
      </c>
      <c r="P661" s="1">
        <v>0.05</v>
      </c>
      <c r="Q661" s="1">
        <v>9786.35</v>
      </c>
      <c r="R661" s="1">
        <v>6566.59</v>
      </c>
      <c r="S661" s="1">
        <f t="shared" si="21"/>
        <v>3219.76</v>
      </c>
      <c r="T661" s="1" t="s">
        <v>874</v>
      </c>
      <c r="U661" s="1" t="s">
        <v>878</v>
      </c>
      <c r="V661" s="5" t="s">
        <v>884</v>
      </c>
    </row>
    <row r="662" spans="1:22" x14ac:dyDescent="0.3">
      <c r="A662" s="4" t="s">
        <v>279</v>
      </c>
      <c r="B662" s="3">
        <v>45301</v>
      </c>
      <c r="C662" s="1" t="str">
        <f t="shared" si="20"/>
        <v>January</v>
      </c>
      <c r="D662" s="1" t="s">
        <v>496</v>
      </c>
      <c r="E662" s="1" t="s">
        <v>762</v>
      </c>
      <c r="F662" s="1" t="s">
        <v>803</v>
      </c>
      <c r="G662" s="1" t="s">
        <v>805</v>
      </c>
      <c r="H662" s="1" t="s">
        <v>809</v>
      </c>
      <c r="I662" s="1" t="s">
        <v>815</v>
      </c>
      <c r="J662" s="1" t="s">
        <v>819</v>
      </c>
      <c r="K662" s="1" t="s">
        <v>820</v>
      </c>
      <c r="L662" s="1" t="s">
        <v>851</v>
      </c>
      <c r="M662" s="1">
        <v>11.05</v>
      </c>
      <c r="N662" s="1">
        <v>813.82</v>
      </c>
      <c r="O662" s="1">
        <v>8373.85</v>
      </c>
      <c r="P662" s="1">
        <v>0.16</v>
      </c>
      <c r="Q662" s="1">
        <v>7617.24</v>
      </c>
      <c r="R662" s="1">
        <v>5043.78</v>
      </c>
      <c r="S662" s="1">
        <f t="shared" si="21"/>
        <v>2573.46</v>
      </c>
      <c r="T662" s="1" t="s">
        <v>874</v>
      </c>
      <c r="U662" s="1" t="s">
        <v>880</v>
      </c>
      <c r="V662" s="5" t="s">
        <v>882</v>
      </c>
    </row>
    <row r="663" spans="1:22" x14ac:dyDescent="0.3">
      <c r="A663" s="4" t="s">
        <v>289</v>
      </c>
      <c r="B663" s="3">
        <v>45488</v>
      </c>
      <c r="C663" s="1" t="str">
        <f t="shared" si="20"/>
        <v>July</v>
      </c>
      <c r="D663" s="1" t="s">
        <v>401</v>
      </c>
      <c r="E663" s="1" t="s">
        <v>772</v>
      </c>
      <c r="F663" s="1" t="s">
        <v>801</v>
      </c>
      <c r="G663" s="1" t="s">
        <v>804</v>
      </c>
      <c r="H663" s="1" t="s">
        <v>812</v>
      </c>
      <c r="I663" s="1" t="s">
        <v>814</v>
      </c>
      <c r="J663" s="1" t="s">
        <v>817</v>
      </c>
      <c r="K663" s="1" t="s">
        <v>822</v>
      </c>
      <c r="L663" s="1" t="s">
        <v>856</v>
      </c>
      <c r="M663" s="1">
        <v>5.6</v>
      </c>
      <c r="N663" s="1">
        <v>2530.88</v>
      </c>
      <c r="O663" s="1">
        <v>11874.21</v>
      </c>
      <c r="P663" s="1">
        <v>0.08</v>
      </c>
      <c r="Q663" s="1">
        <v>11830.65</v>
      </c>
      <c r="R663" s="1">
        <v>9086.86</v>
      </c>
      <c r="S663" s="1">
        <f t="shared" si="21"/>
        <v>2743.7899999999991</v>
      </c>
      <c r="T663" s="1" t="s">
        <v>876</v>
      </c>
      <c r="U663" s="1" t="s">
        <v>877</v>
      </c>
      <c r="V663" s="5" t="s">
        <v>884</v>
      </c>
    </row>
    <row r="664" spans="1:22" x14ac:dyDescent="0.3">
      <c r="A664" s="4" t="s">
        <v>80</v>
      </c>
      <c r="B664" s="3">
        <v>45426</v>
      </c>
      <c r="C664" s="1" t="str">
        <f t="shared" si="20"/>
        <v>May</v>
      </c>
      <c r="D664" s="1" t="s">
        <v>454</v>
      </c>
      <c r="E664" s="1" t="s">
        <v>565</v>
      </c>
      <c r="F664" s="1" t="s">
        <v>803</v>
      </c>
      <c r="G664" s="1" t="s">
        <v>806</v>
      </c>
      <c r="H664" s="1" t="s">
        <v>809</v>
      </c>
      <c r="I664" s="1" t="s">
        <v>816</v>
      </c>
      <c r="J664" s="1" t="s">
        <v>818</v>
      </c>
      <c r="K664" s="1" t="s">
        <v>822</v>
      </c>
      <c r="L664" s="1" t="s">
        <v>857</v>
      </c>
      <c r="M664" s="1">
        <v>10.75</v>
      </c>
      <c r="N664" s="1">
        <v>2466.08</v>
      </c>
      <c r="O664" s="1">
        <v>32652.89</v>
      </c>
      <c r="P664" s="1">
        <v>0.12</v>
      </c>
      <c r="Q664" s="1">
        <v>26815.03</v>
      </c>
      <c r="R664" s="1">
        <v>17455.240000000002</v>
      </c>
      <c r="S664" s="1">
        <f t="shared" si="21"/>
        <v>9359.7899999999972</v>
      </c>
      <c r="T664" s="1" t="s">
        <v>873</v>
      </c>
      <c r="U664" s="1" t="s">
        <v>879</v>
      </c>
      <c r="V664" s="5" t="s">
        <v>884</v>
      </c>
    </row>
    <row r="665" spans="1:22" x14ac:dyDescent="0.3">
      <c r="A665" s="4" t="s">
        <v>72</v>
      </c>
      <c r="B665" s="3">
        <v>45527</v>
      </c>
      <c r="C665" s="1" t="str">
        <f t="shared" si="20"/>
        <v>August</v>
      </c>
      <c r="D665" s="1" t="s">
        <v>423</v>
      </c>
      <c r="E665" s="1" t="s">
        <v>557</v>
      </c>
      <c r="F665" s="1" t="s">
        <v>802</v>
      </c>
      <c r="G665" s="1" t="s">
        <v>806</v>
      </c>
      <c r="H665" s="1" t="s">
        <v>809</v>
      </c>
      <c r="I665" s="1" t="s">
        <v>816</v>
      </c>
      <c r="J665" s="1" t="s">
        <v>818</v>
      </c>
      <c r="K665" s="1" t="s">
        <v>821</v>
      </c>
      <c r="L665" s="1" t="s">
        <v>852</v>
      </c>
      <c r="M665" s="1">
        <v>5.9</v>
      </c>
      <c r="N665" s="1">
        <v>2245.2600000000002</v>
      </c>
      <c r="O665" s="1">
        <v>14292.44</v>
      </c>
      <c r="P665" s="1">
        <v>0.05</v>
      </c>
      <c r="Q665" s="1">
        <v>11640.34</v>
      </c>
      <c r="R665" s="1">
        <v>9635.2900000000009</v>
      </c>
      <c r="S665" s="1">
        <f t="shared" si="21"/>
        <v>2005.0499999999993</v>
      </c>
      <c r="T665" s="1" t="s">
        <v>876</v>
      </c>
      <c r="U665" s="1" t="s">
        <v>877</v>
      </c>
      <c r="V665" s="5" t="s">
        <v>882</v>
      </c>
    </row>
    <row r="666" spans="1:22" x14ac:dyDescent="0.3">
      <c r="A666" s="4" t="s">
        <v>294</v>
      </c>
      <c r="B666" s="3">
        <v>45391</v>
      </c>
      <c r="C666" s="1" t="str">
        <f t="shared" si="20"/>
        <v>April</v>
      </c>
      <c r="D666" s="1" t="s">
        <v>501</v>
      </c>
      <c r="E666" s="1" t="s">
        <v>776</v>
      </c>
      <c r="F666" s="1" t="s">
        <v>802</v>
      </c>
      <c r="G666" s="1" t="s">
        <v>806</v>
      </c>
      <c r="H666" s="1" t="s">
        <v>812</v>
      </c>
      <c r="I666" s="1" t="s">
        <v>813</v>
      </c>
      <c r="J666" s="1" t="s">
        <v>818</v>
      </c>
      <c r="K666" s="1" t="s">
        <v>821</v>
      </c>
      <c r="L666" s="1" t="s">
        <v>839</v>
      </c>
      <c r="M666" s="1">
        <v>11.41</v>
      </c>
      <c r="N666" s="1">
        <v>3379.73</v>
      </c>
      <c r="O666" s="1">
        <v>37532.35</v>
      </c>
      <c r="P666" s="1">
        <v>0</v>
      </c>
      <c r="Q666" s="1">
        <v>35938.51</v>
      </c>
      <c r="R666" s="1">
        <v>27121.29</v>
      </c>
      <c r="S666" s="1">
        <f t="shared" si="21"/>
        <v>8817.2200000000012</v>
      </c>
      <c r="T666" s="1" t="s">
        <v>876</v>
      </c>
      <c r="U666" s="1" t="s">
        <v>881</v>
      </c>
      <c r="V666" s="5" t="s">
        <v>883</v>
      </c>
    </row>
    <row r="667" spans="1:22" x14ac:dyDescent="0.3">
      <c r="A667" s="4" t="s">
        <v>280</v>
      </c>
      <c r="B667" s="3">
        <v>45592</v>
      </c>
      <c r="C667" s="1" t="str">
        <f t="shared" si="20"/>
        <v>October</v>
      </c>
      <c r="D667" s="1" t="s">
        <v>497</v>
      </c>
      <c r="E667" s="1" t="s">
        <v>763</v>
      </c>
      <c r="F667" s="1" t="s">
        <v>802</v>
      </c>
      <c r="G667" s="1" t="s">
        <v>806</v>
      </c>
      <c r="H667" s="1" t="s">
        <v>812</v>
      </c>
      <c r="I667" s="1" t="s">
        <v>814</v>
      </c>
      <c r="J667" s="1" t="s">
        <v>817</v>
      </c>
      <c r="K667" s="1" t="s">
        <v>822</v>
      </c>
      <c r="L667" s="1" t="s">
        <v>846</v>
      </c>
      <c r="M667" s="1">
        <v>9.26</v>
      </c>
      <c r="N667" s="1">
        <v>621.59</v>
      </c>
      <c r="O667" s="1">
        <v>4885.3500000000004</v>
      </c>
      <c r="P667" s="1">
        <v>0.15</v>
      </c>
      <c r="Q667" s="1">
        <v>4425.8999999999996</v>
      </c>
      <c r="R667" s="1">
        <v>2606.66</v>
      </c>
      <c r="S667" s="1">
        <f t="shared" si="21"/>
        <v>1819.2399999999998</v>
      </c>
      <c r="T667" s="1" t="s">
        <v>873</v>
      </c>
      <c r="U667" s="1" t="s">
        <v>877</v>
      </c>
      <c r="V667" s="5" t="s">
        <v>883</v>
      </c>
    </row>
    <row r="668" spans="1:22" x14ac:dyDescent="0.3">
      <c r="A668" s="4" t="s">
        <v>278</v>
      </c>
      <c r="B668" s="3">
        <v>45505</v>
      </c>
      <c r="C668" s="1" t="str">
        <f t="shared" si="20"/>
        <v>August</v>
      </c>
      <c r="D668" s="1" t="s">
        <v>480</v>
      </c>
      <c r="E668" s="1" t="s">
        <v>761</v>
      </c>
      <c r="F668" s="1" t="s">
        <v>801</v>
      </c>
      <c r="G668" s="1" t="s">
        <v>807</v>
      </c>
      <c r="H668" s="1" t="s">
        <v>811</v>
      </c>
      <c r="I668" s="1" t="s">
        <v>814</v>
      </c>
      <c r="J668" s="1" t="s">
        <v>818</v>
      </c>
      <c r="K668" s="1" t="s">
        <v>820</v>
      </c>
      <c r="L668" s="1" t="s">
        <v>848</v>
      </c>
      <c r="M668" s="1">
        <v>9.27</v>
      </c>
      <c r="N668" s="1">
        <v>2347.9699999999998</v>
      </c>
      <c r="O668" s="1">
        <v>21042.639999999999</v>
      </c>
      <c r="P668" s="1">
        <v>0.14000000000000001</v>
      </c>
      <c r="Q668" s="1">
        <v>16718.689999999999</v>
      </c>
      <c r="R668" s="1">
        <v>11982.91</v>
      </c>
      <c r="S668" s="1">
        <f t="shared" si="21"/>
        <v>4735.7799999999988</v>
      </c>
      <c r="T668" s="1" t="s">
        <v>873</v>
      </c>
      <c r="U668" s="1" t="s">
        <v>878</v>
      </c>
      <c r="V668" s="5" t="s">
        <v>884</v>
      </c>
    </row>
    <row r="669" spans="1:22" x14ac:dyDescent="0.3">
      <c r="A669" s="4" t="s">
        <v>138</v>
      </c>
      <c r="B669" s="3">
        <v>45559</v>
      </c>
      <c r="C669" s="1" t="str">
        <f t="shared" si="20"/>
        <v>September</v>
      </c>
      <c r="D669" s="1" t="s">
        <v>441</v>
      </c>
      <c r="E669" s="1" t="s">
        <v>623</v>
      </c>
      <c r="F669" s="1" t="s">
        <v>801</v>
      </c>
      <c r="G669" s="1" t="s">
        <v>804</v>
      </c>
      <c r="H669" s="1" t="s">
        <v>809</v>
      </c>
      <c r="I669" s="1" t="s">
        <v>816</v>
      </c>
      <c r="J669" s="1" t="s">
        <v>818</v>
      </c>
      <c r="K669" s="1" t="s">
        <v>821</v>
      </c>
      <c r="L669" s="1" t="s">
        <v>864</v>
      </c>
      <c r="M669" s="1">
        <v>2.38</v>
      </c>
      <c r="N669" s="1">
        <v>2859.5</v>
      </c>
      <c r="O669" s="1">
        <v>6197.49</v>
      </c>
      <c r="P669" s="1">
        <v>0.15</v>
      </c>
      <c r="Q669" s="1">
        <v>5341.33</v>
      </c>
      <c r="R669" s="1">
        <v>3381.5</v>
      </c>
      <c r="S669" s="1">
        <f t="shared" si="21"/>
        <v>1959.83</v>
      </c>
      <c r="T669" s="1" t="s">
        <v>875</v>
      </c>
      <c r="U669" s="1" t="s">
        <v>878</v>
      </c>
      <c r="V669" s="5" t="s">
        <v>884</v>
      </c>
    </row>
    <row r="670" spans="1:22" x14ac:dyDescent="0.3">
      <c r="A670" s="4" t="s">
        <v>164</v>
      </c>
      <c r="B670" s="3">
        <v>45585</v>
      </c>
      <c r="C670" s="1" t="str">
        <f t="shared" si="20"/>
        <v>October</v>
      </c>
      <c r="D670" s="1" t="s">
        <v>471</v>
      </c>
      <c r="E670" s="1" t="s">
        <v>649</v>
      </c>
      <c r="F670" s="1" t="s">
        <v>802</v>
      </c>
      <c r="G670" s="1" t="s">
        <v>805</v>
      </c>
      <c r="H670" s="1" t="s">
        <v>808</v>
      </c>
      <c r="I670" s="1" t="s">
        <v>814</v>
      </c>
      <c r="J670" s="1" t="s">
        <v>818</v>
      </c>
      <c r="K670" s="1" t="s">
        <v>820</v>
      </c>
      <c r="L670" s="1" t="s">
        <v>832</v>
      </c>
      <c r="M670" s="1">
        <v>12.12</v>
      </c>
      <c r="N670" s="1">
        <v>1472.28</v>
      </c>
      <c r="O670" s="1">
        <v>17643.78</v>
      </c>
      <c r="P670" s="1">
        <v>0</v>
      </c>
      <c r="Q670" s="1">
        <v>17654.900000000001</v>
      </c>
      <c r="R670" s="1">
        <v>14750.75</v>
      </c>
      <c r="S670" s="1">
        <f t="shared" si="21"/>
        <v>2904.1500000000015</v>
      </c>
      <c r="T670" s="1" t="s">
        <v>876</v>
      </c>
      <c r="U670" s="1" t="s">
        <v>879</v>
      </c>
      <c r="V670" s="5" t="s">
        <v>884</v>
      </c>
    </row>
    <row r="671" spans="1:22" x14ac:dyDescent="0.3">
      <c r="A671" s="4" t="s">
        <v>93</v>
      </c>
      <c r="B671" s="3">
        <v>45557</v>
      </c>
      <c r="C671" s="1" t="str">
        <f t="shared" si="20"/>
        <v>September</v>
      </c>
      <c r="D671" s="1" t="s">
        <v>382</v>
      </c>
      <c r="E671" s="1" t="s">
        <v>578</v>
      </c>
      <c r="F671" s="1" t="s">
        <v>803</v>
      </c>
      <c r="G671" s="1" t="s">
        <v>804</v>
      </c>
      <c r="H671" s="1" t="s">
        <v>812</v>
      </c>
      <c r="I671" s="1" t="s">
        <v>809</v>
      </c>
      <c r="J671" s="1" t="s">
        <v>819</v>
      </c>
      <c r="K671" s="1" t="s">
        <v>821</v>
      </c>
      <c r="L671" s="1" t="s">
        <v>861</v>
      </c>
      <c r="M671" s="1">
        <v>5.83</v>
      </c>
      <c r="N671" s="1">
        <v>1633.82</v>
      </c>
      <c r="O671" s="1">
        <v>10964.64</v>
      </c>
      <c r="P671" s="1">
        <v>0.05</v>
      </c>
      <c r="Q671" s="1">
        <v>8991.1</v>
      </c>
      <c r="R671" s="1">
        <v>7420.52</v>
      </c>
      <c r="S671" s="1">
        <f t="shared" si="21"/>
        <v>1570.58</v>
      </c>
      <c r="T671" s="1" t="s">
        <v>874</v>
      </c>
      <c r="U671" s="1" t="s">
        <v>878</v>
      </c>
      <c r="V671" s="5" t="s">
        <v>884</v>
      </c>
    </row>
    <row r="672" spans="1:22" x14ac:dyDescent="0.3">
      <c r="A672" s="4" t="s">
        <v>289</v>
      </c>
      <c r="B672" s="3">
        <v>45488</v>
      </c>
      <c r="C672" s="1" t="str">
        <f t="shared" si="20"/>
        <v>July</v>
      </c>
      <c r="D672" s="1" t="s">
        <v>401</v>
      </c>
      <c r="E672" s="1" t="s">
        <v>772</v>
      </c>
      <c r="F672" s="1" t="s">
        <v>801</v>
      </c>
      <c r="G672" s="1" t="s">
        <v>804</v>
      </c>
      <c r="H672" s="1" t="s">
        <v>812</v>
      </c>
      <c r="I672" s="1" t="s">
        <v>814</v>
      </c>
      <c r="J672" s="1" t="s">
        <v>817</v>
      </c>
      <c r="K672" s="1" t="s">
        <v>822</v>
      </c>
      <c r="L672" s="1" t="s">
        <v>856</v>
      </c>
      <c r="M672" s="1">
        <v>5.01</v>
      </c>
      <c r="N672" s="1">
        <v>2722.82</v>
      </c>
      <c r="O672" s="1">
        <v>12157.67</v>
      </c>
      <c r="P672" s="1">
        <v>0.1</v>
      </c>
      <c r="Q672" s="1">
        <v>11371.6</v>
      </c>
      <c r="R672" s="1">
        <v>9410.76</v>
      </c>
      <c r="S672" s="1">
        <f t="shared" si="21"/>
        <v>1960.8400000000001</v>
      </c>
      <c r="T672" s="1" t="s">
        <v>876</v>
      </c>
      <c r="U672" s="1" t="s">
        <v>877</v>
      </c>
      <c r="V672" s="5" t="s">
        <v>884</v>
      </c>
    </row>
    <row r="673" spans="1:22" x14ac:dyDescent="0.3">
      <c r="A673" s="4" t="s">
        <v>154</v>
      </c>
      <c r="B673" s="3">
        <v>45523</v>
      </c>
      <c r="C673" s="1" t="str">
        <f t="shared" si="20"/>
        <v>August</v>
      </c>
      <c r="D673" s="1" t="s">
        <v>399</v>
      </c>
      <c r="E673" s="1" t="s">
        <v>639</v>
      </c>
      <c r="F673" s="1" t="s">
        <v>803</v>
      </c>
      <c r="G673" s="1" t="s">
        <v>806</v>
      </c>
      <c r="H673" s="1" t="s">
        <v>809</v>
      </c>
      <c r="I673" s="1" t="s">
        <v>815</v>
      </c>
      <c r="J673" s="1" t="s">
        <v>818</v>
      </c>
      <c r="K673" s="1" t="s">
        <v>822</v>
      </c>
      <c r="L673" s="1" t="s">
        <v>868</v>
      </c>
      <c r="M673" s="1">
        <v>3.27</v>
      </c>
      <c r="N673" s="1">
        <v>1813.63</v>
      </c>
      <c r="O673" s="1">
        <v>4975.6499999999996</v>
      </c>
      <c r="P673" s="1">
        <v>0.05</v>
      </c>
      <c r="Q673" s="1">
        <v>5226.1099999999997</v>
      </c>
      <c r="R673" s="1">
        <v>3357.76</v>
      </c>
      <c r="S673" s="1">
        <f t="shared" si="21"/>
        <v>1868.3499999999995</v>
      </c>
      <c r="T673" s="1" t="s">
        <v>875</v>
      </c>
      <c r="U673" s="1" t="s">
        <v>879</v>
      </c>
      <c r="V673" s="5" t="s">
        <v>884</v>
      </c>
    </row>
    <row r="674" spans="1:22" x14ac:dyDescent="0.3">
      <c r="A674" s="4" t="s">
        <v>268</v>
      </c>
      <c r="B674" s="3">
        <v>45596</v>
      </c>
      <c r="C674" s="1" t="str">
        <f t="shared" si="20"/>
        <v>October</v>
      </c>
      <c r="D674" s="1" t="s">
        <v>322</v>
      </c>
      <c r="E674" s="1" t="s">
        <v>751</v>
      </c>
      <c r="F674" s="1" t="s">
        <v>802</v>
      </c>
      <c r="G674" s="1" t="s">
        <v>807</v>
      </c>
      <c r="H674" s="1" t="s">
        <v>809</v>
      </c>
      <c r="I674" s="1" t="s">
        <v>809</v>
      </c>
      <c r="J674" s="1" t="s">
        <v>817</v>
      </c>
      <c r="K674" s="1" t="s">
        <v>821</v>
      </c>
      <c r="L674" s="1" t="s">
        <v>857</v>
      </c>
      <c r="M674" s="1">
        <v>9.52</v>
      </c>
      <c r="N674" s="1">
        <v>2444.86</v>
      </c>
      <c r="O674" s="1">
        <v>23621.439999999999</v>
      </c>
      <c r="P674" s="1">
        <v>0</v>
      </c>
      <c r="Q674" s="1">
        <v>23085.33</v>
      </c>
      <c r="R674" s="1">
        <v>20551.53</v>
      </c>
      <c r="S674" s="1">
        <f t="shared" si="21"/>
        <v>2533.8000000000029</v>
      </c>
      <c r="T674" s="1" t="s">
        <v>875</v>
      </c>
      <c r="U674" s="1" t="s">
        <v>879</v>
      </c>
      <c r="V674" s="5" t="s">
        <v>884</v>
      </c>
    </row>
    <row r="675" spans="1:22" x14ac:dyDescent="0.3">
      <c r="A675" s="4" t="s">
        <v>255</v>
      </c>
      <c r="B675" s="3">
        <v>45564</v>
      </c>
      <c r="C675" s="1" t="str">
        <f t="shared" si="20"/>
        <v>September</v>
      </c>
      <c r="D675" s="1" t="s">
        <v>472</v>
      </c>
      <c r="E675" s="1" t="s">
        <v>738</v>
      </c>
      <c r="F675" s="1" t="s">
        <v>801</v>
      </c>
      <c r="G675" s="1" t="s">
        <v>807</v>
      </c>
      <c r="H675" s="1" t="s">
        <v>810</v>
      </c>
      <c r="I675" s="1" t="s">
        <v>813</v>
      </c>
      <c r="J675" s="1" t="s">
        <v>818</v>
      </c>
      <c r="K675" s="1" t="s">
        <v>821</v>
      </c>
      <c r="L675" s="1" t="s">
        <v>861</v>
      </c>
      <c r="M675" s="1">
        <v>6.43</v>
      </c>
      <c r="N675" s="1">
        <v>3253.33</v>
      </c>
      <c r="O675" s="1">
        <v>23631.14</v>
      </c>
      <c r="P675" s="1">
        <v>0.11</v>
      </c>
      <c r="Q675" s="1">
        <v>24488.14</v>
      </c>
      <c r="R675" s="1">
        <v>10719.55</v>
      </c>
      <c r="S675" s="1">
        <f t="shared" si="21"/>
        <v>13768.59</v>
      </c>
      <c r="T675" s="1" t="s">
        <v>873</v>
      </c>
      <c r="U675" s="1" t="s">
        <v>878</v>
      </c>
      <c r="V675" s="5" t="s">
        <v>882</v>
      </c>
    </row>
    <row r="676" spans="1:22" x14ac:dyDescent="0.3">
      <c r="A676" s="4" t="s">
        <v>244</v>
      </c>
      <c r="B676" s="3">
        <v>45370</v>
      </c>
      <c r="C676" s="1" t="str">
        <f t="shared" si="20"/>
        <v>March</v>
      </c>
      <c r="D676" s="1" t="s">
        <v>379</v>
      </c>
      <c r="E676" s="1" t="s">
        <v>727</v>
      </c>
      <c r="F676" s="1" t="s">
        <v>802</v>
      </c>
      <c r="G676" s="1" t="s">
        <v>807</v>
      </c>
      <c r="H676" s="1" t="s">
        <v>811</v>
      </c>
      <c r="I676" s="1" t="s">
        <v>809</v>
      </c>
      <c r="J676" s="1" t="s">
        <v>819</v>
      </c>
      <c r="K676" s="1" t="s">
        <v>822</v>
      </c>
      <c r="L676" s="1" t="s">
        <v>839</v>
      </c>
      <c r="M676" s="1">
        <v>4.8499999999999996</v>
      </c>
      <c r="N676" s="1">
        <v>1575.13</v>
      </c>
      <c r="O676" s="1">
        <v>7545.41</v>
      </c>
      <c r="P676" s="1">
        <v>0.09</v>
      </c>
      <c r="Q676" s="1">
        <v>6892.47</v>
      </c>
      <c r="R676" s="1">
        <v>5050.16</v>
      </c>
      <c r="S676" s="1">
        <f t="shared" si="21"/>
        <v>1842.3100000000004</v>
      </c>
      <c r="T676" s="1" t="s">
        <v>873</v>
      </c>
      <c r="U676" s="1" t="s">
        <v>877</v>
      </c>
      <c r="V676" s="5" t="s">
        <v>884</v>
      </c>
    </row>
    <row r="677" spans="1:22" x14ac:dyDescent="0.3">
      <c r="A677" s="4" t="s">
        <v>284</v>
      </c>
      <c r="B677" s="3">
        <v>45314</v>
      </c>
      <c r="C677" s="1" t="str">
        <f t="shared" si="20"/>
        <v>January</v>
      </c>
      <c r="D677" s="1" t="s">
        <v>455</v>
      </c>
      <c r="E677" s="1" t="s">
        <v>767</v>
      </c>
      <c r="F677" s="1" t="s">
        <v>803</v>
      </c>
      <c r="G677" s="1" t="s">
        <v>807</v>
      </c>
      <c r="H677" s="1" t="s">
        <v>811</v>
      </c>
      <c r="I677" s="1" t="s">
        <v>815</v>
      </c>
      <c r="J677" s="1" t="s">
        <v>818</v>
      </c>
      <c r="K677" s="1" t="s">
        <v>822</v>
      </c>
      <c r="L677" s="1" t="s">
        <v>840</v>
      </c>
      <c r="M677" s="1">
        <v>4.88</v>
      </c>
      <c r="N677" s="1">
        <v>2920.95</v>
      </c>
      <c r="O677" s="1">
        <v>14954.47</v>
      </c>
      <c r="P677" s="1">
        <v>0.16</v>
      </c>
      <c r="Q677" s="1">
        <v>11116.55</v>
      </c>
      <c r="R677" s="1">
        <v>9795.02</v>
      </c>
      <c r="S677" s="1">
        <f t="shared" si="21"/>
        <v>1321.5299999999988</v>
      </c>
      <c r="T677" s="1" t="s">
        <v>874</v>
      </c>
      <c r="U677" s="1" t="s">
        <v>877</v>
      </c>
      <c r="V677" s="5" t="s">
        <v>884</v>
      </c>
    </row>
    <row r="678" spans="1:22" x14ac:dyDescent="0.3">
      <c r="A678" s="4" t="s">
        <v>32</v>
      </c>
      <c r="B678" s="3">
        <v>45421</v>
      </c>
      <c r="C678" s="1" t="str">
        <f t="shared" si="20"/>
        <v>May</v>
      </c>
      <c r="D678" s="1" t="s">
        <v>331</v>
      </c>
      <c r="E678" s="1" t="s">
        <v>517</v>
      </c>
      <c r="F678" s="1" t="s">
        <v>801</v>
      </c>
      <c r="G678" s="1" t="s">
        <v>805</v>
      </c>
      <c r="H678" s="1" t="s">
        <v>811</v>
      </c>
      <c r="I678" s="1" t="s">
        <v>815</v>
      </c>
      <c r="J678" s="1" t="s">
        <v>817</v>
      </c>
      <c r="K678" s="1" t="s">
        <v>820</v>
      </c>
      <c r="L678" s="1" t="s">
        <v>834</v>
      </c>
      <c r="M678" s="1">
        <v>9.3800000000000008</v>
      </c>
      <c r="N678" s="1">
        <v>1584.91</v>
      </c>
      <c r="O678" s="1">
        <v>16114.68</v>
      </c>
      <c r="P678" s="1">
        <v>0</v>
      </c>
      <c r="Q678" s="1">
        <v>17392.22</v>
      </c>
      <c r="R678" s="1">
        <v>9327.6</v>
      </c>
      <c r="S678" s="1">
        <f t="shared" si="21"/>
        <v>8064.6200000000008</v>
      </c>
      <c r="T678" s="1" t="s">
        <v>874</v>
      </c>
      <c r="U678" s="1" t="s">
        <v>879</v>
      </c>
      <c r="V678" s="5" t="s">
        <v>884</v>
      </c>
    </row>
    <row r="679" spans="1:22" x14ac:dyDescent="0.3">
      <c r="A679" s="4" t="s">
        <v>198</v>
      </c>
      <c r="B679" s="3">
        <v>45499</v>
      </c>
      <c r="C679" s="1" t="str">
        <f t="shared" si="20"/>
        <v>July</v>
      </c>
      <c r="D679" s="1" t="s">
        <v>480</v>
      </c>
      <c r="E679" s="1" t="s">
        <v>682</v>
      </c>
      <c r="F679" s="1" t="s">
        <v>803</v>
      </c>
      <c r="G679" s="1" t="s">
        <v>804</v>
      </c>
      <c r="H679" s="1" t="s">
        <v>809</v>
      </c>
      <c r="I679" s="1" t="s">
        <v>815</v>
      </c>
      <c r="J679" s="1" t="s">
        <v>819</v>
      </c>
      <c r="K679" s="1" t="s">
        <v>820</v>
      </c>
      <c r="L679" s="1" t="s">
        <v>866</v>
      </c>
      <c r="M679" s="1">
        <v>3.97</v>
      </c>
      <c r="N679" s="1">
        <v>799.1</v>
      </c>
      <c r="O679" s="1">
        <v>2547.7399999999998</v>
      </c>
      <c r="P679" s="1">
        <v>0.12</v>
      </c>
      <c r="Q679" s="1">
        <v>2303.02</v>
      </c>
      <c r="R679" s="1">
        <v>1789.78</v>
      </c>
      <c r="S679" s="1">
        <f t="shared" si="21"/>
        <v>513.24</v>
      </c>
      <c r="T679" s="1" t="s">
        <v>874</v>
      </c>
      <c r="U679" s="1" t="s">
        <v>878</v>
      </c>
      <c r="V679" s="5" t="s">
        <v>882</v>
      </c>
    </row>
    <row r="680" spans="1:22" x14ac:dyDescent="0.3">
      <c r="A680" s="4" t="s">
        <v>311</v>
      </c>
      <c r="B680" s="3">
        <v>45439</v>
      </c>
      <c r="C680" s="1" t="str">
        <f t="shared" si="20"/>
        <v>May</v>
      </c>
      <c r="D680" s="1" t="s">
        <v>504</v>
      </c>
      <c r="E680" s="1" t="s">
        <v>793</v>
      </c>
      <c r="F680" s="1" t="s">
        <v>802</v>
      </c>
      <c r="G680" s="1" t="s">
        <v>805</v>
      </c>
      <c r="H680" s="1" t="s">
        <v>808</v>
      </c>
      <c r="I680" s="1" t="s">
        <v>813</v>
      </c>
      <c r="J680" s="1" t="s">
        <v>818</v>
      </c>
      <c r="K680" s="1" t="s">
        <v>821</v>
      </c>
      <c r="L680" s="1" t="s">
        <v>839</v>
      </c>
      <c r="M680" s="1">
        <v>1</v>
      </c>
      <c r="N680" s="1">
        <v>2217.42</v>
      </c>
      <c r="O680" s="1">
        <v>2820.41</v>
      </c>
      <c r="P680" s="1">
        <v>0.15</v>
      </c>
      <c r="Q680" s="1">
        <v>2216.42</v>
      </c>
      <c r="R680" s="1">
        <v>1869.7</v>
      </c>
      <c r="S680" s="1">
        <f t="shared" si="21"/>
        <v>346.72</v>
      </c>
      <c r="T680" s="1" t="s">
        <v>873</v>
      </c>
      <c r="U680" s="1" t="s">
        <v>880</v>
      </c>
      <c r="V680" s="5" t="s">
        <v>884</v>
      </c>
    </row>
    <row r="681" spans="1:22" x14ac:dyDescent="0.3">
      <c r="A681" s="4" t="s">
        <v>155</v>
      </c>
      <c r="B681" s="3">
        <v>45347</v>
      </c>
      <c r="C681" s="1" t="str">
        <f t="shared" si="20"/>
        <v>February</v>
      </c>
      <c r="D681" s="1" t="s">
        <v>470</v>
      </c>
      <c r="E681" s="1" t="s">
        <v>640</v>
      </c>
      <c r="F681" s="1" t="s">
        <v>803</v>
      </c>
      <c r="G681" s="1" t="s">
        <v>806</v>
      </c>
      <c r="H681" s="1" t="s">
        <v>808</v>
      </c>
      <c r="I681" s="1" t="s">
        <v>816</v>
      </c>
      <c r="J681" s="1" t="s">
        <v>819</v>
      </c>
      <c r="K681" s="1" t="s">
        <v>820</v>
      </c>
      <c r="L681" s="1" t="s">
        <v>844</v>
      </c>
      <c r="M681" s="1">
        <v>7.81</v>
      </c>
      <c r="N681" s="1">
        <v>3265.64</v>
      </c>
      <c r="O681" s="1">
        <v>26241.84</v>
      </c>
      <c r="P681" s="1">
        <v>0</v>
      </c>
      <c r="Q681" s="1">
        <v>23430.02</v>
      </c>
      <c r="R681" s="1">
        <v>15330.88</v>
      </c>
      <c r="S681" s="1">
        <f t="shared" si="21"/>
        <v>8099.1400000000012</v>
      </c>
      <c r="T681" s="1" t="s">
        <v>875</v>
      </c>
      <c r="U681" s="1" t="s">
        <v>879</v>
      </c>
      <c r="V681" s="5" t="s">
        <v>884</v>
      </c>
    </row>
    <row r="682" spans="1:22" x14ac:dyDescent="0.3">
      <c r="A682" s="4" t="s">
        <v>85</v>
      </c>
      <c r="B682" s="3">
        <v>45529</v>
      </c>
      <c r="C682" s="1" t="str">
        <f t="shared" si="20"/>
        <v>August</v>
      </c>
      <c r="D682" s="1" t="s">
        <v>423</v>
      </c>
      <c r="E682" s="1" t="s">
        <v>570</v>
      </c>
      <c r="F682" s="1" t="s">
        <v>803</v>
      </c>
      <c r="G682" s="1" t="s">
        <v>807</v>
      </c>
      <c r="H682" s="1" t="s">
        <v>810</v>
      </c>
      <c r="I682" s="1" t="s">
        <v>809</v>
      </c>
      <c r="J682" s="1" t="s">
        <v>817</v>
      </c>
      <c r="K682" s="1" t="s">
        <v>820</v>
      </c>
      <c r="L682" s="1" t="s">
        <v>854</v>
      </c>
      <c r="M682" s="1">
        <v>1.96</v>
      </c>
      <c r="N682" s="1">
        <v>426.03</v>
      </c>
      <c r="O682" s="1">
        <v>795.51</v>
      </c>
      <c r="P682" s="1">
        <v>0.05</v>
      </c>
      <c r="Q682" s="1">
        <v>860.72</v>
      </c>
      <c r="R682" s="1">
        <v>598.11</v>
      </c>
      <c r="S682" s="1">
        <f t="shared" si="21"/>
        <v>262.61</v>
      </c>
      <c r="T682" s="1" t="s">
        <v>875</v>
      </c>
      <c r="U682" s="1" t="s">
        <v>877</v>
      </c>
      <c r="V682" s="5" t="s">
        <v>884</v>
      </c>
    </row>
    <row r="683" spans="1:22" x14ac:dyDescent="0.3">
      <c r="A683" s="4" t="s">
        <v>65</v>
      </c>
      <c r="B683" s="3">
        <v>45357</v>
      </c>
      <c r="C683" s="1" t="str">
        <f t="shared" si="20"/>
        <v>March</v>
      </c>
      <c r="D683" s="1" t="s">
        <v>419</v>
      </c>
      <c r="E683" s="1" t="s">
        <v>550</v>
      </c>
      <c r="F683" s="1" t="s">
        <v>801</v>
      </c>
      <c r="G683" s="1" t="s">
        <v>806</v>
      </c>
      <c r="H683" s="1" t="s">
        <v>812</v>
      </c>
      <c r="I683" s="1" t="s">
        <v>816</v>
      </c>
      <c r="J683" s="1" t="s">
        <v>818</v>
      </c>
      <c r="K683" s="1" t="s">
        <v>821</v>
      </c>
      <c r="L683" s="1" t="s">
        <v>832</v>
      </c>
      <c r="M683" s="1">
        <v>8.6300000000000008</v>
      </c>
      <c r="N683" s="1">
        <v>1563.44</v>
      </c>
      <c r="O683" s="1">
        <v>13666.65</v>
      </c>
      <c r="P683" s="1">
        <v>0.09</v>
      </c>
      <c r="Q683" s="1">
        <v>11334.36</v>
      </c>
      <c r="R683" s="1">
        <v>8770.81</v>
      </c>
      <c r="S683" s="1">
        <f t="shared" si="21"/>
        <v>2563.5500000000011</v>
      </c>
      <c r="T683" s="1" t="s">
        <v>876</v>
      </c>
      <c r="U683" s="1" t="s">
        <v>880</v>
      </c>
      <c r="V683" s="5" t="s">
        <v>883</v>
      </c>
    </row>
    <row r="684" spans="1:22" x14ac:dyDescent="0.3">
      <c r="A684" s="4" t="s">
        <v>294</v>
      </c>
      <c r="B684" s="3">
        <v>45391</v>
      </c>
      <c r="C684" s="1" t="str">
        <f t="shared" si="20"/>
        <v>April</v>
      </c>
      <c r="D684" s="1" t="s">
        <v>501</v>
      </c>
      <c r="E684" s="1" t="s">
        <v>776</v>
      </c>
      <c r="F684" s="1" t="s">
        <v>802</v>
      </c>
      <c r="G684" s="1" t="s">
        <v>806</v>
      </c>
      <c r="H684" s="1" t="s">
        <v>812</v>
      </c>
      <c r="I684" s="1" t="s">
        <v>813</v>
      </c>
      <c r="J684" s="1" t="s">
        <v>818</v>
      </c>
      <c r="K684" s="1" t="s">
        <v>821</v>
      </c>
      <c r="L684" s="1" t="s">
        <v>839</v>
      </c>
      <c r="M684" s="1">
        <v>11.93</v>
      </c>
      <c r="N684" s="1">
        <v>2700.72</v>
      </c>
      <c r="O684" s="1">
        <v>35990.83</v>
      </c>
      <c r="P684" s="1">
        <v>0</v>
      </c>
      <c r="Q684" s="1">
        <v>34743.949999999997</v>
      </c>
      <c r="R684" s="1">
        <v>28210.240000000002</v>
      </c>
      <c r="S684" s="1">
        <f t="shared" si="21"/>
        <v>6533.7099999999955</v>
      </c>
      <c r="T684" s="1" t="s">
        <v>876</v>
      </c>
      <c r="U684" s="1" t="s">
        <v>881</v>
      </c>
      <c r="V684" s="5" t="s">
        <v>883</v>
      </c>
    </row>
    <row r="685" spans="1:22" x14ac:dyDescent="0.3">
      <c r="A685" s="4" t="s">
        <v>207</v>
      </c>
      <c r="B685" s="3">
        <v>45362</v>
      </c>
      <c r="C685" s="1" t="str">
        <f t="shared" si="20"/>
        <v>March</v>
      </c>
      <c r="D685" s="1" t="s">
        <v>483</v>
      </c>
      <c r="E685" s="1" t="s">
        <v>691</v>
      </c>
      <c r="F685" s="1" t="s">
        <v>802</v>
      </c>
      <c r="G685" s="1" t="s">
        <v>805</v>
      </c>
      <c r="H685" s="1" t="s">
        <v>809</v>
      </c>
      <c r="I685" s="1" t="s">
        <v>813</v>
      </c>
      <c r="J685" s="1" t="s">
        <v>818</v>
      </c>
      <c r="K685" s="1" t="s">
        <v>821</v>
      </c>
      <c r="L685" s="1" t="s">
        <v>831</v>
      </c>
      <c r="M685" s="1">
        <v>5.31</v>
      </c>
      <c r="N685" s="1">
        <v>1818.22</v>
      </c>
      <c r="O685" s="1">
        <v>11576.59</v>
      </c>
      <c r="P685" s="1">
        <v>0</v>
      </c>
      <c r="Q685" s="1">
        <v>13676.69</v>
      </c>
      <c r="R685" s="1">
        <v>8639.48</v>
      </c>
      <c r="S685" s="1">
        <f t="shared" si="21"/>
        <v>5037.2100000000009</v>
      </c>
      <c r="T685" s="1" t="s">
        <v>873</v>
      </c>
      <c r="U685" s="1" t="s">
        <v>879</v>
      </c>
      <c r="V685" s="5" t="s">
        <v>883</v>
      </c>
    </row>
    <row r="686" spans="1:22" x14ac:dyDescent="0.3">
      <c r="A686" s="4" t="s">
        <v>282</v>
      </c>
      <c r="B686" s="3">
        <v>45323</v>
      </c>
      <c r="C686" s="1" t="str">
        <f t="shared" si="20"/>
        <v>February</v>
      </c>
      <c r="D686" s="1" t="s">
        <v>414</v>
      </c>
      <c r="E686" s="1" t="s">
        <v>765</v>
      </c>
      <c r="F686" s="1" t="s">
        <v>802</v>
      </c>
      <c r="G686" s="1" t="s">
        <v>807</v>
      </c>
      <c r="H686" s="1" t="s">
        <v>811</v>
      </c>
      <c r="I686" s="1" t="s">
        <v>815</v>
      </c>
      <c r="J686" s="1" t="s">
        <v>818</v>
      </c>
      <c r="K686" s="1" t="s">
        <v>820</v>
      </c>
      <c r="L686" s="1" t="s">
        <v>849</v>
      </c>
      <c r="M686" s="1">
        <v>5.48</v>
      </c>
      <c r="N686" s="1">
        <v>2481.19</v>
      </c>
      <c r="O686" s="1">
        <v>10217.41</v>
      </c>
      <c r="P686" s="1">
        <v>0.05</v>
      </c>
      <c r="Q686" s="1">
        <v>13781.66</v>
      </c>
      <c r="R686" s="1">
        <v>11550.93</v>
      </c>
      <c r="S686" s="1">
        <f t="shared" si="21"/>
        <v>2230.7299999999996</v>
      </c>
      <c r="T686" s="1" t="s">
        <v>874</v>
      </c>
      <c r="U686" s="1" t="s">
        <v>878</v>
      </c>
      <c r="V686" s="5" t="s">
        <v>882</v>
      </c>
    </row>
    <row r="687" spans="1:22" x14ac:dyDescent="0.3">
      <c r="A687" s="4" t="s">
        <v>266</v>
      </c>
      <c r="B687" s="3">
        <v>45479</v>
      </c>
      <c r="C687" s="1" t="str">
        <f t="shared" si="20"/>
        <v>July</v>
      </c>
      <c r="D687" s="1" t="s">
        <v>495</v>
      </c>
      <c r="E687" s="1" t="s">
        <v>749</v>
      </c>
      <c r="F687" s="1" t="s">
        <v>802</v>
      </c>
      <c r="G687" s="1" t="s">
        <v>806</v>
      </c>
      <c r="H687" s="1" t="s">
        <v>809</v>
      </c>
      <c r="I687" s="1" t="s">
        <v>809</v>
      </c>
      <c r="J687" s="1" t="s">
        <v>817</v>
      </c>
      <c r="K687" s="1" t="s">
        <v>820</v>
      </c>
      <c r="L687" s="1" t="s">
        <v>826</v>
      </c>
      <c r="M687" s="1">
        <v>5.13</v>
      </c>
      <c r="N687" s="1">
        <v>1614.47</v>
      </c>
      <c r="O687" s="1">
        <v>8401.48</v>
      </c>
      <c r="P687" s="1">
        <v>0.05</v>
      </c>
      <c r="Q687" s="1">
        <v>8262</v>
      </c>
      <c r="R687" s="1">
        <v>6819.85</v>
      </c>
      <c r="S687" s="1">
        <f t="shared" si="21"/>
        <v>1442.1499999999996</v>
      </c>
      <c r="T687" s="1" t="s">
        <v>875</v>
      </c>
      <c r="U687" s="1" t="s">
        <v>880</v>
      </c>
      <c r="V687" s="5" t="s">
        <v>882</v>
      </c>
    </row>
    <row r="688" spans="1:22" x14ac:dyDescent="0.3">
      <c r="A688" s="4" t="s">
        <v>256</v>
      </c>
      <c r="B688" s="3">
        <v>45396</v>
      </c>
      <c r="C688" s="1" t="str">
        <f t="shared" si="20"/>
        <v>April</v>
      </c>
      <c r="D688" s="1" t="s">
        <v>372</v>
      </c>
      <c r="E688" s="1" t="s">
        <v>739</v>
      </c>
      <c r="F688" s="1" t="s">
        <v>802</v>
      </c>
      <c r="G688" s="1" t="s">
        <v>805</v>
      </c>
      <c r="H688" s="1" t="s">
        <v>810</v>
      </c>
      <c r="I688" s="1" t="s">
        <v>809</v>
      </c>
      <c r="J688" s="1" t="s">
        <v>818</v>
      </c>
      <c r="K688" s="1" t="s">
        <v>821</v>
      </c>
      <c r="L688" s="1" t="s">
        <v>855</v>
      </c>
      <c r="M688" s="1">
        <v>3.18</v>
      </c>
      <c r="N688" s="1">
        <v>2059.06</v>
      </c>
      <c r="O688" s="1">
        <v>5184.08</v>
      </c>
      <c r="P688" s="1">
        <v>0</v>
      </c>
      <c r="Q688" s="1">
        <v>4905.1899999999996</v>
      </c>
      <c r="R688" s="1">
        <v>3047.63</v>
      </c>
      <c r="S688" s="1">
        <f t="shared" si="21"/>
        <v>1857.5599999999995</v>
      </c>
      <c r="T688" s="1" t="s">
        <v>875</v>
      </c>
      <c r="U688" s="1" t="s">
        <v>878</v>
      </c>
      <c r="V688" s="5" t="s">
        <v>882</v>
      </c>
    </row>
    <row r="689" spans="1:22" x14ac:dyDescent="0.3">
      <c r="A689" s="4" t="s">
        <v>245</v>
      </c>
      <c r="B689" s="3">
        <v>45616</v>
      </c>
      <c r="C689" s="1" t="str">
        <f t="shared" si="20"/>
        <v>November</v>
      </c>
      <c r="D689" s="1" t="s">
        <v>438</v>
      </c>
      <c r="E689" s="1" t="s">
        <v>728</v>
      </c>
      <c r="F689" s="1" t="s">
        <v>801</v>
      </c>
      <c r="G689" s="1" t="s">
        <v>805</v>
      </c>
      <c r="H689" s="1" t="s">
        <v>808</v>
      </c>
      <c r="I689" s="1" t="s">
        <v>813</v>
      </c>
      <c r="J689" s="1" t="s">
        <v>818</v>
      </c>
      <c r="K689" s="1" t="s">
        <v>822</v>
      </c>
      <c r="L689" s="1" t="s">
        <v>840</v>
      </c>
      <c r="M689" s="1">
        <v>12.96</v>
      </c>
      <c r="N689" s="1">
        <v>3134.33</v>
      </c>
      <c r="O689" s="1">
        <v>32323.439999999999</v>
      </c>
      <c r="P689" s="1">
        <v>0.05</v>
      </c>
      <c r="Q689" s="1">
        <v>35758.07</v>
      </c>
      <c r="R689" s="1">
        <v>21244.65</v>
      </c>
      <c r="S689" s="1">
        <f t="shared" si="21"/>
        <v>14513.419999999998</v>
      </c>
      <c r="T689" s="1" t="s">
        <v>874</v>
      </c>
      <c r="U689" s="1" t="s">
        <v>878</v>
      </c>
      <c r="V689" s="5" t="s">
        <v>884</v>
      </c>
    </row>
    <row r="690" spans="1:22" x14ac:dyDescent="0.3">
      <c r="A690" s="4" t="s">
        <v>278</v>
      </c>
      <c r="B690" s="3">
        <v>45505</v>
      </c>
      <c r="C690" s="1" t="str">
        <f t="shared" si="20"/>
        <v>August</v>
      </c>
      <c r="D690" s="1" t="s">
        <v>480</v>
      </c>
      <c r="E690" s="1" t="s">
        <v>761</v>
      </c>
      <c r="F690" s="1" t="s">
        <v>801</v>
      </c>
      <c r="G690" s="1" t="s">
        <v>807</v>
      </c>
      <c r="H690" s="1" t="s">
        <v>811</v>
      </c>
      <c r="I690" s="1" t="s">
        <v>814</v>
      </c>
      <c r="J690" s="1" t="s">
        <v>818</v>
      </c>
      <c r="K690" s="1" t="s">
        <v>820</v>
      </c>
      <c r="L690" s="1" t="s">
        <v>848</v>
      </c>
      <c r="M690" s="1">
        <v>8.86</v>
      </c>
      <c r="N690" s="1">
        <v>2569.7199999999998</v>
      </c>
      <c r="O690" s="1">
        <v>22487.13</v>
      </c>
      <c r="P690" s="1">
        <v>0.15</v>
      </c>
      <c r="Q690" s="1">
        <v>17080.810000000001</v>
      </c>
      <c r="R690" s="1">
        <v>12525.05</v>
      </c>
      <c r="S690" s="1">
        <f t="shared" si="21"/>
        <v>4555.760000000002</v>
      </c>
      <c r="T690" s="1" t="s">
        <v>873</v>
      </c>
      <c r="U690" s="1" t="s">
        <v>878</v>
      </c>
      <c r="V690" s="5" t="s">
        <v>884</v>
      </c>
    </row>
    <row r="691" spans="1:22" x14ac:dyDescent="0.3">
      <c r="A691" s="4" t="s">
        <v>80</v>
      </c>
      <c r="B691" s="3">
        <v>45426</v>
      </c>
      <c r="C691" s="1" t="str">
        <f t="shared" si="20"/>
        <v>May</v>
      </c>
      <c r="D691" s="1" t="s">
        <v>454</v>
      </c>
      <c r="E691" s="1" t="s">
        <v>565</v>
      </c>
      <c r="F691" s="1" t="s">
        <v>803</v>
      </c>
      <c r="G691" s="1" t="s">
        <v>806</v>
      </c>
      <c r="H691" s="1" t="s">
        <v>809</v>
      </c>
      <c r="I691" s="1" t="s">
        <v>816</v>
      </c>
      <c r="J691" s="1" t="s">
        <v>818</v>
      </c>
      <c r="K691" s="1" t="s">
        <v>822</v>
      </c>
      <c r="L691" s="1" t="s">
        <v>857</v>
      </c>
      <c r="M691" s="1">
        <v>12.18</v>
      </c>
      <c r="N691" s="1">
        <v>2658.95</v>
      </c>
      <c r="O691" s="1">
        <v>30737.74</v>
      </c>
      <c r="P691" s="1">
        <v>0.11</v>
      </c>
      <c r="Q691" s="1">
        <v>25275.200000000001</v>
      </c>
      <c r="R691" s="1">
        <v>18303.43</v>
      </c>
      <c r="S691" s="1">
        <f t="shared" si="21"/>
        <v>6971.77</v>
      </c>
      <c r="T691" s="1" t="s">
        <v>873</v>
      </c>
      <c r="U691" s="1" t="s">
        <v>879</v>
      </c>
      <c r="V691" s="5" t="s">
        <v>884</v>
      </c>
    </row>
    <row r="692" spans="1:22" x14ac:dyDescent="0.3">
      <c r="A692" s="4" t="s">
        <v>169</v>
      </c>
      <c r="B692" s="3">
        <v>45336</v>
      </c>
      <c r="C692" s="1" t="str">
        <f t="shared" si="20"/>
        <v>February</v>
      </c>
      <c r="D692" s="1" t="s">
        <v>373</v>
      </c>
      <c r="E692" s="1" t="s">
        <v>654</v>
      </c>
      <c r="F692" s="1" t="s">
        <v>802</v>
      </c>
      <c r="G692" s="1" t="s">
        <v>805</v>
      </c>
      <c r="H692" s="1" t="s">
        <v>810</v>
      </c>
      <c r="I692" s="1" t="s">
        <v>814</v>
      </c>
      <c r="J692" s="1" t="s">
        <v>818</v>
      </c>
      <c r="K692" s="1" t="s">
        <v>822</v>
      </c>
      <c r="L692" s="1" t="s">
        <v>861</v>
      </c>
      <c r="M692" s="1">
        <v>9.8000000000000007</v>
      </c>
      <c r="N692" s="1">
        <v>1261.95</v>
      </c>
      <c r="O692" s="1">
        <v>10616.28</v>
      </c>
      <c r="P692" s="1">
        <v>0.17</v>
      </c>
      <c r="Q692" s="1">
        <v>9504.2800000000007</v>
      </c>
      <c r="R692" s="1">
        <v>7712.62</v>
      </c>
      <c r="S692" s="1">
        <f t="shared" si="21"/>
        <v>1791.6600000000008</v>
      </c>
      <c r="T692" s="1" t="s">
        <v>874</v>
      </c>
      <c r="U692" s="1" t="s">
        <v>881</v>
      </c>
      <c r="V692" s="5" t="s">
        <v>884</v>
      </c>
    </row>
    <row r="693" spans="1:22" x14ac:dyDescent="0.3">
      <c r="A693" s="4" t="s">
        <v>169</v>
      </c>
      <c r="B693" s="3">
        <v>45336</v>
      </c>
      <c r="C693" s="1" t="str">
        <f t="shared" si="20"/>
        <v>February</v>
      </c>
      <c r="D693" s="1" t="s">
        <v>373</v>
      </c>
      <c r="E693" s="1" t="s">
        <v>654</v>
      </c>
      <c r="F693" s="1" t="s">
        <v>802</v>
      </c>
      <c r="G693" s="1" t="s">
        <v>805</v>
      </c>
      <c r="H693" s="1" t="s">
        <v>810</v>
      </c>
      <c r="I693" s="1" t="s">
        <v>814</v>
      </c>
      <c r="J693" s="1" t="s">
        <v>818</v>
      </c>
      <c r="K693" s="1" t="s">
        <v>822</v>
      </c>
      <c r="L693" s="1" t="s">
        <v>861</v>
      </c>
      <c r="M693" s="1">
        <v>8.1</v>
      </c>
      <c r="N693" s="1">
        <v>1285.58</v>
      </c>
      <c r="O693" s="1">
        <v>11395.65</v>
      </c>
      <c r="P693" s="1">
        <v>0.17</v>
      </c>
      <c r="Q693" s="1">
        <v>8841.4</v>
      </c>
      <c r="R693" s="1">
        <v>8382.2800000000007</v>
      </c>
      <c r="S693" s="1">
        <f t="shared" si="21"/>
        <v>459.11999999999898</v>
      </c>
      <c r="T693" s="1" t="s">
        <v>874</v>
      </c>
      <c r="U693" s="1" t="s">
        <v>881</v>
      </c>
      <c r="V693" s="5" t="s">
        <v>884</v>
      </c>
    </row>
    <row r="694" spans="1:22" x14ac:dyDescent="0.3">
      <c r="A694" s="4" t="s">
        <v>259</v>
      </c>
      <c r="B694" s="3">
        <v>45458</v>
      </c>
      <c r="C694" s="1" t="str">
        <f t="shared" si="20"/>
        <v>June</v>
      </c>
      <c r="D694" s="1" t="s">
        <v>437</v>
      </c>
      <c r="E694" s="1" t="s">
        <v>742</v>
      </c>
      <c r="F694" s="1" t="s">
        <v>801</v>
      </c>
      <c r="G694" s="1" t="s">
        <v>805</v>
      </c>
      <c r="H694" s="1" t="s">
        <v>810</v>
      </c>
      <c r="I694" s="1" t="s">
        <v>815</v>
      </c>
      <c r="J694" s="1" t="s">
        <v>817</v>
      </c>
      <c r="K694" s="1" t="s">
        <v>821</v>
      </c>
      <c r="L694" s="1" t="s">
        <v>869</v>
      </c>
      <c r="M694" s="1">
        <v>4.0599999999999996</v>
      </c>
      <c r="N694" s="1">
        <v>837.41</v>
      </c>
      <c r="O694" s="1">
        <v>3353.84</v>
      </c>
      <c r="P694" s="1">
        <v>0.05</v>
      </c>
      <c r="Q694" s="1">
        <v>3329.95</v>
      </c>
      <c r="R694" s="1">
        <v>2168.65</v>
      </c>
      <c r="S694" s="1">
        <f t="shared" si="21"/>
        <v>1161.2999999999997</v>
      </c>
      <c r="T694" s="1" t="s">
        <v>876</v>
      </c>
      <c r="U694" s="1" t="s">
        <v>880</v>
      </c>
      <c r="V694" s="5" t="s">
        <v>884</v>
      </c>
    </row>
    <row r="695" spans="1:22" x14ac:dyDescent="0.3">
      <c r="A695" s="4" t="s">
        <v>167</v>
      </c>
      <c r="B695" s="3">
        <v>45609</v>
      </c>
      <c r="C695" s="1" t="str">
        <f t="shared" si="20"/>
        <v>November</v>
      </c>
      <c r="D695" s="1" t="s">
        <v>473</v>
      </c>
      <c r="E695" s="1" t="s">
        <v>652</v>
      </c>
      <c r="F695" s="1" t="s">
        <v>803</v>
      </c>
      <c r="G695" s="1" t="s">
        <v>804</v>
      </c>
      <c r="H695" s="1" t="s">
        <v>811</v>
      </c>
      <c r="I695" s="1" t="s">
        <v>813</v>
      </c>
      <c r="J695" s="1" t="s">
        <v>817</v>
      </c>
      <c r="K695" s="1" t="s">
        <v>822</v>
      </c>
      <c r="L695" s="1" t="s">
        <v>866</v>
      </c>
      <c r="M695" s="1">
        <v>11.45</v>
      </c>
      <c r="N695" s="1">
        <v>2239.39</v>
      </c>
      <c r="O695" s="1">
        <v>27791.94</v>
      </c>
      <c r="P695" s="1">
        <v>0</v>
      </c>
      <c r="Q695" s="1">
        <v>26035.45</v>
      </c>
      <c r="R695" s="1">
        <v>21100.639999999999</v>
      </c>
      <c r="S695" s="1">
        <f t="shared" si="21"/>
        <v>4934.8100000000013</v>
      </c>
      <c r="T695" s="1" t="s">
        <v>874</v>
      </c>
      <c r="U695" s="1" t="s">
        <v>879</v>
      </c>
      <c r="V695" s="5" t="s">
        <v>883</v>
      </c>
    </row>
    <row r="696" spans="1:22" x14ac:dyDescent="0.3">
      <c r="A696" s="4" t="s">
        <v>188</v>
      </c>
      <c r="B696" s="3">
        <v>45425</v>
      </c>
      <c r="C696" s="1" t="str">
        <f t="shared" si="20"/>
        <v>May</v>
      </c>
      <c r="D696" s="1" t="s">
        <v>336</v>
      </c>
      <c r="E696" s="1" t="s">
        <v>672</v>
      </c>
      <c r="F696" s="1" t="s">
        <v>802</v>
      </c>
      <c r="G696" s="1" t="s">
        <v>806</v>
      </c>
      <c r="H696" s="1" t="s">
        <v>810</v>
      </c>
      <c r="I696" s="1" t="s">
        <v>809</v>
      </c>
      <c r="J696" s="1" t="s">
        <v>818</v>
      </c>
      <c r="K696" s="1" t="s">
        <v>821</v>
      </c>
      <c r="L696" s="1" t="s">
        <v>859</v>
      </c>
      <c r="M696" s="1">
        <v>7.74</v>
      </c>
      <c r="N696" s="1">
        <v>2211.7800000000002</v>
      </c>
      <c r="O696" s="1">
        <v>18911.150000000001</v>
      </c>
      <c r="P696" s="1">
        <v>0.09</v>
      </c>
      <c r="Q696" s="1">
        <v>15582.73</v>
      </c>
      <c r="R696" s="1">
        <v>11897.4</v>
      </c>
      <c r="S696" s="1">
        <f t="shared" si="21"/>
        <v>3685.33</v>
      </c>
      <c r="T696" s="1" t="s">
        <v>874</v>
      </c>
      <c r="U696" s="1" t="s">
        <v>878</v>
      </c>
      <c r="V696" s="5" t="s">
        <v>882</v>
      </c>
    </row>
    <row r="697" spans="1:22" x14ac:dyDescent="0.3">
      <c r="A697" s="4" t="s">
        <v>286</v>
      </c>
      <c r="B697" s="3">
        <v>45376</v>
      </c>
      <c r="C697" s="1" t="str">
        <f t="shared" si="20"/>
        <v>March</v>
      </c>
      <c r="D697" s="1" t="s">
        <v>499</v>
      </c>
      <c r="E697" s="1" t="s">
        <v>769</v>
      </c>
      <c r="F697" s="1" t="s">
        <v>802</v>
      </c>
      <c r="G697" s="1" t="s">
        <v>807</v>
      </c>
      <c r="H697" s="1" t="s">
        <v>811</v>
      </c>
      <c r="I697" s="1" t="s">
        <v>816</v>
      </c>
      <c r="J697" s="1" t="s">
        <v>819</v>
      </c>
      <c r="K697" s="1" t="s">
        <v>822</v>
      </c>
      <c r="L697" s="1" t="s">
        <v>836</v>
      </c>
      <c r="M697" s="1">
        <v>3.2</v>
      </c>
      <c r="N697" s="1">
        <v>3305.07</v>
      </c>
      <c r="O697" s="1">
        <v>9407.33</v>
      </c>
      <c r="P697" s="1">
        <v>0</v>
      </c>
      <c r="Q697" s="1">
        <v>10309.58</v>
      </c>
      <c r="R697" s="1">
        <v>8847.35</v>
      </c>
      <c r="S697" s="1">
        <f t="shared" si="21"/>
        <v>1462.2299999999996</v>
      </c>
      <c r="T697" s="1" t="s">
        <v>875</v>
      </c>
      <c r="U697" s="1" t="s">
        <v>880</v>
      </c>
      <c r="V697" s="5" t="s">
        <v>883</v>
      </c>
    </row>
    <row r="698" spans="1:22" x14ac:dyDescent="0.3">
      <c r="A698" s="4" t="s">
        <v>175</v>
      </c>
      <c r="B698" s="3">
        <v>45366</v>
      </c>
      <c r="C698" s="1" t="str">
        <f t="shared" si="20"/>
        <v>March</v>
      </c>
      <c r="D698" s="1" t="s">
        <v>416</v>
      </c>
      <c r="E698" s="1" t="s">
        <v>660</v>
      </c>
      <c r="F698" s="1" t="s">
        <v>801</v>
      </c>
      <c r="G698" s="1" t="s">
        <v>806</v>
      </c>
      <c r="H698" s="1" t="s">
        <v>812</v>
      </c>
      <c r="I698" s="1" t="s">
        <v>813</v>
      </c>
      <c r="J698" s="1" t="s">
        <v>819</v>
      </c>
      <c r="K698" s="1" t="s">
        <v>820</v>
      </c>
      <c r="L698" s="1" t="s">
        <v>856</v>
      </c>
      <c r="M698" s="1">
        <v>9.7899999999999991</v>
      </c>
      <c r="N698" s="1">
        <v>1560.96</v>
      </c>
      <c r="O698" s="1">
        <v>14264.3</v>
      </c>
      <c r="P698" s="1">
        <v>0.05</v>
      </c>
      <c r="Q698" s="1">
        <v>16296.81</v>
      </c>
      <c r="R698" s="1">
        <v>10100</v>
      </c>
      <c r="S698" s="1">
        <f t="shared" si="21"/>
        <v>6196.8099999999995</v>
      </c>
      <c r="T698" s="1" t="s">
        <v>876</v>
      </c>
      <c r="U698" s="1" t="s">
        <v>879</v>
      </c>
      <c r="V698" s="5" t="s">
        <v>883</v>
      </c>
    </row>
    <row r="699" spans="1:22" x14ac:dyDescent="0.3">
      <c r="A699" s="4" t="s">
        <v>238</v>
      </c>
      <c r="B699" s="3">
        <v>45500</v>
      </c>
      <c r="C699" s="1" t="str">
        <f t="shared" si="20"/>
        <v>July</v>
      </c>
      <c r="D699" s="1" t="s">
        <v>357</v>
      </c>
      <c r="E699" s="1" t="s">
        <v>721</v>
      </c>
      <c r="F699" s="1" t="s">
        <v>802</v>
      </c>
      <c r="G699" s="1" t="s">
        <v>805</v>
      </c>
      <c r="H699" s="1" t="s">
        <v>808</v>
      </c>
      <c r="I699" s="1" t="s">
        <v>815</v>
      </c>
      <c r="J699" s="1" t="s">
        <v>818</v>
      </c>
      <c r="K699" s="1" t="s">
        <v>822</v>
      </c>
      <c r="L699" s="1" t="s">
        <v>845</v>
      </c>
      <c r="M699" s="1">
        <v>8.4</v>
      </c>
      <c r="N699" s="1">
        <v>3317.02</v>
      </c>
      <c r="O699" s="1">
        <v>30647.84</v>
      </c>
      <c r="P699" s="1">
        <v>0.1</v>
      </c>
      <c r="Q699" s="1">
        <v>27403.24</v>
      </c>
      <c r="R699" s="1">
        <v>16347.77</v>
      </c>
      <c r="S699" s="1">
        <f t="shared" si="21"/>
        <v>11055.470000000001</v>
      </c>
      <c r="T699" s="1" t="s">
        <v>873</v>
      </c>
      <c r="U699" s="1" t="s">
        <v>879</v>
      </c>
      <c r="V699" s="5" t="s">
        <v>884</v>
      </c>
    </row>
    <row r="700" spans="1:22" x14ac:dyDescent="0.3">
      <c r="A700" s="4" t="s">
        <v>310</v>
      </c>
      <c r="B700" s="3">
        <v>45613</v>
      </c>
      <c r="C700" s="1" t="str">
        <f t="shared" si="20"/>
        <v>November</v>
      </c>
      <c r="D700" s="1" t="s">
        <v>417</v>
      </c>
      <c r="E700" s="1" t="s">
        <v>792</v>
      </c>
      <c r="F700" s="1" t="s">
        <v>803</v>
      </c>
      <c r="G700" s="1" t="s">
        <v>804</v>
      </c>
      <c r="H700" s="1" t="s">
        <v>808</v>
      </c>
      <c r="I700" s="1" t="s">
        <v>813</v>
      </c>
      <c r="J700" s="1" t="s">
        <v>819</v>
      </c>
      <c r="K700" s="1" t="s">
        <v>821</v>
      </c>
      <c r="L700" s="1" t="s">
        <v>845</v>
      </c>
      <c r="M700" s="1">
        <v>6.1</v>
      </c>
      <c r="N700" s="1">
        <v>656.03</v>
      </c>
      <c r="O700" s="1">
        <v>3426.21</v>
      </c>
      <c r="P700" s="1">
        <v>0</v>
      </c>
      <c r="Q700" s="1">
        <v>3818.75</v>
      </c>
      <c r="R700" s="1">
        <v>3012.18</v>
      </c>
      <c r="S700" s="1">
        <f t="shared" si="21"/>
        <v>806.57000000000016</v>
      </c>
      <c r="T700" s="1" t="s">
        <v>876</v>
      </c>
      <c r="U700" s="1" t="s">
        <v>880</v>
      </c>
      <c r="V700" s="5" t="s">
        <v>882</v>
      </c>
    </row>
    <row r="701" spans="1:22" x14ac:dyDescent="0.3">
      <c r="A701" s="4" t="s">
        <v>45</v>
      </c>
      <c r="B701" s="3">
        <v>45575</v>
      </c>
      <c r="C701" s="1" t="str">
        <f t="shared" si="20"/>
        <v>October</v>
      </c>
      <c r="D701" s="1" t="s">
        <v>444</v>
      </c>
      <c r="E701" s="1" t="s">
        <v>530</v>
      </c>
      <c r="F701" s="1" t="s">
        <v>802</v>
      </c>
      <c r="G701" s="1" t="s">
        <v>804</v>
      </c>
      <c r="H701" s="1" t="s">
        <v>809</v>
      </c>
      <c r="I701" s="1" t="s">
        <v>813</v>
      </c>
      <c r="J701" s="1" t="s">
        <v>817</v>
      </c>
      <c r="K701" s="1" t="s">
        <v>820</v>
      </c>
      <c r="L701" s="1" t="s">
        <v>844</v>
      </c>
      <c r="M701" s="1">
        <v>7.99</v>
      </c>
      <c r="N701" s="1">
        <v>2205.75</v>
      </c>
      <c r="O701" s="1">
        <v>20402.7</v>
      </c>
      <c r="P701" s="1">
        <v>0.14000000000000001</v>
      </c>
      <c r="Q701" s="1">
        <v>15408.96</v>
      </c>
      <c r="R701" s="1">
        <v>11119.28</v>
      </c>
      <c r="S701" s="1">
        <f t="shared" si="21"/>
        <v>4289.6799999999985</v>
      </c>
      <c r="T701" s="1" t="s">
        <v>874</v>
      </c>
      <c r="U701" s="1" t="s">
        <v>877</v>
      </c>
      <c r="V701" s="5" t="s">
        <v>882</v>
      </c>
    </row>
    <row r="702" spans="1:22" x14ac:dyDescent="0.3">
      <c r="A702" s="4" t="s">
        <v>239</v>
      </c>
      <c r="B702" s="3">
        <v>45508</v>
      </c>
      <c r="C702" s="1" t="str">
        <f t="shared" si="20"/>
        <v>August</v>
      </c>
      <c r="D702" s="1" t="s">
        <v>409</v>
      </c>
      <c r="E702" s="1" t="s">
        <v>722</v>
      </c>
      <c r="F702" s="1" t="s">
        <v>801</v>
      </c>
      <c r="G702" s="1" t="s">
        <v>806</v>
      </c>
      <c r="H702" s="1" t="s">
        <v>809</v>
      </c>
      <c r="I702" s="1" t="s">
        <v>813</v>
      </c>
      <c r="J702" s="1" t="s">
        <v>818</v>
      </c>
      <c r="K702" s="1" t="s">
        <v>821</v>
      </c>
      <c r="L702" s="1" t="s">
        <v>844</v>
      </c>
      <c r="M702" s="1">
        <v>8.26</v>
      </c>
      <c r="N702" s="1">
        <v>1650.23</v>
      </c>
      <c r="O702" s="1">
        <v>14562.2</v>
      </c>
      <c r="P702" s="1">
        <v>0.05</v>
      </c>
      <c r="Q702" s="1">
        <v>13984.88</v>
      </c>
      <c r="R702" s="1">
        <v>10122.19</v>
      </c>
      <c r="S702" s="1">
        <f t="shared" si="21"/>
        <v>3862.6899999999987</v>
      </c>
      <c r="T702" s="1" t="s">
        <v>873</v>
      </c>
      <c r="U702" s="1" t="s">
        <v>880</v>
      </c>
      <c r="V702" s="5" t="s">
        <v>882</v>
      </c>
    </row>
    <row r="703" spans="1:22" x14ac:dyDescent="0.3">
      <c r="A703" s="4" t="s">
        <v>60</v>
      </c>
      <c r="B703" s="3">
        <v>45522</v>
      </c>
      <c r="C703" s="1" t="str">
        <f t="shared" si="20"/>
        <v>August</v>
      </c>
      <c r="D703" s="1" t="s">
        <v>434</v>
      </c>
      <c r="E703" s="1" t="s">
        <v>545</v>
      </c>
      <c r="F703" s="1" t="s">
        <v>803</v>
      </c>
      <c r="G703" s="1" t="s">
        <v>807</v>
      </c>
      <c r="H703" s="1" t="s">
        <v>812</v>
      </c>
      <c r="I703" s="1" t="s">
        <v>813</v>
      </c>
      <c r="J703" s="1" t="s">
        <v>818</v>
      </c>
      <c r="K703" s="1" t="s">
        <v>821</v>
      </c>
      <c r="L703" s="1" t="s">
        <v>842</v>
      </c>
      <c r="M703" s="1">
        <v>6.33</v>
      </c>
      <c r="N703" s="1">
        <v>1099.92</v>
      </c>
      <c r="O703" s="1">
        <v>6671.39</v>
      </c>
      <c r="P703" s="1">
        <v>0.05</v>
      </c>
      <c r="Q703" s="1">
        <v>7284.47</v>
      </c>
      <c r="R703" s="1">
        <v>4469.6400000000003</v>
      </c>
      <c r="S703" s="1">
        <f t="shared" si="21"/>
        <v>2814.83</v>
      </c>
      <c r="T703" s="1" t="s">
        <v>874</v>
      </c>
      <c r="U703" s="1" t="s">
        <v>877</v>
      </c>
      <c r="V703" s="5" t="s">
        <v>883</v>
      </c>
    </row>
    <row r="704" spans="1:22" x14ac:dyDescent="0.3">
      <c r="A704" s="4" t="s">
        <v>113</v>
      </c>
      <c r="B704" s="3">
        <v>45470</v>
      </c>
      <c r="C704" s="1" t="str">
        <f t="shared" si="20"/>
        <v>June</v>
      </c>
      <c r="D704" s="1" t="s">
        <v>403</v>
      </c>
      <c r="E704" s="1" t="s">
        <v>598</v>
      </c>
      <c r="F704" s="1" t="s">
        <v>802</v>
      </c>
      <c r="G704" s="1" t="s">
        <v>807</v>
      </c>
      <c r="H704" s="1" t="s">
        <v>808</v>
      </c>
      <c r="I704" s="1" t="s">
        <v>813</v>
      </c>
      <c r="J704" s="1" t="s">
        <v>819</v>
      </c>
      <c r="K704" s="1" t="s">
        <v>820</v>
      </c>
      <c r="L704" s="1" t="s">
        <v>845</v>
      </c>
      <c r="M704" s="1">
        <v>2.31</v>
      </c>
      <c r="N704" s="1">
        <v>1761.41</v>
      </c>
      <c r="O704" s="1">
        <v>3615.27</v>
      </c>
      <c r="P704" s="1">
        <v>0.05</v>
      </c>
      <c r="Q704" s="1">
        <v>3904.11</v>
      </c>
      <c r="R704" s="1">
        <v>3336.68</v>
      </c>
      <c r="S704" s="1">
        <f t="shared" si="21"/>
        <v>567.43000000000029</v>
      </c>
      <c r="T704" s="1" t="s">
        <v>875</v>
      </c>
      <c r="U704" s="1" t="s">
        <v>878</v>
      </c>
      <c r="V704" s="5" t="s">
        <v>882</v>
      </c>
    </row>
    <row r="705" spans="1:22" x14ac:dyDescent="0.3">
      <c r="A705" s="4" t="s">
        <v>71</v>
      </c>
      <c r="B705" s="3">
        <v>45420</v>
      </c>
      <c r="C705" s="1" t="str">
        <f t="shared" si="20"/>
        <v>May</v>
      </c>
      <c r="D705" s="1" t="s">
        <v>358</v>
      </c>
      <c r="E705" s="1" t="s">
        <v>556</v>
      </c>
      <c r="F705" s="1" t="s">
        <v>802</v>
      </c>
      <c r="G705" s="1" t="s">
        <v>806</v>
      </c>
      <c r="H705" s="1" t="s">
        <v>811</v>
      </c>
      <c r="I705" s="1" t="s">
        <v>815</v>
      </c>
      <c r="J705" s="1" t="s">
        <v>817</v>
      </c>
      <c r="K705" s="1" t="s">
        <v>821</v>
      </c>
      <c r="L705" s="1" t="s">
        <v>851</v>
      </c>
      <c r="M705" s="1">
        <v>10.55</v>
      </c>
      <c r="N705" s="1">
        <v>1585.83</v>
      </c>
      <c r="O705" s="1">
        <v>20235</v>
      </c>
      <c r="P705" s="1">
        <v>0</v>
      </c>
      <c r="Q705" s="1">
        <v>17817.580000000002</v>
      </c>
      <c r="R705" s="1">
        <v>11949.44</v>
      </c>
      <c r="S705" s="1">
        <f t="shared" si="21"/>
        <v>5868.1400000000012</v>
      </c>
      <c r="T705" s="1" t="s">
        <v>876</v>
      </c>
      <c r="U705" s="1" t="s">
        <v>881</v>
      </c>
      <c r="V705" s="5" t="s">
        <v>884</v>
      </c>
    </row>
    <row r="706" spans="1:22" x14ac:dyDescent="0.3">
      <c r="A706" s="4" t="s">
        <v>93</v>
      </c>
      <c r="B706" s="3">
        <v>45557</v>
      </c>
      <c r="C706" s="1" t="str">
        <f t="shared" ref="C706:C769" si="22">TEXT(B706,"MMMM")</f>
        <v>September</v>
      </c>
      <c r="D706" s="1" t="s">
        <v>382</v>
      </c>
      <c r="E706" s="1" t="s">
        <v>578</v>
      </c>
      <c r="F706" s="1" t="s">
        <v>803</v>
      </c>
      <c r="G706" s="1" t="s">
        <v>804</v>
      </c>
      <c r="H706" s="1" t="s">
        <v>812</v>
      </c>
      <c r="I706" s="1" t="s">
        <v>809</v>
      </c>
      <c r="J706" s="1" t="s">
        <v>819</v>
      </c>
      <c r="K706" s="1" t="s">
        <v>821</v>
      </c>
      <c r="L706" s="1" t="s">
        <v>861</v>
      </c>
      <c r="M706" s="1">
        <v>6.05</v>
      </c>
      <c r="N706" s="1">
        <v>1750.48</v>
      </c>
      <c r="O706" s="1">
        <v>9860.0400000000009</v>
      </c>
      <c r="P706" s="1">
        <v>0.05</v>
      </c>
      <c r="Q706" s="1">
        <v>10461.879999999999</v>
      </c>
      <c r="R706" s="1">
        <v>6834.45</v>
      </c>
      <c r="S706" s="1">
        <f t="shared" ref="S706:S769" si="23">Q706-R706</f>
        <v>3627.4299999999994</v>
      </c>
      <c r="T706" s="1" t="s">
        <v>874</v>
      </c>
      <c r="U706" s="1" t="s">
        <v>878</v>
      </c>
      <c r="V706" s="5" t="s">
        <v>884</v>
      </c>
    </row>
    <row r="707" spans="1:22" x14ac:dyDescent="0.3">
      <c r="A707" s="4" t="s">
        <v>220</v>
      </c>
      <c r="B707" s="3">
        <v>45369</v>
      </c>
      <c r="C707" s="1" t="str">
        <f t="shared" si="22"/>
        <v>March</v>
      </c>
      <c r="D707" s="1" t="s">
        <v>400</v>
      </c>
      <c r="E707" s="1" t="s">
        <v>703</v>
      </c>
      <c r="F707" s="1" t="s">
        <v>802</v>
      </c>
      <c r="G707" s="1" t="s">
        <v>807</v>
      </c>
      <c r="H707" s="1" t="s">
        <v>810</v>
      </c>
      <c r="I707" s="1" t="s">
        <v>814</v>
      </c>
      <c r="J707" s="1" t="s">
        <v>817</v>
      </c>
      <c r="K707" s="1" t="s">
        <v>820</v>
      </c>
      <c r="L707" s="1" t="s">
        <v>852</v>
      </c>
      <c r="M707" s="1">
        <v>4.25</v>
      </c>
      <c r="N707" s="1">
        <v>420.98</v>
      </c>
      <c r="O707" s="1">
        <v>1716.81</v>
      </c>
      <c r="P707" s="1">
        <v>0.13</v>
      </c>
      <c r="Q707" s="1">
        <v>1198.01</v>
      </c>
      <c r="R707" s="1">
        <v>931.63</v>
      </c>
      <c r="S707" s="1">
        <f t="shared" si="23"/>
        <v>266.38</v>
      </c>
      <c r="T707" s="1" t="s">
        <v>874</v>
      </c>
      <c r="U707" s="1" t="s">
        <v>879</v>
      </c>
      <c r="V707" s="5" t="s">
        <v>883</v>
      </c>
    </row>
    <row r="708" spans="1:22" x14ac:dyDescent="0.3">
      <c r="A708" s="4" t="s">
        <v>159</v>
      </c>
      <c r="B708" s="3">
        <v>45558</v>
      </c>
      <c r="C708" s="1" t="str">
        <f t="shared" si="22"/>
        <v>September</v>
      </c>
      <c r="D708" s="1" t="s">
        <v>406</v>
      </c>
      <c r="E708" s="1" t="s">
        <v>644</v>
      </c>
      <c r="F708" s="1" t="s">
        <v>803</v>
      </c>
      <c r="G708" s="1" t="s">
        <v>804</v>
      </c>
      <c r="H708" s="1" t="s">
        <v>811</v>
      </c>
      <c r="I708" s="1" t="s">
        <v>816</v>
      </c>
      <c r="J708" s="1" t="s">
        <v>817</v>
      </c>
      <c r="K708" s="1" t="s">
        <v>821</v>
      </c>
      <c r="L708" s="1" t="s">
        <v>849</v>
      </c>
      <c r="M708" s="1">
        <v>12.75</v>
      </c>
      <c r="N708" s="1">
        <v>3409.98</v>
      </c>
      <c r="O708" s="1">
        <v>41071.160000000003</v>
      </c>
      <c r="P708" s="1">
        <v>0.09</v>
      </c>
      <c r="Q708" s="1">
        <v>31769.279999999999</v>
      </c>
      <c r="R708" s="1">
        <v>21712.54</v>
      </c>
      <c r="S708" s="1">
        <f t="shared" si="23"/>
        <v>10056.739999999998</v>
      </c>
      <c r="T708" s="1" t="s">
        <v>875</v>
      </c>
      <c r="U708" s="1" t="s">
        <v>880</v>
      </c>
      <c r="V708" s="5" t="s">
        <v>883</v>
      </c>
    </row>
    <row r="709" spans="1:22" x14ac:dyDescent="0.3">
      <c r="A709" s="4" t="s">
        <v>77</v>
      </c>
      <c r="B709" s="3">
        <v>45485</v>
      </c>
      <c r="C709" s="1" t="str">
        <f t="shared" si="22"/>
        <v>July</v>
      </c>
      <c r="D709" s="1" t="s">
        <v>356</v>
      </c>
      <c r="E709" s="1" t="s">
        <v>562</v>
      </c>
      <c r="F709" s="1" t="s">
        <v>803</v>
      </c>
      <c r="G709" s="1" t="s">
        <v>807</v>
      </c>
      <c r="H709" s="1" t="s">
        <v>809</v>
      </c>
      <c r="I709" s="1" t="s">
        <v>815</v>
      </c>
      <c r="J709" s="1" t="s">
        <v>819</v>
      </c>
      <c r="K709" s="1" t="s">
        <v>820</v>
      </c>
      <c r="L709" s="1" t="s">
        <v>846</v>
      </c>
      <c r="M709" s="1">
        <v>5.73</v>
      </c>
      <c r="N709" s="1">
        <v>3351.35</v>
      </c>
      <c r="O709" s="1">
        <v>21532.21</v>
      </c>
      <c r="P709" s="1">
        <v>0.16</v>
      </c>
      <c r="Q709" s="1">
        <v>18792.07</v>
      </c>
      <c r="R709" s="1">
        <v>11303.89</v>
      </c>
      <c r="S709" s="1">
        <f t="shared" si="23"/>
        <v>7488.18</v>
      </c>
      <c r="T709" s="1" t="s">
        <v>875</v>
      </c>
      <c r="U709" s="1" t="s">
        <v>878</v>
      </c>
      <c r="V709" s="5" t="s">
        <v>884</v>
      </c>
    </row>
    <row r="710" spans="1:22" x14ac:dyDescent="0.3">
      <c r="A710" s="4" t="s">
        <v>88</v>
      </c>
      <c r="B710" s="3">
        <v>45539</v>
      </c>
      <c r="C710" s="1" t="str">
        <f t="shared" si="22"/>
        <v>September</v>
      </c>
      <c r="D710" s="1" t="s">
        <v>413</v>
      </c>
      <c r="E710" s="1" t="s">
        <v>573</v>
      </c>
      <c r="F710" s="1" t="s">
        <v>802</v>
      </c>
      <c r="G710" s="1" t="s">
        <v>804</v>
      </c>
      <c r="H710" s="1" t="s">
        <v>810</v>
      </c>
      <c r="I710" s="1" t="s">
        <v>816</v>
      </c>
      <c r="J710" s="1" t="s">
        <v>818</v>
      </c>
      <c r="K710" s="1" t="s">
        <v>822</v>
      </c>
      <c r="L710" s="1" t="s">
        <v>858</v>
      </c>
      <c r="M710" s="1">
        <v>6.54</v>
      </c>
      <c r="N710" s="1">
        <v>765.48</v>
      </c>
      <c r="O710" s="1">
        <v>5342.46</v>
      </c>
      <c r="P710" s="1">
        <v>0.17</v>
      </c>
      <c r="Q710" s="1">
        <v>4751.8100000000004</v>
      </c>
      <c r="R710" s="1">
        <v>3395.19</v>
      </c>
      <c r="S710" s="1">
        <f t="shared" si="23"/>
        <v>1356.6200000000003</v>
      </c>
      <c r="T710" s="1" t="s">
        <v>874</v>
      </c>
      <c r="U710" s="1" t="s">
        <v>879</v>
      </c>
      <c r="V710" s="5" t="s">
        <v>884</v>
      </c>
    </row>
    <row r="711" spans="1:22" x14ac:dyDescent="0.3">
      <c r="A711" s="4" t="s">
        <v>58</v>
      </c>
      <c r="B711" s="3">
        <v>45615</v>
      </c>
      <c r="C711" s="1" t="str">
        <f t="shared" si="22"/>
        <v>November</v>
      </c>
      <c r="D711" s="1" t="s">
        <v>448</v>
      </c>
      <c r="E711" s="1" t="s">
        <v>543</v>
      </c>
      <c r="F711" s="1" t="s">
        <v>802</v>
      </c>
      <c r="G711" s="1" t="s">
        <v>806</v>
      </c>
      <c r="H711" s="1" t="s">
        <v>809</v>
      </c>
      <c r="I711" s="1" t="s">
        <v>816</v>
      </c>
      <c r="J711" s="1" t="s">
        <v>817</v>
      </c>
      <c r="K711" s="1" t="s">
        <v>822</v>
      </c>
      <c r="L711" s="1" t="s">
        <v>849</v>
      </c>
      <c r="M711" s="1">
        <v>4.18</v>
      </c>
      <c r="N711" s="1">
        <v>681</v>
      </c>
      <c r="O711" s="1">
        <v>2561.77</v>
      </c>
      <c r="P711" s="1">
        <v>0.05</v>
      </c>
      <c r="Q711" s="1">
        <v>2384.2199999999998</v>
      </c>
      <c r="R711" s="1">
        <v>1553.94</v>
      </c>
      <c r="S711" s="1">
        <f t="shared" si="23"/>
        <v>830.27999999999975</v>
      </c>
      <c r="T711" s="1" t="s">
        <v>876</v>
      </c>
      <c r="U711" s="1" t="s">
        <v>880</v>
      </c>
      <c r="V711" s="5" t="s">
        <v>883</v>
      </c>
    </row>
    <row r="712" spans="1:22" x14ac:dyDescent="0.3">
      <c r="A712" s="4" t="s">
        <v>207</v>
      </c>
      <c r="B712" s="3">
        <v>45362</v>
      </c>
      <c r="C712" s="1" t="str">
        <f t="shared" si="22"/>
        <v>March</v>
      </c>
      <c r="D712" s="1" t="s">
        <v>483</v>
      </c>
      <c r="E712" s="1" t="s">
        <v>691</v>
      </c>
      <c r="F712" s="1" t="s">
        <v>802</v>
      </c>
      <c r="G712" s="1" t="s">
        <v>805</v>
      </c>
      <c r="H712" s="1" t="s">
        <v>809</v>
      </c>
      <c r="I712" s="1" t="s">
        <v>813</v>
      </c>
      <c r="J712" s="1" t="s">
        <v>818</v>
      </c>
      <c r="K712" s="1" t="s">
        <v>821</v>
      </c>
      <c r="L712" s="1" t="s">
        <v>831</v>
      </c>
      <c r="M712" s="1">
        <v>5.96</v>
      </c>
      <c r="N712" s="1">
        <v>1818.96</v>
      </c>
      <c r="O712" s="1">
        <v>13320.13</v>
      </c>
      <c r="P712" s="1">
        <v>0</v>
      </c>
      <c r="Q712" s="1">
        <v>12448.82</v>
      </c>
      <c r="R712" s="1">
        <v>8921.81</v>
      </c>
      <c r="S712" s="1">
        <f t="shared" si="23"/>
        <v>3527.01</v>
      </c>
      <c r="T712" s="1" t="s">
        <v>873</v>
      </c>
      <c r="U712" s="1" t="s">
        <v>879</v>
      </c>
      <c r="V712" s="5" t="s">
        <v>883</v>
      </c>
    </row>
    <row r="713" spans="1:22" x14ac:dyDescent="0.3">
      <c r="A713" s="4" t="s">
        <v>66</v>
      </c>
      <c r="B713" s="3">
        <v>45374</v>
      </c>
      <c r="C713" s="1" t="str">
        <f t="shared" si="22"/>
        <v>March</v>
      </c>
      <c r="D713" s="1" t="s">
        <v>334</v>
      </c>
      <c r="E713" s="1" t="s">
        <v>551</v>
      </c>
      <c r="F713" s="1" t="s">
        <v>801</v>
      </c>
      <c r="G713" s="1" t="s">
        <v>805</v>
      </c>
      <c r="H713" s="1" t="s">
        <v>811</v>
      </c>
      <c r="I713" s="1" t="s">
        <v>813</v>
      </c>
      <c r="J713" s="1" t="s">
        <v>818</v>
      </c>
      <c r="K713" s="1" t="s">
        <v>820</v>
      </c>
      <c r="L713" s="1" t="s">
        <v>829</v>
      </c>
      <c r="M713" s="1">
        <v>3.77</v>
      </c>
      <c r="N713" s="1">
        <v>1919.4</v>
      </c>
      <c r="O713" s="1">
        <v>7733.34</v>
      </c>
      <c r="P713" s="1">
        <v>0.16</v>
      </c>
      <c r="Q713" s="1">
        <v>6429.11</v>
      </c>
      <c r="R713" s="1">
        <v>4933.76</v>
      </c>
      <c r="S713" s="1">
        <f t="shared" si="23"/>
        <v>1495.3499999999995</v>
      </c>
      <c r="T713" s="1" t="s">
        <v>876</v>
      </c>
      <c r="U713" s="1" t="s">
        <v>880</v>
      </c>
      <c r="V713" s="5" t="s">
        <v>884</v>
      </c>
    </row>
    <row r="714" spans="1:22" x14ac:dyDescent="0.3">
      <c r="A714" s="4" t="s">
        <v>302</v>
      </c>
      <c r="B714" s="3">
        <v>45394</v>
      </c>
      <c r="C714" s="1" t="str">
        <f t="shared" si="22"/>
        <v>April</v>
      </c>
      <c r="D714" s="1" t="s">
        <v>412</v>
      </c>
      <c r="E714" s="1" t="s">
        <v>784</v>
      </c>
      <c r="F714" s="1" t="s">
        <v>802</v>
      </c>
      <c r="G714" s="1" t="s">
        <v>804</v>
      </c>
      <c r="H714" s="1" t="s">
        <v>808</v>
      </c>
      <c r="I714" s="1" t="s">
        <v>814</v>
      </c>
      <c r="J714" s="1" t="s">
        <v>819</v>
      </c>
      <c r="K714" s="1" t="s">
        <v>822</v>
      </c>
      <c r="L714" s="1" t="s">
        <v>847</v>
      </c>
      <c r="M714" s="1">
        <v>1.03</v>
      </c>
      <c r="N714" s="1">
        <v>550.26</v>
      </c>
      <c r="O714" s="1">
        <v>470.93</v>
      </c>
      <c r="P714" s="1">
        <v>0</v>
      </c>
      <c r="Q714" s="1">
        <v>474.27</v>
      </c>
      <c r="R714" s="1">
        <v>387.9</v>
      </c>
      <c r="S714" s="1">
        <f t="shared" si="23"/>
        <v>86.37</v>
      </c>
      <c r="T714" s="1" t="s">
        <v>875</v>
      </c>
      <c r="U714" s="1" t="s">
        <v>878</v>
      </c>
      <c r="V714" s="5" t="s">
        <v>882</v>
      </c>
    </row>
    <row r="715" spans="1:22" x14ac:dyDescent="0.3">
      <c r="A715" s="4" t="s">
        <v>255</v>
      </c>
      <c r="B715" s="3">
        <v>45564</v>
      </c>
      <c r="C715" s="1" t="str">
        <f t="shared" si="22"/>
        <v>September</v>
      </c>
      <c r="D715" s="1" t="s">
        <v>472</v>
      </c>
      <c r="E715" s="1" t="s">
        <v>738</v>
      </c>
      <c r="F715" s="1" t="s">
        <v>801</v>
      </c>
      <c r="G715" s="1" t="s">
        <v>807</v>
      </c>
      <c r="H715" s="1" t="s">
        <v>810</v>
      </c>
      <c r="I715" s="1" t="s">
        <v>813</v>
      </c>
      <c r="J715" s="1" t="s">
        <v>818</v>
      </c>
      <c r="K715" s="1" t="s">
        <v>821</v>
      </c>
      <c r="L715" s="1" t="s">
        <v>861</v>
      </c>
      <c r="M715" s="1">
        <v>7.51</v>
      </c>
      <c r="N715" s="1">
        <v>3394.72</v>
      </c>
      <c r="O715" s="1">
        <v>20082.14</v>
      </c>
      <c r="P715" s="1">
        <v>0.12</v>
      </c>
      <c r="Q715" s="1">
        <v>24263.51</v>
      </c>
      <c r="R715" s="1">
        <v>11496.08</v>
      </c>
      <c r="S715" s="1">
        <f t="shared" si="23"/>
        <v>12767.429999999998</v>
      </c>
      <c r="T715" s="1" t="s">
        <v>873</v>
      </c>
      <c r="U715" s="1" t="s">
        <v>878</v>
      </c>
      <c r="V715" s="5" t="s">
        <v>882</v>
      </c>
    </row>
    <row r="716" spans="1:22" x14ac:dyDescent="0.3">
      <c r="A716" s="4" t="s">
        <v>198</v>
      </c>
      <c r="B716" s="3">
        <v>45499</v>
      </c>
      <c r="C716" s="1" t="str">
        <f t="shared" si="22"/>
        <v>July</v>
      </c>
      <c r="D716" s="1" t="s">
        <v>480</v>
      </c>
      <c r="E716" s="1" t="s">
        <v>682</v>
      </c>
      <c r="F716" s="1" t="s">
        <v>803</v>
      </c>
      <c r="G716" s="1" t="s">
        <v>804</v>
      </c>
      <c r="H716" s="1" t="s">
        <v>809</v>
      </c>
      <c r="I716" s="1" t="s">
        <v>815</v>
      </c>
      <c r="J716" s="1" t="s">
        <v>819</v>
      </c>
      <c r="K716" s="1" t="s">
        <v>820</v>
      </c>
      <c r="L716" s="1" t="s">
        <v>866</v>
      </c>
      <c r="M716" s="1">
        <v>4.45</v>
      </c>
      <c r="N716" s="1">
        <v>720.31</v>
      </c>
      <c r="O716" s="1">
        <v>2934.7</v>
      </c>
      <c r="P716" s="1">
        <v>0.1</v>
      </c>
      <c r="Q716" s="1">
        <v>2241.36</v>
      </c>
      <c r="R716" s="1">
        <v>1662.99</v>
      </c>
      <c r="S716" s="1">
        <f t="shared" si="23"/>
        <v>578.37000000000012</v>
      </c>
      <c r="T716" s="1" t="s">
        <v>874</v>
      </c>
      <c r="U716" s="1" t="s">
        <v>878</v>
      </c>
      <c r="V716" s="5" t="s">
        <v>882</v>
      </c>
    </row>
    <row r="717" spans="1:22" x14ac:dyDescent="0.3">
      <c r="A717" s="4" t="s">
        <v>138</v>
      </c>
      <c r="B717" s="3">
        <v>45559</v>
      </c>
      <c r="C717" s="1" t="str">
        <f t="shared" si="22"/>
        <v>September</v>
      </c>
      <c r="D717" s="1" t="s">
        <v>441</v>
      </c>
      <c r="E717" s="1" t="s">
        <v>623</v>
      </c>
      <c r="F717" s="1" t="s">
        <v>801</v>
      </c>
      <c r="G717" s="1" t="s">
        <v>804</v>
      </c>
      <c r="H717" s="1" t="s">
        <v>809</v>
      </c>
      <c r="I717" s="1" t="s">
        <v>816</v>
      </c>
      <c r="J717" s="1" t="s">
        <v>818</v>
      </c>
      <c r="K717" s="1" t="s">
        <v>821</v>
      </c>
      <c r="L717" s="1" t="s">
        <v>864</v>
      </c>
      <c r="M717" s="1">
        <v>2.52</v>
      </c>
      <c r="N717" s="1">
        <v>2763.43</v>
      </c>
      <c r="O717" s="1">
        <v>6128.52</v>
      </c>
      <c r="P717" s="1">
        <v>0.15</v>
      </c>
      <c r="Q717" s="1">
        <v>5065.6899999999996</v>
      </c>
      <c r="R717" s="1">
        <v>3359.87</v>
      </c>
      <c r="S717" s="1">
        <f t="shared" si="23"/>
        <v>1705.8199999999997</v>
      </c>
      <c r="T717" s="1" t="s">
        <v>875</v>
      </c>
      <c r="U717" s="1" t="s">
        <v>878</v>
      </c>
      <c r="V717" s="5" t="s">
        <v>884</v>
      </c>
    </row>
    <row r="718" spans="1:22" x14ac:dyDescent="0.3">
      <c r="A718" s="4" t="s">
        <v>237</v>
      </c>
      <c r="B718" s="3">
        <v>45546</v>
      </c>
      <c r="C718" s="1" t="str">
        <f t="shared" si="22"/>
        <v>September</v>
      </c>
      <c r="D718" s="1" t="s">
        <v>350</v>
      </c>
      <c r="E718" s="1" t="s">
        <v>720</v>
      </c>
      <c r="F718" s="1" t="s">
        <v>802</v>
      </c>
      <c r="G718" s="1" t="s">
        <v>806</v>
      </c>
      <c r="H718" s="1" t="s">
        <v>809</v>
      </c>
      <c r="I718" s="1" t="s">
        <v>815</v>
      </c>
      <c r="J718" s="1" t="s">
        <v>819</v>
      </c>
      <c r="K718" s="1" t="s">
        <v>820</v>
      </c>
      <c r="L718" s="1" t="s">
        <v>847</v>
      </c>
      <c r="M718" s="1">
        <v>6.52</v>
      </c>
      <c r="N718" s="1">
        <v>3576.81</v>
      </c>
      <c r="O718" s="1">
        <v>22256.28</v>
      </c>
      <c r="P718" s="1">
        <v>0.05</v>
      </c>
      <c r="Q718" s="1">
        <v>20474.650000000001</v>
      </c>
      <c r="R718" s="1">
        <v>16164.54</v>
      </c>
      <c r="S718" s="1">
        <f t="shared" si="23"/>
        <v>4310.1100000000006</v>
      </c>
      <c r="T718" s="1" t="s">
        <v>875</v>
      </c>
      <c r="U718" s="1" t="s">
        <v>881</v>
      </c>
      <c r="V718" s="5" t="s">
        <v>882</v>
      </c>
    </row>
    <row r="719" spans="1:22" x14ac:dyDescent="0.3">
      <c r="A719" s="4" t="s">
        <v>38</v>
      </c>
      <c r="B719" s="3">
        <v>45572</v>
      </c>
      <c r="C719" s="1" t="str">
        <f t="shared" si="22"/>
        <v>October</v>
      </c>
      <c r="D719" s="1" t="s">
        <v>443</v>
      </c>
      <c r="E719" s="1" t="s">
        <v>523</v>
      </c>
      <c r="F719" s="1" t="s">
        <v>801</v>
      </c>
      <c r="G719" s="1" t="s">
        <v>806</v>
      </c>
      <c r="H719" s="1" t="s">
        <v>810</v>
      </c>
      <c r="I719" s="1" t="s">
        <v>809</v>
      </c>
      <c r="J719" s="1" t="s">
        <v>819</v>
      </c>
      <c r="K719" s="1" t="s">
        <v>820</v>
      </c>
      <c r="L719" s="1" t="s">
        <v>839</v>
      </c>
      <c r="M719" s="1">
        <v>2.7</v>
      </c>
      <c r="N719" s="1">
        <v>512.63</v>
      </c>
      <c r="O719" s="1">
        <v>1213.9100000000001</v>
      </c>
      <c r="P719" s="1">
        <v>0</v>
      </c>
      <c r="Q719" s="1">
        <v>1330.73</v>
      </c>
      <c r="R719" s="1">
        <v>923.11</v>
      </c>
      <c r="S719" s="1">
        <f t="shared" si="23"/>
        <v>407.62</v>
      </c>
      <c r="T719" s="1" t="s">
        <v>875</v>
      </c>
      <c r="U719" s="1" t="s">
        <v>881</v>
      </c>
      <c r="V719" s="5" t="s">
        <v>884</v>
      </c>
    </row>
    <row r="720" spans="1:22" x14ac:dyDescent="0.3">
      <c r="A720" s="4" t="s">
        <v>99</v>
      </c>
      <c r="B720" s="3">
        <v>45427</v>
      </c>
      <c r="C720" s="1" t="str">
        <f t="shared" si="22"/>
        <v>May</v>
      </c>
      <c r="D720" s="1" t="s">
        <v>458</v>
      </c>
      <c r="E720" s="1" t="s">
        <v>584</v>
      </c>
      <c r="F720" s="1" t="s">
        <v>802</v>
      </c>
      <c r="G720" s="1" t="s">
        <v>804</v>
      </c>
      <c r="H720" s="1" t="s">
        <v>812</v>
      </c>
      <c r="I720" s="1" t="s">
        <v>814</v>
      </c>
      <c r="J720" s="1" t="s">
        <v>818</v>
      </c>
      <c r="K720" s="1" t="s">
        <v>822</v>
      </c>
      <c r="L720" s="1" t="s">
        <v>855</v>
      </c>
      <c r="M720" s="1">
        <v>8.8699999999999992</v>
      </c>
      <c r="N720" s="1">
        <v>609.15</v>
      </c>
      <c r="O720" s="1">
        <v>5100.76</v>
      </c>
      <c r="P720" s="1">
        <v>0.09</v>
      </c>
      <c r="Q720" s="1">
        <v>4666.9399999999996</v>
      </c>
      <c r="R720" s="1">
        <v>3475.92</v>
      </c>
      <c r="S720" s="1">
        <f t="shared" si="23"/>
        <v>1191.0199999999995</v>
      </c>
      <c r="T720" s="1" t="s">
        <v>874</v>
      </c>
      <c r="U720" s="1" t="s">
        <v>879</v>
      </c>
      <c r="V720" s="5" t="s">
        <v>884</v>
      </c>
    </row>
    <row r="721" spans="1:22" x14ac:dyDescent="0.3">
      <c r="A721" s="4" t="s">
        <v>297</v>
      </c>
      <c r="B721" s="3">
        <v>45535</v>
      </c>
      <c r="C721" s="1" t="str">
        <f t="shared" si="22"/>
        <v>August</v>
      </c>
      <c r="D721" s="1" t="s">
        <v>341</v>
      </c>
      <c r="E721" s="1" t="s">
        <v>779</v>
      </c>
      <c r="F721" s="1" t="s">
        <v>801</v>
      </c>
      <c r="G721" s="1" t="s">
        <v>807</v>
      </c>
      <c r="H721" s="1" t="s">
        <v>809</v>
      </c>
      <c r="I721" s="1" t="s">
        <v>813</v>
      </c>
      <c r="J721" s="1" t="s">
        <v>818</v>
      </c>
      <c r="K721" s="1" t="s">
        <v>822</v>
      </c>
      <c r="L721" s="1" t="s">
        <v>840</v>
      </c>
      <c r="M721" s="1">
        <v>2.93</v>
      </c>
      <c r="N721" s="1">
        <v>2927.57</v>
      </c>
      <c r="O721" s="1">
        <v>9180.09</v>
      </c>
      <c r="P721" s="1">
        <v>0.1</v>
      </c>
      <c r="Q721" s="1">
        <v>7706.62</v>
      </c>
      <c r="R721" s="1">
        <v>6544.74</v>
      </c>
      <c r="S721" s="1">
        <f t="shared" si="23"/>
        <v>1161.8800000000001</v>
      </c>
      <c r="T721" s="1" t="s">
        <v>873</v>
      </c>
      <c r="U721" s="1" t="s">
        <v>878</v>
      </c>
      <c r="V721" s="5" t="s">
        <v>882</v>
      </c>
    </row>
    <row r="722" spans="1:22" x14ac:dyDescent="0.3">
      <c r="A722" s="4" t="s">
        <v>81</v>
      </c>
      <c r="B722" s="3">
        <v>45544</v>
      </c>
      <c r="C722" s="1" t="str">
        <f t="shared" si="22"/>
        <v>September</v>
      </c>
      <c r="D722" s="1" t="s">
        <v>323</v>
      </c>
      <c r="E722" s="1" t="s">
        <v>566</v>
      </c>
      <c r="F722" s="1" t="s">
        <v>802</v>
      </c>
      <c r="G722" s="1" t="s">
        <v>806</v>
      </c>
      <c r="H722" s="1" t="s">
        <v>812</v>
      </c>
      <c r="I722" s="1" t="s">
        <v>815</v>
      </c>
      <c r="J722" s="1" t="s">
        <v>819</v>
      </c>
      <c r="K722" s="1" t="s">
        <v>822</v>
      </c>
      <c r="L722" s="1" t="s">
        <v>854</v>
      </c>
      <c r="M722" s="1">
        <v>7.85</v>
      </c>
      <c r="N722" s="1">
        <v>1150.68</v>
      </c>
      <c r="O722" s="1">
        <v>7009.63</v>
      </c>
      <c r="P722" s="1">
        <v>0.09</v>
      </c>
      <c r="Q722" s="1">
        <v>6554.77</v>
      </c>
      <c r="R722" s="1">
        <v>5336.63</v>
      </c>
      <c r="S722" s="1">
        <f t="shared" si="23"/>
        <v>1218.1400000000003</v>
      </c>
      <c r="T722" s="1" t="s">
        <v>876</v>
      </c>
      <c r="U722" s="1" t="s">
        <v>881</v>
      </c>
      <c r="V722" s="5" t="s">
        <v>882</v>
      </c>
    </row>
    <row r="723" spans="1:22" x14ac:dyDescent="0.3">
      <c r="A723" s="4" t="s">
        <v>289</v>
      </c>
      <c r="B723" s="3">
        <v>45488</v>
      </c>
      <c r="C723" s="1" t="str">
        <f t="shared" si="22"/>
        <v>July</v>
      </c>
      <c r="D723" s="1" t="s">
        <v>401</v>
      </c>
      <c r="E723" s="1" t="s">
        <v>772</v>
      </c>
      <c r="F723" s="1" t="s">
        <v>801</v>
      </c>
      <c r="G723" s="1" t="s">
        <v>804</v>
      </c>
      <c r="H723" s="1" t="s">
        <v>812</v>
      </c>
      <c r="I723" s="1" t="s">
        <v>814</v>
      </c>
      <c r="J723" s="1" t="s">
        <v>817</v>
      </c>
      <c r="K723" s="1" t="s">
        <v>822</v>
      </c>
      <c r="L723" s="1" t="s">
        <v>856</v>
      </c>
      <c r="M723" s="1">
        <v>5.4</v>
      </c>
      <c r="N723" s="1">
        <v>2488.61</v>
      </c>
      <c r="O723" s="1">
        <v>13794.62</v>
      </c>
      <c r="P723" s="1">
        <v>0.09</v>
      </c>
      <c r="Q723" s="1">
        <v>11973.83</v>
      </c>
      <c r="R723" s="1">
        <v>9364.2900000000009</v>
      </c>
      <c r="S723" s="1">
        <f t="shared" si="23"/>
        <v>2609.5399999999991</v>
      </c>
      <c r="T723" s="1" t="s">
        <v>876</v>
      </c>
      <c r="U723" s="1" t="s">
        <v>877</v>
      </c>
      <c r="V723" s="5" t="s">
        <v>884</v>
      </c>
    </row>
    <row r="724" spans="1:22" x14ac:dyDescent="0.3">
      <c r="A724" s="4" t="s">
        <v>174</v>
      </c>
      <c r="B724" s="3">
        <v>45526</v>
      </c>
      <c r="C724" s="1" t="str">
        <f t="shared" si="22"/>
        <v>August</v>
      </c>
      <c r="D724" s="1" t="s">
        <v>359</v>
      </c>
      <c r="E724" s="1" t="s">
        <v>659</v>
      </c>
      <c r="F724" s="1" t="s">
        <v>802</v>
      </c>
      <c r="G724" s="1" t="s">
        <v>807</v>
      </c>
      <c r="H724" s="1" t="s">
        <v>809</v>
      </c>
      <c r="I724" s="1" t="s">
        <v>816</v>
      </c>
      <c r="J724" s="1" t="s">
        <v>819</v>
      </c>
      <c r="K724" s="1" t="s">
        <v>822</v>
      </c>
      <c r="L724" s="1" t="s">
        <v>852</v>
      </c>
      <c r="M724" s="1">
        <v>12.13</v>
      </c>
      <c r="N724" s="1">
        <v>1441.85</v>
      </c>
      <c r="O724" s="1">
        <v>16740.330000000002</v>
      </c>
      <c r="P724" s="1">
        <v>0.1</v>
      </c>
      <c r="Q724" s="1">
        <v>15576.73</v>
      </c>
      <c r="R724" s="1">
        <v>11252.44</v>
      </c>
      <c r="S724" s="1">
        <f t="shared" si="23"/>
        <v>4324.2899999999991</v>
      </c>
      <c r="T724" s="1" t="s">
        <v>875</v>
      </c>
      <c r="U724" s="1" t="s">
        <v>881</v>
      </c>
      <c r="V724" s="5" t="s">
        <v>884</v>
      </c>
    </row>
    <row r="725" spans="1:22" x14ac:dyDescent="0.3">
      <c r="A725" s="4" t="s">
        <v>205</v>
      </c>
      <c r="B725" s="3">
        <v>45516</v>
      </c>
      <c r="C725" s="1" t="str">
        <f t="shared" si="22"/>
        <v>August</v>
      </c>
      <c r="D725" s="1" t="s">
        <v>482</v>
      </c>
      <c r="E725" s="1" t="s">
        <v>689</v>
      </c>
      <c r="F725" s="1" t="s">
        <v>801</v>
      </c>
      <c r="G725" s="1" t="s">
        <v>807</v>
      </c>
      <c r="H725" s="1" t="s">
        <v>809</v>
      </c>
      <c r="I725" s="1" t="s">
        <v>816</v>
      </c>
      <c r="J725" s="1" t="s">
        <v>818</v>
      </c>
      <c r="K725" s="1" t="s">
        <v>821</v>
      </c>
      <c r="L725" s="1" t="s">
        <v>836</v>
      </c>
      <c r="M725" s="1">
        <v>10.81</v>
      </c>
      <c r="N725" s="1">
        <v>3162.24</v>
      </c>
      <c r="O725" s="1">
        <v>44941.73</v>
      </c>
      <c r="P725" s="1">
        <v>0.05</v>
      </c>
      <c r="Q725" s="1">
        <v>39140.35</v>
      </c>
      <c r="R725" s="1">
        <v>30518.98</v>
      </c>
      <c r="S725" s="1">
        <f t="shared" si="23"/>
        <v>8621.369999999999</v>
      </c>
      <c r="T725" s="1" t="s">
        <v>875</v>
      </c>
      <c r="U725" s="1" t="s">
        <v>878</v>
      </c>
      <c r="V725" s="5" t="s">
        <v>882</v>
      </c>
    </row>
    <row r="726" spans="1:22" x14ac:dyDescent="0.3">
      <c r="A726" s="4" t="s">
        <v>166</v>
      </c>
      <c r="B726" s="3">
        <v>45563</v>
      </c>
      <c r="C726" s="1" t="str">
        <f t="shared" si="22"/>
        <v>September</v>
      </c>
      <c r="D726" s="1" t="s">
        <v>472</v>
      </c>
      <c r="E726" s="1" t="s">
        <v>651</v>
      </c>
      <c r="F726" s="1" t="s">
        <v>803</v>
      </c>
      <c r="G726" s="1" t="s">
        <v>806</v>
      </c>
      <c r="H726" s="1" t="s">
        <v>811</v>
      </c>
      <c r="I726" s="1" t="s">
        <v>816</v>
      </c>
      <c r="J726" s="1" t="s">
        <v>819</v>
      </c>
      <c r="K726" s="1" t="s">
        <v>821</v>
      </c>
      <c r="L726" s="1" t="s">
        <v>847</v>
      </c>
      <c r="M726" s="1">
        <v>1.99</v>
      </c>
      <c r="N726" s="1">
        <v>1371.89</v>
      </c>
      <c r="O726" s="1">
        <v>2826.88</v>
      </c>
      <c r="P726" s="1">
        <v>0.05</v>
      </c>
      <c r="Q726" s="1">
        <v>2875.22</v>
      </c>
      <c r="R726" s="1">
        <v>1859.71</v>
      </c>
      <c r="S726" s="1">
        <f t="shared" si="23"/>
        <v>1015.5099999999998</v>
      </c>
      <c r="T726" s="1" t="s">
        <v>876</v>
      </c>
      <c r="U726" s="1" t="s">
        <v>877</v>
      </c>
      <c r="V726" s="5" t="s">
        <v>883</v>
      </c>
    </row>
    <row r="727" spans="1:22" x14ac:dyDescent="0.3">
      <c r="A727" s="4" t="s">
        <v>41</v>
      </c>
      <c r="B727" s="3">
        <v>45419</v>
      </c>
      <c r="C727" s="1" t="str">
        <f t="shared" si="22"/>
        <v>May</v>
      </c>
      <c r="D727" s="1" t="s">
        <v>326</v>
      </c>
      <c r="E727" s="1" t="s">
        <v>526</v>
      </c>
      <c r="F727" s="1" t="s">
        <v>803</v>
      </c>
      <c r="G727" s="1" t="s">
        <v>805</v>
      </c>
      <c r="H727" s="1" t="s">
        <v>812</v>
      </c>
      <c r="I727" s="1" t="s">
        <v>814</v>
      </c>
      <c r="J727" s="1" t="s">
        <v>818</v>
      </c>
      <c r="K727" s="1" t="s">
        <v>821</v>
      </c>
      <c r="L727" s="1" t="s">
        <v>842</v>
      </c>
      <c r="M727" s="1">
        <v>5.01</v>
      </c>
      <c r="N727" s="1">
        <v>635.91999999999996</v>
      </c>
      <c r="O727" s="1">
        <v>3067.3</v>
      </c>
      <c r="P727" s="1">
        <v>0</v>
      </c>
      <c r="Q727" s="1">
        <v>2306.15</v>
      </c>
      <c r="R727" s="1">
        <v>2214.13</v>
      </c>
      <c r="S727" s="1">
        <f t="shared" si="23"/>
        <v>92.019999999999982</v>
      </c>
      <c r="T727" s="1" t="s">
        <v>875</v>
      </c>
      <c r="U727" s="1" t="s">
        <v>879</v>
      </c>
      <c r="V727" s="5" t="s">
        <v>884</v>
      </c>
    </row>
    <row r="728" spans="1:22" x14ac:dyDescent="0.3">
      <c r="A728" s="4" t="s">
        <v>164</v>
      </c>
      <c r="B728" s="3">
        <v>45585</v>
      </c>
      <c r="C728" s="1" t="str">
        <f t="shared" si="22"/>
        <v>October</v>
      </c>
      <c r="D728" s="1" t="s">
        <v>471</v>
      </c>
      <c r="E728" s="1" t="s">
        <v>649</v>
      </c>
      <c r="F728" s="1" t="s">
        <v>802</v>
      </c>
      <c r="G728" s="1" t="s">
        <v>805</v>
      </c>
      <c r="H728" s="1" t="s">
        <v>808</v>
      </c>
      <c r="I728" s="1" t="s">
        <v>814</v>
      </c>
      <c r="J728" s="1" t="s">
        <v>818</v>
      </c>
      <c r="K728" s="1" t="s">
        <v>820</v>
      </c>
      <c r="L728" s="1" t="s">
        <v>832</v>
      </c>
      <c r="M728" s="1">
        <v>13.13</v>
      </c>
      <c r="N728" s="1">
        <v>1501.85</v>
      </c>
      <c r="O728" s="1">
        <v>18320.150000000001</v>
      </c>
      <c r="P728" s="1">
        <v>0</v>
      </c>
      <c r="Q728" s="1">
        <v>19319.04</v>
      </c>
      <c r="R728" s="1">
        <v>15208.48</v>
      </c>
      <c r="S728" s="1">
        <f t="shared" si="23"/>
        <v>4110.5600000000013</v>
      </c>
      <c r="T728" s="1" t="s">
        <v>876</v>
      </c>
      <c r="U728" s="1" t="s">
        <v>879</v>
      </c>
      <c r="V728" s="5" t="s">
        <v>884</v>
      </c>
    </row>
    <row r="729" spans="1:22" x14ac:dyDescent="0.3">
      <c r="A729" s="4" t="s">
        <v>197</v>
      </c>
      <c r="B729" s="3">
        <v>45471</v>
      </c>
      <c r="C729" s="1" t="str">
        <f t="shared" si="22"/>
        <v>June</v>
      </c>
      <c r="D729" s="1" t="s">
        <v>411</v>
      </c>
      <c r="E729" s="1" t="s">
        <v>681</v>
      </c>
      <c r="F729" s="1" t="s">
        <v>801</v>
      </c>
      <c r="G729" s="1" t="s">
        <v>804</v>
      </c>
      <c r="H729" s="1" t="s">
        <v>808</v>
      </c>
      <c r="I729" s="1" t="s">
        <v>816</v>
      </c>
      <c r="J729" s="1" t="s">
        <v>817</v>
      </c>
      <c r="K729" s="1" t="s">
        <v>821</v>
      </c>
      <c r="L729" s="1" t="s">
        <v>864</v>
      </c>
      <c r="M729" s="1">
        <v>4.9000000000000004</v>
      </c>
      <c r="N729" s="1">
        <v>769.29</v>
      </c>
      <c r="O729" s="1">
        <v>4272.12</v>
      </c>
      <c r="P729" s="1">
        <v>0.05</v>
      </c>
      <c r="Q729" s="1">
        <v>3677.69</v>
      </c>
      <c r="R729" s="1">
        <v>2937.93</v>
      </c>
      <c r="S729" s="1">
        <f t="shared" si="23"/>
        <v>739.76000000000022</v>
      </c>
      <c r="T729" s="1" t="s">
        <v>875</v>
      </c>
      <c r="U729" s="1" t="s">
        <v>881</v>
      </c>
      <c r="V729" s="5" t="s">
        <v>884</v>
      </c>
    </row>
    <row r="730" spans="1:22" x14ac:dyDescent="0.3">
      <c r="A730" s="4" t="s">
        <v>136</v>
      </c>
      <c r="B730" s="3">
        <v>45605</v>
      </c>
      <c r="C730" s="1" t="str">
        <f t="shared" si="22"/>
        <v>November</v>
      </c>
      <c r="D730" s="1" t="s">
        <v>393</v>
      </c>
      <c r="E730" s="1" t="s">
        <v>621</v>
      </c>
      <c r="F730" s="1" t="s">
        <v>802</v>
      </c>
      <c r="G730" s="1" t="s">
        <v>806</v>
      </c>
      <c r="H730" s="1" t="s">
        <v>809</v>
      </c>
      <c r="I730" s="1" t="s">
        <v>813</v>
      </c>
      <c r="J730" s="1" t="s">
        <v>817</v>
      </c>
      <c r="K730" s="1" t="s">
        <v>822</v>
      </c>
      <c r="L730" s="1" t="s">
        <v>857</v>
      </c>
      <c r="M730" s="1">
        <v>10.74</v>
      </c>
      <c r="N730" s="1">
        <v>899.14</v>
      </c>
      <c r="O730" s="1">
        <v>8237.61</v>
      </c>
      <c r="P730" s="1">
        <v>0</v>
      </c>
      <c r="Q730" s="1">
        <v>8662.83</v>
      </c>
      <c r="R730" s="1">
        <v>5632.37</v>
      </c>
      <c r="S730" s="1">
        <f t="shared" si="23"/>
        <v>3030.46</v>
      </c>
      <c r="T730" s="1" t="s">
        <v>876</v>
      </c>
      <c r="U730" s="1" t="s">
        <v>877</v>
      </c>
      <c r="V730" s="5" t="s">
        <v>884</v>
      </c>
    </row>
    <row r="731" spans="1:22" x14ac:dyDescent="0.3">
      <c r="A731" s="4" t="s">
        <v>92</v>
      </c>
      <c r="B731" s="3">
        <v>45617</v>
      </c>
      <c r="C731" s="1" t="str">
        <f t="shared" si="22"/>
        <v>November</v>
      </c>
      <c r="D731" s="1" t="s">
        <v>448</v>
      </c>
      <c r="E731" s="1" t="s">
        <v>577</v>
      </c>
      <c r="F731" s="1" t="s">
        <v>802</v>
      </c>
      <c r="G731" s="1" t="s">
        <v>805</v>
      </c>
      <c r="H731" s="1" t="s">
        <v>808</v>
      </c>
      <c r="I731" s="1" t="s">
        <v>813</v>
      </c>
      <c r="J731" s="1" t="s">
        <v>819</v>
      </c>
      <c r="K731" s="1" t="s">
        <v>820</v>
      </c>
      <c r="L731" s="1" t="s">
        <v>860</v>
      </c>
      <c r="M731" s="1">
        <v>2.08</v>
      </c>
      <c r="N731" s="1">
        <v>3339.58</v>
      </c>
      <c r="O731" s="1">
        <v>6520.79</v>
      </c>
      <c r="P731" s="1">
        <v>0.05</v>
      </c>
      <c r="Q731" s="1">
        <v>6578.22</v>
      </c>
      <c r="R731" s="1">
        <v>4925.7700000000004</v>
      </c>
      <c r="S731" s="1">
        <f t="shared" si="23"/>
        <v>1652.4499999999998</v>
      </c>
      <c r="T731" s="1" t="s">
        <v>875</v>
      </c>
      <c r="U731" s="1" t="s">
        <v>877</v>
      </c>
      <c r="V731" s="5" t="s">
        <v>884</v>
      </c>
    </row>
    <row r="732" spans="1:22" x14ac:dyDescent="0.3">
      <c r="A732" s="4" t="s">
        <v>315</v>
      </c>
      <c r="B732" s="3">
        <v>45463</v>
      </c>
      <c r="C732" s="1" t="str">
        <f t="shared" si="22"/>
        <v>June</v>
      </c>
      <c r="D732" s="1" t="s">
        <v>407</v>
      </c>
      <c r="E732" s="1" t="s">
        <v>797</v>
      </c>
      <c r="F732" s="1" t="s">
        <v>803</v>
      </c>
      <c r="G732" s="1" t="s">
        <v>807</v>
      </c>
      <c r="H732" s="1" t="s">
        <v>812</v>
      </c>
      <c r="I732" s="1" t="s">
        <v>813</v>
      </c>
      <c r="J732" s="1" t="s">
        <v>817</v>
      </c>
      <c r="K732" s="1" t="s">
        <v>820</v>
      </c>
      <c r="L732" s="1" t="s">
        <v>841</v>
      </c>
      <c r="M732" s="1">
        <v>10.64</v>
      </c>
      <c r="N732" s="1">
        <v>472.95</v>
      </c>
      <c r="O732" s="1">
        <v>4076.2</v>
      </c>
      <c r="P732" s="1">
        <v>0.05</v>
      </c>
      <c r="Q732" s="1">
        <v>3778.83</v>
      </c>
      <c r="R732" s="1">
        <v>2674.9</v>
      </c>
      <c r="S732" s="1">
        <f t="shared" si="23"/>
        <v>1103.9299999999998</v>
      </c>
      <c r="T732" s="1" t="s">
        <v>876</v>
      </c>
      <c r="U732" s="1" t="s">
        <v>877</v>
      </c>
      <c r="V732" s="5" t="s">
        <v>884</v>
      </c>
    </row>
    <row r="733" spans="1:22" x14ac:dyDescent="0.3">
      <c r="A733" s="4" t="s">
        <v>118</v>
      </c>
      <c r="B733" s="3">
        <v>45344</v>
      </c>
      <c r="C733" s="1" t="str">
        <f t="shared" si="22"/>
        <v>February</v>
      </c>
      <c r="D733" s="1" t="s">
        <v>465</v>
      </c>
      <c r="E733" s="1" t="s">
        <v>603</v>
      </c>
      <c r="F733" s="1" t="s">
        <v>801</v>
      </c>
      <c r="G733" s="1" t="s">
        <v>807</v>
      </c>
      <c r="H733" s="1" t="s">
        <v>811</v>
      </c>
      <c r="I733" s="1" t="s">
        <v>815</v>
      </c>
      <c r="J733" s="1" t="s">
        <v>817</v>
      </c>
      <c r="K733" s="1" t="s">
        <v>820</v>
      </c>
      <c r="L733" s="1" t="s">
        <v>862</v>
      </c>
      <c r="M733" s="1">
        <v>10.46</v>
      </c>
      <c r="N733" s="1">
        <v>758.18</v>
      </c>
      <c r="O733" s="1">
        <v>7906.22</v>
      </c>
      <c r="P733" s="1">
        <v>0.14000000000000001</v>
      </c>
      <c r="Q733" s="1">
        <v>6580.62</v>
      </c>
      <c r="R733" s="1">
        <v>3908.06</v>
      </c>
      <c r="S733" s="1">
        <f t="shared" si="23"/>
        <v>2672.56</v>
      </c>
      <c r="T733" s="1" t="s">
        <v>876</v>
      </c>
      <c r="U733" s="1" t="s">
        <v>879</v>
      </c>
      <c r="V733" s="5" t="s">
        <v>882</v>
      </c>
    </row>
    <row r="734" spans="1:22" x14ac:dyDescent="0.3">
      <c r="A734" s="4" t="s">
        <v>206</v>
      </c>
      <c r="B734" s="3">
        <v>45569</v>
      </c>
      <c r="C734" s="1" t="str">
        <f t="shared" si="22"/>
        <v>October</v>
      </c>
      <c r="D734" s="1" t="s">
        <v>330</v>
      </c>
      <c r="E734" s="1" t="s">
        <v>690</v>
      </c>
      <c r="F734" s="1" t="s">
        <v>803</v>
      </c>
      <c r="G734" s="1" t="s">
        <v>807</v>
      </c>
      <c r="H734" s="1" t="s">
        <v>808</v>
      </c>
      <c r="I734" s="1" t="s">
        <v>815</v>
      </c>
      <c r="J734" s="1" t="s">
        <v>818</v>
      </c>
      <c r="K734" s="1" t="s">
        <v>821</v>
      </c>
      <c r="L734" s="1" t="s">
        <v>858</v>
      </c>
      <c r="M734" s="1">
        <v>8.32</v>
      </c>
      <c r="N734" s="1">
        <v>2009.25</v>
      </c>
      <c r="O734" s="1">
        <v>15102.52</v>
      </c>
      <c r="P734" s="1">
        <v>0.05</v>
      </c>
      <c r="Q734" s="1">
        <v>15446.77</v>
      </c>
      <c r="R734" s="1">
        <v>13253.75</v>
      </c>
      <c r="S734" s="1">
        <f t="shared" si="23"/>
        <v>2193.0200000000004</v>
      </c>
      <c r="T734" s="1" t="s">
        <v>874</v>
      </c>
      <c r="U734" s="1" t="s">
        <v>878</v>
      </c>
      <c r="V734" s="5" t="s">
        <v>883</v>
      </c>
    </row>
    <row r="735" spans="1:22" x14ac:dyDescent="0.3">
      <c r="A735" s="4" t="s">
        <v>275</v>
      </c>
      <c r="B735" s="3">
        <v>45493</v>
      </c>
      <c r="C735" s="1" t="str">
        <f t="shared" si="22"/>
        <v>July</v>
      </c>
      <c r="D735" s="1" t="s">
        <v>415</v>
      </c>
      <c r="E735" s="1" t="s">
        <v>758</v>
      </c>
      <c r="F735" s="1" t="s">
        <v>803</v>
      </c>
      <c r="G735" s="1" t="s">
        <v>805</v>
      </c>
      <c r="H735" s="1" t="s">
        <v>811</v>
      </c>
      <c r="I735" s="1" t="s">
        <v>814</v>
      </c>
      <c r="J735" s="1" t="s">
        <v>817</v>
      </c>
      <c r="K735" s="1" t="s">
        <v>820</v>
      </c>
      <c r="L735" s="1" t="s">
        <v>833</v>
      </c>
      <c r="M735" s="1">
        <v>7.84</v>
      </c>
      <c r="N735" s="1">
        <v>2132.29</v>
      </c>
      <c r="O735" s="1">
        <v>18459.34</v>
      </c>
      <c r="P735" s="1">
        <v>0.11</v>
      </c>
      <c r="Q735" s="1">
        <v>15636.04</v>
      </c>
      <c r="R735" s="1">
        <v>12507.24</v>
      </c>
      <c r="S735" s="1">
        <f t="shared" si="23"/>
        <v>3128.8000000000011</v>
      </c>
      <c r="T735" s="1" t="s">
        <v>876</v>
      </c>
      <c r="U735" s="1" t="s">
        <v>878</v>
      </c>
      <c r="V735" s="5" t="s">
        <v>882</v>
      </c>
    </row>
    <row r="736" spans="1:22" x14ac:dyDescent="0.3">
      <c r="A736" s="4" t="s">
        <v>136</v>
      </c>
      <c r="B736" s="3">
        <v>45605</v>
      </c>
      <c r="C736" s="1" t="str">
        <f t="shared" si="22"/>
        <v>November</v>
      </c>
      <c r="D736" s="1" t="s">
        <v>393</v>
      </c>
      <c r="E736" s="1" t="s">
        <v>621</v>
      </c>
      <c r="F736" s="1" t="s">
        <v>802</v>
      </c>
      <c r="G736" s="1" t="s">
        <v>806</v>
      </c>
      <c r="H736" s="1" t="s">
        <v>809</v>
      </c>
      <c r="I736" s="1" t="s">
        <v>813</v>
      </c>
      <c r="J736" s="1" t="s">
        <v>817</v>
      </c>
      <c r="K736" s="1" t="s">
        <v>822</v>
      </c>
      <c r="L736" s="1" t="s">
        <v>857</v>
      </c>
      <c r="M736" s="1">
        <v>10.18</v>
      </c>
      <c r="N736" s="1">
        <v>843.38</v>
      </c>
      <c r="O736" s="1">
        <v>7940.77</v>
      </c>
      <c r="P736" s="1">
        <v>0</v>
      </c>
      <c r="Q736" s="1">
        <v>8364</v>
      </c>
      <c r="R736" s="1">
        <v>5835.5</v>
      </c>
      <c r="S736" s="1">
        <f t="shared" si="23"/>
        <v>2528.5</v>
      </c>
      <c r="T736" s="1" t="s">
        <v>876</v>
      </c>
      <c r="U736" s="1" t="s">
        <v>877</v>
      </c>
      <c r="V736" s="5" t="s">
        <v>884</v>
      </c>
    </row>
    <row r="737" spans="1:22" x14ac:dyDescent="0.3">
      <c r="A737" s="4" t="s">
        <v>239</v>
      </c>
      <c r="B737" s="3">
        <v>45508</v>
      </c>
      <c r="C737" s="1" t="str">
        <f t="shared" si="22"/>
        <v>August</v>
      </c>
      <c r="D737" s="1" t="s">
        <v>409</v>
      </c>
      <c r="E737" s="1" t="s">
        <v>722</v>
      </c>
      <c r="F737" s="1" t="s">
        <v>801</v>
      </c>
      <c r="G737" s="1" t="s">
        <v>806</v>
      </c>
      <c r="H737" s="1" t="s">
        <v>809</v>
      </c>
      <c r="I737" s="1" t="s">
        <v>813</v>
      </c>
      <c r="J737" s="1" t="s">
        <v>818</v>
      </c>
      <c r="K737" s="1" t="s">
        <v>821</v>
      </c>
      <c r="L737" s="1" t="s">
        <v>844</v>
      </c>
      <c r="M737" s="1">
        <v>9.3800000000000008</v>
      </c>
      <c r="N737" s="1">
        <v>1866.29</v>
      </c>
      <c r="O737" s="1">
        <v>15928.59</v>
      </c>
      <c r="P737" s="1">
        <v>0.05</v>
      </c>
      <c r="Q737" s="1">
        <v>13540.34</v>
      </c>
      <c r="R737" s="1">
        <v>9230.1</v>
      </c>
      <c r="S737" s="1">
        <f t="shared" si="23"/>
        <v>4310.24</v>
      </c>
      <c r="T737" s="1" t="s">
        <v>873</v>
      </c>
      <c r="U737" s="1" t="s">
        <v>880</v>
      </c>
      <c r="V737" s="5" t="s">
        <v>882</v>
      </c>
    </row>
    <row r="738" spans="1:22" x14ac:dyDescent="0.3">
      <c r="A738" s="4" t="s">
        <v>207</v>
      </c>
      <c r="B738" s="3">
        <v>45362</v>
      </c>
      <c r="C738" s="1" t="str">
        <f t="shared" si="22"/>
        <v>March</v>
      </c>
      <c r="D738" s="1" t="s">
        <v>483</v>
      </c>
      <c r="E738" s="1" t="s">
        <v>691</v>
      </c>
      <c r="F738" s="1" t="s">
        <v>802</v>
      </c>
      <c r="G738" s="1" t="s">
        <v>805</v>
      </c>
      <c r="H738" s="1" t="s">
        <v>809</v>
      </c>
      <c r="I738" s="1" t="s">
        <v>813</v>
      </c>
      <c r="J738" s="1" t="s">
        <v>818</v>
      </c>
      <c r="K738" s="1" t="s">
        <v>821</v>
      </c>
      <c r="L738" s="1" t="s">
        <v>831</v>
      </c>
      <c r="M738" s="1">
        <v>5.72</v>
      </c>
      <c r="N738" s="1">
        <v>2248.39</v>
      </c>
      <c r="O738" s="1">
        <v>11094.18</v>
      </c>
      <c r="P738" s="1">
        <v>0</v>
      </c>
      <c r="Q738" s="1">
        <v>13135.67</v>
      </c>
      <c r="R738" s="1">
        <v>9283.84</v>
      </c>
      <c r="S738" s="1">
        <f t="shared" si="23"/>
        <v>3851.83</v>
      </c>
      <c r="T738" s="1" t="s">
        <v>873</v>
      </c>
      <c r="U738" s="1" t="s">
        <v>879</v>
      </c>
      <c r="V738" s="5" t="s">
        <v>883</v>
      </c>
    </row>
    <row r="739" spans="1:22" x14ac:dyDescent="0.3">
      <c r="A739" s="4" t="s">
        <v>265</v>
      </c>
      <c r="B739" s="3">
        <v>45340</v>
      </c>
      <c r="C739" s="1" t="str">
        <f t="shared" si="22"/>
        <v>February</v>
      </c>
      <c r="D739" s="1" t="s">
        <v>387</v>
      </c>
      <c r="E739" s="1" t="s">
        <v>748</v>
      </c>
      <c r="F739" s="1" t="s">
        <v>803</v>
      </c>
      <c r="G739" s="1" t="s">
        <v>807</v>
      </c>
      <c r="H739" s="1" t="s">
        <v>811</v>
      </c>
      <c r="I739" s="1" t="s">
        <v>813</v>
      </c>
      <c r="J739" s="1" t="s">
        <v>817</v>
      </c>
      <c r="K739" s="1" t="s">
        <v>821</v>
      </c>
      <c r="L739" s="1" t="s">
        <v>869</v>
      </c>
      <c r="M739" s="1">
        <v>4.24</v>
      </c>
      <c r="N739" s="1">
        <v>724.87</v>
      </c>
      <c r="O739" s="1">
        <v>3300.18</v>
      </c>
      <c r="P739" s="1">
        <v>0.16</v>
      </c>
      <c r="Q739" s="1">
        <v>2589.59</v>
      </c>
      <c r="R739" s="1">
        <v>1842.9</v>
      </c>
      <c r="S739" s="1">
        <f t="shared" si="23"/>
        <v>746.69</v>
      </c>
      <c r="T739" s="1" t="s">
        <v>876</v>
      </c>
      <c r="U739" s="1" t="s">
        <v>881</v>
      </c>
      <c r="V739" s="5" t="s">
        <v>884</v>
      </c>
    </row>
    <row r="740" spans="1:22" x14ac:dyDescent="0.3">
      <c r="A740" s="4" t="s">
        <v>309</v>
      </c>
      <c r="B740" s="3">
        <v>45567</v>
      </c>
      <c r="C740" s="1" t="str">
        <f t="shared" si="22"/>
        <v>October</v>
      </c>
      <c r="D740" s="1" t="s">
        <v>320</v>
      </c>
      <c r="E740" s="1" t="s">
        <v>791</v>
      </c>
      <c r="F740" s="1" t="s">
        <v>803</v>
      </c>
      <c r="G740" s="1" t="s">
        <v>806</v>
      </c>
      <c r="H740" s="1" t="s">
        <v>812</v>
      </c>
      <c r="I740" s="1" t="s">
        <v>809</v>
      </c>
      <c r="J740" s="1" t="s">
        <v>818</v>
      </c>
      <c r="K740" s="1" t="s">
        <v>820</v>
      </c>
      <c r="L740" s="1" t="s">
        <v>834</v>
      </c>
      <c r="M740" s="1">
        <v>7.12</v>
      </c>
      <c r="N740" s="1">
        <v>1116.97</v>
      </c>
      <c r="O740" s="1">
        <v>7117.03</v>
      </c>
      <c r="P740" s="1">
        <v>0.12</v>
      </c>
      <c r="Q740" s="1">
        <v>6082.64</v>
      </c>
      <c r="R740" s="1">
        <v>5127.55</v>
      </c>
      <c r="S740" s="1">
        <f t="shared" si="23"/>
        <v>955.09000000000015</v>
      </c>
      <c r="T740" s="1" t="s">
        <v>876</v>
      </c>
      <c r="U740" s="1" t="s">
        <v>879</v>
      </c>
      <c r="V740" s="5" t="s">
        <v>884</v>
      </c>
    </row>
    <row r="741" spans="1:22" x14ac:dyDescent="0.3">
      <c r="A741" s="4" t="s">
        <v>124</v>
      </c>
      <c r="B741" s="3">
        <v>45618</v>
      </c>
      <c r="C741" s="1" t="str">
        <f t="shared" si="22"/>
        <v>November</v>
      </c>
      <c r="D741" s="1" t="s">
        <v>426</v>
      </c>
      <c r="E741" s="1" t="s">
        <v>609</v>
      </c>
      <c r="F741" s="1" t="s">
        <v>801</v>
      </c>
      <c r="G741" s="1" t="s">
        <v>805</v>
      </c>
      <c r="H741" s="1" t="s">
        <v>812</v>
      </c>
      <c r="I741" s="1" t="s">
        <v>814</v>
      </c>
      <c r="J741" s="1" t="s">
        <v>819</v>
      </c>
      <c r="K741" s="1" t="s">
        <v>820</v>
      </c>
      <c r="L741" s="1" t="s">
        <v>830</v>
      </c>
      <c r="M741" s="1">
        <v>5.09</v>
      </c>
      <c r="N741" s="1">
        <v>1149.1400000000001</v>
      </c>
      <c r="O741" s="1">
        <v>6662.11</v>
      </c>
      <c r="P741" s="1">
        <v>0.16</v>
      </c>
      <c r="Q741" s="1">
        <v>4777.71</v>
      </c>
      <c r="R741" s="1">
        <v>3072.83</v>
      </c>
      <c r="S741" s="1">
        <f t="shared" si="23"/>
        <v>1704.88</v>
      </c>
      <c r="T741" s="1" t="s">
        <v>874</v>
      </c>
      <c r="U741" s="1" t="s">
        <v>878</v>
      </c>
      <c r="V741" s="5" t="s">
        <v>883</v>
      </c>
    </row>
    <row r="742" spans="1:22" x14ac:dyDescent="0.3">
      <c r="A742" s="4" t="s">
        <v>256</v>
      </c>
      <c r="B742" s="3">
        <v>45396</v>
      </c>
      <c r="C742" s="1" t="str">
        <f t="shared" si="22"/>
        <v>April</v>
      </c>
      <c r="D742" s="1" t="s">
        <v>372</v>
      </c>
      <c r="E742" s="1" t="s">
        <v>739</v>
      </c>
      <c r="F742" s="1" t="s">
        <v>802</v>
      </c>
      <c r="G742" s="1" t="s">
        <v>805</v>
      </c>
      <c r="H742" s="1" t="s">
        <v>810</v>
      </c>
      <c r="I742" s="1" t="s">
        <v>809</v>
      </c>
      <c r="J742" s="1" t="s">
        <v>818</v>
      </c>
      <c r="K742" s="1" t="s">
        <v>821</v>
      </c>
      <c r="L742" s="1" t="s">
        <v>855</v>
      </c>
      <c r="M742" s="1">
        <v>2.88</v>
      </c>
      <c r="N742" s="1">
        <v>1772.99</v>
      </c>
      <c r="O742" s="1">
        <v>5326.16</v>
      </c>
      <c r="P742" s="1">
        <v>0</v>
      </c>
      <c r="Q742" s="1">
        <v>4897.71</v>
      </c>
      <c r="R742" s="1">
        <v>3011.46</v>
      </c>
      <c r="S742" s="1">
        <f t="shared" si="23"/>
        <v>1886.25</v>
      </c>
      <c r="T742" s="1" t="s">
        <v>875</v>
      </c>
      <c r="U742" s="1" t="s">
        <v>878</v>
      </c>
      <c r="V742" s="5" t="s">
        <v>882</v>
      </c>
    </row>
    <row r="743" spans="1:22" x14ac:dyDescent="0.3">
      <c r="A743" s="4" t="s">
        <v>164</v>
      </c>
      <c r="B743" s="3">
        <v>45585</v>
      </c>
      <c r="C743" s="1" t="str">
        <f t="shared" si="22"/>
        <v>October</v>
      </c>
      <c r="D743" s="1" t="s">
        <v>471</v>
      </c>
      <c r="E743" s="1" t="s">
        <v>649</v>
      </c>
      <c r="F743" s="1" t="s">
        <v>802</v>
      </c>
      <c r="G743" s="1" t="s">
        <v>805</v>
      </c>
      <c r="H743" s="1" t="s">
        <v>808</v>
      </c>
      <c r="I743" s="1" t="s">
        <v>814</v>
      </c>
      <c r="J743" s="1" t="s">
        <v>818</v>
      </c>
      <c r="K743" s="1" t="s">
        <v>820</v>
      </c>
      <c r="L743" s="1" t="s">
        <v>832</v>
      </c>
      <c r="M743" s="1">
        <v>11.79</v>
      </c>
      <c r="N743" s="1">
        <v>1517.64</v>
      </c>
      <c r="O743" s="1">
        <v>16695</v>
      </c>
      <c r="P743" s="1">
        <v>0</v>
      </c>
      <c r="Q743" s="1">
        <v>17138.669999999998</v>
      </c>
      <c r="R743" s="1">
        <v>15664.95</v>
      </c>
      <c r="S743" s="1">
        <f t="shared" si="23"/>
        <v>1473.7199999999975</v>
      </c>
      <c r="T743" s="1" t="s">
        <v>876</v>
      </c>
      <c r="U743" s="1" t="s">
        <v>879</v>
      </c>
      <c r="V743" s="5" t="s">
        <v>884</v>
      </c>
    </row>
    <row r="744" spans="1:22" x14ac:dyDescent="0.3">
      <c r="A744" s="4" t="s">
        <v>64</v>
      </c>
      <c r="B744" s="3">
        <v>45306</v>
      </c>
      <c r="C744" s="1" t="str">
        <f t="shared" si="22"/>
        <v>January</v>
      </c>
      <c r="D744" s="1" t="s">
        <v>450</v>
      </c>
      <c r="E744" s="1" t="s">
        <v>549</v>
      </c>
      <c r="F744" s="1" t="s">
        <v>802</v>
      </c>
      <c r="G744" s="1" t="s">
        <v>805</v>
      </c>
      <c r="H744" s="1" t="s">
        <v>811</v>
      </c>
      <c r="I744" s="1" t="s">
        <v>814</v>
      </c>
      <c r="J744" s="1" t="s">
        <v>817</v>
      </c>
      <c r="K744" s="1" t="s">
        <v>821</v>
      </c>
      <c r="L744" s="1" t="s">
        <v>839</v>
      </c>
      <c r="M744" s="1">
        <v>12.26</v>
      </c>
      <c r="N744" s="1">
        <v>1573.09</v>
      </c>
      <c r="O744" s="1">
        <v>15432.33</v>
      </c>
      <c r="P744" s="1">
        <v>0.05</v>
      </c>
      <c r="Q744" s="1">
        <v>14853.3</v>
      </c>
      <c r="R744" s="1">
        <v>14290.39</v>
      </c>
      <c r="S744" s="1">
        <f t="shared" si="23"/>
        <v>562.90999999999985</v>
      </c>
      <c r="T744" s="1" t="s">
        <v>873</v>
      </c>
      <c r="U744" s="1" t="s">
        <v>877</v>
      </c>
      <c r="V744" s="5" t="s">
        <v>883</v>
      </c>
    </row>
    <row r="745" spans="1:22" x14ac:dyDescent="0.3">
      <c r="A745" s="4" t="s">
        <v>195</v>
      </c>
      <c r="B745" s="3">
        <v>45397</v>
      </c>
      <c r="C745" s="1" t="str">
        <f t="shared" si="22"/>
        <v>April</v>
      </c>
      <c r="D745" s="1" t="s">
        <v>412</v>
      </c>
      <c r="E745" s="1" t="s">
        <v>679</v>
      </c>
      <c r="F745" s="1" t="s">
        <v>803</v>
      </c>
      <c r="G745" s="1" t="s">
        <v>807</v>
      </c>
      <c r="H745" s="1" t="s">
        <v>810</v>
      </c>
      <c r="I745" s="1" t="s">
        <v>814</v>
      </c>
      <c r="J745" s="1" t="s">
        <v>817</v>
      </c>
      <c r="K745" s="1" t="s">
        <v>821</v>
      </c>
      <c r="L745" s="1" t="s">
        <v>829</v>
      </c>
      <c r="M745" s="1">
        <v>11.06</v>
      </c>
      <c r="N745" s="1">
        <v>1835.73</v>
      </c>
      <c r="O745" s="1">
        <v>24013.94</v>
      </c>
      <c r="P745" s="1">
        <v>0.05</v>
      </c>
      <c r="Q745" s="1">
        <v>18773.400000000001</v>
      </c>
      <c r="R745" s="1">
        <v>13730.67</v>
      </c>
      <c r="S745" s="1">
        <f t="shared" si="23"/>
        <v>5042.7300000000014</v>
      </c>
      <c r="T745" s="1" t="s">
        <v>874</v>
      </c>
      <c r="U745" s="1" t="s">
        <v>880</v>
      </c>
      <c r="V745" s="5" t="s">
        <v>882</v>
      </c>
    </row>
    <row r="746" spans="1:22" x14ac:dyDescent="0.3">
      <c r="A746" s="4" t="s">
        <v>317</v>
      </c>
      <c r="B746" s="3">
        <v>45420</v>
      </c>
      <c r="C746" s="1" t="str">
        <f t="shared" si="22"/>
        <v>May</v>
      </c>
      <c r="D746" s="1" t="s">
        <v>420</v>
      </c>
      <c r="E746" s="1" t="s">
        <v>799</v>
      </c>
      <c r="F746" s="1" t="s">
        <v>801</v>
      </c>
      <c r="G746" s="1" t="s">
        <v>805</v>
      </c>
      <c r="H746" s="1" t="s">
        <v>809</v>
      </c>
      <c r="I746" s="1" t="s">
        <v>813</v>
      </c>
      <c r="J746" s="1" t="s">
        <v>818</v>
      </c>
      <c r="K746" s="1" t="s">
        <v>820</v>
      </c>
      <c r="L746" s="1" t="s">
        <v>830</v>
      </c>
      <c r="M746" s="1">
        <v>6.22</v>
      </c>
      <c r="N746" s="1">
        <v>935.5</v>
      </c>
      <c r="O746" s="1">
        <v>5829.85</v>
      </c>
      <c r="P746" s="1">
        <v>0</v>
      </c>
      <c r="Q746" s="1">
        <v>4978.43</v>
      </c>
      <c r="R746" s="1">
        <v>4898.16</v>
      </c>
      <c r="S746" s="1">
        <f t="shared" si="23"/>
        <v>80.270000000000437</v>
      </c>
      <c r="T746" s="1" t="s">
        <v>873</v>
      </c>
      <c r="U746" s="1" t="s">
        <v>879</v>
      </c>
      <c r="V746" s="5" t="s">
        <v>882</v>
      </c>
    </row>
    <row r="747" spans="1:22" x14ac:dyDescent="0.3">
      <c r="A747" s="4" t="s">
        <v>237</v>
      </c>
      <c r="B747" s="3">
        <v>45546</v>
      </c>
      <c r="C747" s="1" t="str">
        <f t="shared" si="22"/>
        <v>September</v>
      </c>
      <c r="D747" s="1" t="s">
        <v>350</v>
      </c>
      <c r="E747" s="1" t="s">
        <v>720</v>
      </c>
      <c r="F747" s="1" t="s">
        <v>802</v>
      </c>
      <c r="G747" s="1" t="s">
        <v>806</v>
      </c>
      <c r="H747" s="1" t="s">
        <v>809</v>
      </c>
      <c r="I747" s="1" t="s">
        <v>815</v>
      </c>
      <c r="J747" s="1" t="s">
        <v>819</v>
      </c>
      <c r="K747" s="1" t="s">
        <v>820</v>
      </c>
      <c r="L747" s="1" t="s">
        <v>847</v>
      </c>
      <c r="M747" s="1">
        <v>5.68</v>
      </c>
      <c r="N747" s="1">
        <v>3896.87</v>
      </c>
      <c r="O747" s="1">
        <v>18333.43</v>
      </c>
      <c r="P747" s="1">
        <v>0.05</v>
      </c>
      <c r="Q747" s="1">
        <v>20874.27</v>
      </c>
      <c r="R747" s="1">
        <v>15291.44</v>
      </c>
      <c r="S747" s="1">
        <f t="shared" si="23"/>
        <v>5582.83</v>
      </c>
      <c r="T747" s="1" t="s">
        <v>875</v>
      </c>
      <c r="U747" s="1" t="s">
        <v>881</v>
      </c>
      <c r="V747" s="5" t="s">
        <v>882</v>
      </c>
    </row>
    <row r="748" spans="1:22" x14ac:dyDescent="0.3">
      <c r="A748" s="4" t="s">
        <v>141</v>
      </c>
      <c r="B748" s="3">
        <v>45422</v>
      </c>
      <c r="C748" s="1" t="str">
        <f t="shared" si="22"/>
        <v>May</v>
      </c>
      <c r="D748" s="1" t="s">
        <v>420</v>
      </c>
      <c r="E748" s="1" t="s">
        <v>626</v>
      </c>
      <c r="F748" s="1" t="s">
        <v>801</v>
      </c>
      <c r="G748" s="1" t="s">
        <v>807</v>
      </c>
      <c r="H748" s="1" t="s">
        <v>812</v>
      </c>
      <c r="I748" s="1" t="s">
        <v>814</v>
      </c>
      <c r="J748" s="1" t="s">
        <v>817</v>
      </c>
      <c r="K748" s="1" t="s">
        <v>822</v>
      </c>
      <c r="L748" s="1" t="s">
        <v>854</v>
      </c>
      <c r="M748" s="1">
        <v>10.92</v>
      </c>
      <c r="N748" s="1">
        <v>435.06</v>
      </c>
      <c r="O748" s="1">
        <v>5813.46</v>
      </c>
      <c r="P748" s="1">
        <v>0</v>
      </c>
      <c r="Q748" s="1">
        <v>5544.2</v>
      </c>
      <c r="R748" s="1">
        <v>3130.88</v>
      </c>
      <c r="S748" s="1">
        <f t="shared" si="23"/>
        <v>2413.3199999999997</v>
      </c>
      <c r="T748" s="1" t="s">
        <v>876</v>
      </c>
      <c r="U748" s="1" t="s">
        <v>879</v>
      </c>
      <c r="V748" s="5" t="s">
        <v>884</v>
      </c>
    </row>
    <row r="749" spans="1:22" x14ac:dyDescent="0.3">
      <c r="A749" s="4" t="s">
        <v>166</v>
      </c>
      <c r="B749" s="3">
        <v>45563</v>
      </c>
      <c r="C749" s="1" t="str">
        <f t="shared" si="22"/>
        <v>September</v>
      </c>
      <c r="D749" s="1" t="s">
        <v>472</v>
      </c>
      <c r="E749" s="1" t="s">
        <v>651</v>
      </c>
      <c r="F749" s="1" t="s">
        <v>803</v>
      </c>
      <c r="G749" s="1" t="s">
        <v>806</v>
      </c>
      <c r="H749" s="1" t="s">
        <v>811</v>
      </c>
      <c r="I749" s="1" t="s">
        <v>816</v>
      </c>
      <c r="J749" s="1" t="s">
        <v>819</v>
      </c>
      <c r="K749" s="1" t="s">
        <v>821</v>
      </c>
      <c r="L749" s="1" t="s">
        <v>847</v>
      </c>
      <c r="M749" s="1">
        <v>2.0299999999999998</v>
      </c>
      <c r="N749" s="1">
        <v>1329.17</v>
      </c>
      <c r="O749" s="1">
        <v>2864.34</v>
      </c>
      <c r="P749" s="1">
        <v>0.05</v>
      </c>
      <c r="Q749" s="1">
        <v>2680.17</v>
      </c>
      <c r="R749" s="1">
        <v>2123.1799999999998</v>
      </c>
      <c r="S749" s="1">
        <f t="shared" si="23"/>
        <v>556.99000000000024</v>
      </c>
      <c r="T749" s="1" t="s">
        <v>876</v>
      </c>
      <c r="U749" s="1" t="s">
        <v>877</v>
      </c>
      <c r="V749" s="5" t="s">
        <v>883</v>
      </c>
    </row>
    <row r="750" spans="1:22" x14ac:dyDescent="0.3">
      <c r="A750" s="4" t="s">
        <v>243</v>
      </c>
      <c r="B750" s="3">
        <v>45478</v>
      </c>
      <c r="C750" s="1" t="str">
        <f t="shared" si="22"/>
        <v>July</v>
      </c>
      <c r="D750" s="1" t="s">
        <v>484</v>
      </c>
      <c r="E750" s="1" t="s">
        <v>726</v>
      </c>
      <c r="F750" s="1" t="s">
        <v>803</v>
      </c>
      <c r="G750" s="1" t="s">
        <v>805</v>
      </c>
      <c r="H750" s="1" t="s">
        <v>810</v>
      </c>
      <c r="I750" s="1" t="s">
        <v>809</v>
      </c>
      <c r="J750" s="1" t="s">
        <v>819</v>
      </c>
      <c r="K750" s="1" t="s">
        <v>822</v>
      </c>
      <c r="L750" s="1" t="s">
        <v>831</v>
      </c>
      <c r="M750" s="1">
        <v>3.8</v>
      </c>
      <c r="N750" s="1">
        <v>2075.13</v>
      </c>
      <c r="O750" s="1">
        <v>8633</v>
      </c>
      <c r="P750" s="1">
        <v>0.09</v>
      </c>
      <c r="Q750" s="1">
        <v>7566.13</v>
      </c>
      <c r="R750" s="1">
        <v>4540.3999999999996</v>
      </c>
      <c r="S750" s="1">
        <f t="shared" si="23"/>
        <v>3025.7300000000005</v>
      </c>
      <c r="T750" s="1" t="s">
        <v>873</v>
      </c>
      <c r="U750" s="1" t="s">
        <v>877</v>
      </c>
      <c r="V750" s="5" t="s">
        <v>884</v>
      </c>
    </row>
    <row r="751" spans="1:22" x14ac:dyDescent="0.3">
      <c r="A751" s="4" t="s">
        <v>182</v>
      </c>
      <c r="B751" s="3">
        <v>45433</v>
      </c>
      <c r="C751" s="1" t="str">
        <f t="shared" si="22"/>
        <v>May</v>
      </c>
      <c r="D751" s="1" t="s">
        <v>477</v>
      </c>
      <c r="E751" s="1" t="s">
        <v>666</v>
      </c>
      <c r="F751" s="1" t="s">
        <v>801</v>
      </c>
      <c r="G751" s="1" t="s">
        <v>806</v>
      </c>
      <c r="H751" s="1" t="s">
        <v>811</v>
      </c>
      <c r="I751" s="1" t="s">
        <v>814</v>
      </c>
      <c r="J751" s="1" t="s">
        <v>819</v>
      </c>
      <c r="K751" s="1" t="s">
        <v>820</v>
      </c>
      <c r="L751" s="1" t="s">
        <v>865</v>
      </c>
      <c r="M751" s="1">
        <v>1</v>
      </c>
      <c r="N751" s="1">
        <v>1357.75</v>
      </c>
      <c r="O751" s="1">
        <v>1224.48</v>
      </c>
      <c r="P751" s="1">
        <v>0</v>
      </c>
      <c r="Q751" s="1">
        <v>1314.85</v>
      </c>
      <c r="R751" s="1">
        <v>981.97</v>
      </c>
      <c r="S751" s="1">
        <f t="shared" si="23"/>
        <v>332.87999999999988</v>
      </c>
      <c r="T751" s="1" t="s">
        <v>875</v>
      </c>
      <c r="U751" s="1" t="s">
        <v>878</v>
      </c>
      <c r="V751" s="5" t="s">
        <v>883</v>
      </c>
    </row>
    <row r="752" spans="1:22" x14ac:dyDescent="0.3">
      <c r="A752" s="4" t="s">
        <v>103</v>
      </c>
      <c r="B752" s="3">
        <v>45299</v>
      </c>
      <c r="C752" s="1" t="str">
        <f t="shared" si="22"/>
        <v>January</v>
      </c>
      <c r="D752" s="1" t="s">
        <v>345</v>
      </c>
      <c r="E752" s="1" t="s">
        <v>588</v>
      </c>
      <c r="F752" s="1" t="s">
        <v>802</v>
      </c>
      <c r="G752" s="1" t="s">
        <v>807</v>
      </c>
      <c r="H752" s="1" t="s">
        <v>811</v>
      </c>
      <c r="I752" s="1" t="s">
        <v>815</v>
      </c>
      <c r="J752" s="1" t="s">
        <v>817</v>
      </c>
      <c r="K752" s="1" t="s">
        <v>820</v>
      </c>
      <c r="L752" s="1" t="s">
        <v>848</v>
      </c>
      <c r="M752" s="1">
        <v>3.62</v>
      </c>
      <c r="N752" s="1">
        <v>2720.65</v>
      </c>
      <c r="O752" s="1">
        <v>9898.09</v>
      </c>
      <c r="P752" s="1">
        <v>0.16</v>
      </c>
      <c r="Q752" s="1">
        <v>8594.98</v>
      </c>
      <c r="R752" s="1">
        <v>5431.77</v>
      </c>
      <c r="S752" s="1">
        <f t="shared" si="23"/>
        <v>3163.2099999999991</v>
      </c>
      <c r="T752" s="1" t="s">
        <v>874</v>
      </c>
      <c r="U752" s="1" t="s">
        <v>881</v>
      </c>
      <c r="V752" s="5" t="s">
        <v>883</v>
      </c>
    </row>
    <row r="753" spans="1:22" x14ac:dyDescent="0.3">
      <c r="A753" s="4" t="s">
        <v>145</v>
      </c>
      <c r="B753" s="3">
        <v>45335</v>
      </c>
      <c r="C753" s="1" t="str">
        <f t="shared" si="22"/>
        <v>February</v>
      </c>
      <c r="D753" s="1" t="s">
        <v>380</v>
      </c>
      <c r="E753" s="1" t="s">
        <v>630</v>
      </c>
      <c r="F753" s="1" t="s">
        <v>801</v>
      </c>
      <c r="G753" s="1" t="s">
        <v>804</v>
      </c>
      <c r="H753" s="1" t="s">
        <v>811</v>
      </c>
      <c r="I753" s="1" t="s">
        <v>816</v>
      </c>
      <c r="J753" s="1" t="s">
        <v>818</v>
      </c>
      <c r="K753" s="1" t="s">
        <v>820</v>
      </c>
      <c r="L753" s="1" t="s">
        <v>844</v>
      </c>
      <c r="M753" s="1">
        <v>9.49</v>
      </c>
      <c r="N753" s="1">
        <v>2070.77</v>
      </c>
      <c r="O753" s="1">
        <v>15919.22</v>
      </c>
      <c r="P753" s="1">
        <v>0.16</v>
      </c>
      <c r="Q753" s="1">
        <v>15259.08</v>
      </c>
      <c r="R753" s="1">
        <v>9271.33</v>
      </c>
      <c r="S753" s="1">
        <f t="shared" si="23"/>
        <v>5987.75</v>
      </c>
      <c r="T753" s="1" t="s">
        <v>876</v>
      </c>
      <c r="U753" s="1" t="s">
        <v>878</v>
      </c>
      <c r="V753" s="5" t="s">
        <v>884</v>
      </c>
    </row>
    <row r="754" spans="1:22" x14ac:dyDescent="0.3">
      <c r="A754" s="4" t="s">
        <v>216</v>
      </c>
      <c r="B754" s="3">
        <v>45562</v>
      </c>
      <c r="C754" s="1" t="str">
        <f t="shared" si="22"/>
        <v>September</v>
      </c>
      <c r="D754" s="1" t="s">
        <v>321</v>
      </c>
      <c r="E754" s="1" t="s">
        <v>699</v>
      </c>
      <c r="F754" s="1" t="s">
        <v>802</v>
      </c>
      <c r="G754" s="1" t="s">
        <v>805</v>
      </c>
      <c r="H754" s="1" t="s">
        <v>812</v>
      </c>
      <c r="I754" s="1" t="s">
        <v>814</v>
      </c>
      <c r="J754" s="1" t="s">
        <v>819</v>
      </c>
      <c r="K754" s="1" t="s">
        <v>822</v>
      </c>
      <c r="L754" s="1" t="s">
        <v>836</v>
      </c>
      <c r="M754" s="1">
        <v>5.38</v>
      </c>
      <c r="N754" s="1">
        <v>3170.53</v>
      </c>
      <c r="O754" s="1">
        <v>17199.05</v>
      </c>
      <c r="P754" s="1">
        <v>0</v>
      </c>
      <c r="Q754" s="1">
        <v>17099.830000000002</v>
      </c>
      <c r="R754" s="1">
        <v>9901.23</v>
      </c>
      <c r="S754" s="1">
        <f t="shared" si="23"/>
        <v>7198.6000000000022</v>
      </c>
      <c r="T754" s="1" t="s">
        <v>874</v>
      </c>
      <c r="U754" s="1" t="s">
        <v>877</v>
      </c>
      <c r="V754" s="5" t="s">
        <v>884</v>
      </c>
    </row>
    <row r="755" spans="1:22" x14ac:dyDescent="0.3">
      <c r="A755" s="4" t="s">
        <v>91</v>
      </c>
      <c r="B755" s="3">
        <v>45366</v>
      </c>
      <c r="C755" s="1" t="str">
        <f t="shared" si="22"/>
        <v>March</v>
      </c>
      <c r="D755" s="1" t="s">
        <v>324</v>
      </c>
      <c r="E755" s="1" t="s">
        <v>576</v>
      </c>
      <c r="F755" s="1" t="s">
        <v>801</v>
      </c>
      <c r="G755" s="1" t="s">
        <v>805</v>
      </c>
      <c r="H755" s="1" t="s">
        <v>810</v>
      </c>
      <c r="I755" s="1" t="s">
        <v>815</v>
      </c>
      <c r="J755" s="1" t="s">
        <v>817</v>
      </c>
      <c r="K755" s="1" t="s">
        <v>820</v>
      </c>
      <c r="L755" s="1" t="s">
        <v>841</v>
      </c>
      <c r="M755" s="1">
        <v>4.67</v>
      </c>
      <c r="N755" s="1">
        <v>966.91</v>
      </c>
      <c r="O755" s="1">
        <v>4725.6000000000004</v>
      </c>
      <c r="P755" s="1">
        <v>0.05</v>
      </c>
      <c r="Q755" s="1">
        <v>4706.04</v>
      </c>
      <c r="R755" s="1">
        <v>3576.69</v>
      </c>
      <c r="S755" s="1">
        <f t="shared" si="23"/>
        <v>1129.3499999999999</v>
      </c>
      <c r="T755" s="1" t="s">
        <v>874</v>
      </c>
      <c r="U755" s="1" t="s">
        <v>877</v>
      </c>
      <c r="V755" s="5" t="s">
        <v>883</v>
      </c>
    </row>
    <row r="756" spans="1:22" x14ac:dyDescent="0.3">
      <c r="A756" s="4" t="s">
        <v>205</v>
      </c>
      <c r="B756" s="3">
        <v>45516</v>
      </c>
      <c r="C756" s="1" t="str">
        <f t="shared" si="22"/>
        <v>August</v>
      </c>
      <c r="D756" s="1" t="s">
        <v>482</v>
      </c>
      <c r="E756" s="1" t="s">
        <v>689</v>
      </c>
      <c r="F756" s="1" t="s">
        <v>801</v>
      </c>
      <c r="G756" s="1" t="s">
        <v>807</v>
      </c>
      <c r="H756" s="1" t="s">
        <v>809</v>
      </c>
      <c r="I756" s="1" t="s">
        <v>816</v>
      </c>
      <c r="J756" s="1" t="s">
        <v>818</v>
      </c>
      <c r="K756" s="1" t="s">
        <v>821</v>
      </c>
      <c r="L756" s="1" t="s">
        <v>836</v>
      </c>
      <c r="M756" s="1">
        <v>10.71</v>
      </c>
      <c r="N756" s="1">
        <v>3518.44</v>
      </c>
      <c r="O756" s="1">
        <v>39909.279999999999</v>
      </c>
      <c r="P756" s="1">
        <v>0.05</v>
      </c>
      <c r="Q756" s="1">
        <v>34195.61</v>
      </c>
      <c r="R756" s="1">
        <v>27662.98</v>
      </c>
      <c r="S756" s="1">
        <f t="shared" si="23"/>
        <v>6532.630000000001</v>
      </c>
      <c r="T756" s="1" t="s">
        <v>875</v>
      </c>
      <c r="U756" s="1" t="s">
        <v>878</v>
      </c>
      <c r="V756" s="5" t="s">
        <v>882</v>
      </c>
    </row>
    <row r="757" spans="1:22" x14ac:dyDescent="0.3">
      <c r="A757" s="4" t="s">
        <v>92</v>
      </c>
      <c r="B757" s="3">
        <v>45617</v>
      </c>
      <c r="C757" s="1" t="str">
        <f t="shared" si="22"/>
        <v>November</v>
      </c>
      <c r="D757" s="1" t="s">
        <v>448</v>
      </c>
      <c r="E757" s="1" t="s">
        <v>577</v>
      </c>
      <c r="F757" s="1" t="s">
        <v>802</v>
      </c>
      <c r="G757" s="1" t="s">
        <v>805</v>
      </c>
      <c r="H757" s="1" t="s">
        <v>808</v>
      </c>
      <c r="I757" s="1" t="s">
        <v>813</v>
      </c>
      <c r="J757" s="1" t="s">
        <v>819</v>
      </c>
      <c r="K757" s="1" t="s">
        <v>820</v>
      </c>
      <c r="L757" s="1" t="s">
        <v>860</v>
      </c>
      <c r="M757" s="1">
        <v>2.0699999999999998</v>
      </c>
      <c r="N757" s="1">
        <v>2662.05</v>
      </c>
      <c r="O757" s="1">
        <v>5722.2</v>
      </c>
      <c r="P757" s="1">
        <v>0.05</v>
      </c>
      <c r="Q757" s="1">
        <v>5421.5</v>
      </c>
      <c r="R757" s="1">
        <v>4535.6099999999997</v>
      </c>
      <c r="S757" s="1">
        <f t="shared" si="23"/>
        <v>885.89000000000033</v>
      </c>
      <c r="T757" s="1" t="s">
        <v>875</v>
      </c>
      <c r="U757" s="1" t="s">
        <v>877</v>
      </c>
      <c r="V757" s="5" t="s">
        <v>884</v>
      </c>
    </row>
    <row r="758" spans="1:22" x14ac:dyDescent="0.3">
      <c r="A758" s="4" t="s">
        <v>169</v>
      </c>
      <c r="B758" s="3">
        <v>45336</v>
      </c>
      <c r="C758" s="1" t="str">
        <f t="shared" si="22"/>
        <v>February</v>
      </c>
      <c r="D758" s="1" t="s">
        <v>373</v>
      </c>
      <c r="E758" s="1" t="s">
        <v>654</v>
      </c>
      <c r="F758" s="1" t="s">
        <v>802</v>
      </c>
      <c r="G758" s="1" t="s">
        <v>805</v>
      </c>
      <c r="H758" s="1" t="s">
        <v>810</v>
      </c>
      <c r="I758" s="1" t="s">
        <v>814</v>
      </c>
      <c r="J758" s="1" t="s">
        <v>818</v>
      </c>
      <c r="K758" s="1" t="s">
        <v>822</v>
      </c>
      <c r="L758" s="1" t="s">
        <v>861</v>
      </c>
      <c r="M758" s="1">
        <v>10.95</v>
      </c>
      <c r="N758" s="1">
        <v>1115.81</v>
      </c>
      <c r="O758" s="1">
        <v>10497.23</v>
      </c>
      <c r="P758" s="1">
        <v>0.17</v>
      </c>
      <c r="Q758" s="1">
        <v>10444.56</v>
      </c>
      <c r="R758" s="1">
        <v>6574.55</v>
      </c>
      <c r="S758" s="1">
        <f t="shared" si="23"/>
        <v>3870.0099999999993</v>
      </c>
      <c r="T758" s="1" t="s">
        <v>874</v>
      </c>
      <c r="U758" s="1" t="s">
        <v>881</v>
      </c>
      <c r="V758" s="5" t="s">
        <v>884</v>
      </c>
    </row>
    <row r="759" spans="1:22" x14ac:dyDescent="0.3">
      <c r="A759" s="4" t="s">
        <v>248</v>
      </c>
      <c r="B759" s="3">
        <v>45603</v>
      </c>
      <c r="C759" s="1" t="str">
        <f t="shared" si="22"/>
        <v>November</v>
      </c>
      <c r="D759" s="1" t="s">
        <v>490</v>
      </c>
      <c r="E759" s="1" t="s">
        <v>731</v>
      </c>
      <c r="F759" s="1" t="s">
        <v>802</v>
      </c>
      <c r="G759" s="1" t="s">
        <v>806</v>
      </c>
      <c r="H759" s="1" t="s">
        <v>808</v>
      </c>
      <c r="I759" s="1" t="s">
        <v>815</v>
      </c>
      <c r="J759" s="1" t="s">
        <v>817</v>
      </c>
      <c r="K759" s="1" t="s">
        <v>821</v>
      </c>
      <c r="L759" s="1" t="s">
        <v>833</v>
      </c>
      <c r="M759" s="1">
        <v>4.53</v>
      </c>
      <c r="N759" s="1">
        <v>1551.96</v>
      </c>
      <c r="O759" s="1">
        <v>7637.71</v>
      </c>
      <c r="P759" s="1">
        <v>0.16</v>
      </c>
      <c r="Q759" s="1">
        <v>6564.04</v>
      </c>
      <c r="R759" s="1">
        <v>5076.7</v>
      </c>
      <c r="S759" s="1">
        <f t="shared" si="23"/>
        <v>1487.3400000000001</v>
      </c>
      <c r="T759" s="1" t="s">
        <v>874</v>
      </c>
      <c r="U759" s="1" t="s">
        <v>877</v>
      </c>
      <c r="V759" s="5" t="s">
        <v>882</v>
      </c>
    </row>
    <row r="760" spans="1:22" x14ac:dyDescent="0.3">
      <c r="A760" s="4" t="s">
        <v>147</v>
      </c>
      <c r="B760" s="3">
        <v>45384</v>
      </c>
      <c r="C760" s="1" t="str">
        <f t="shared" si="22"/>
        <v>April</v>
      </c>
      <c r="D760" s="1" t="s">
        <v>430</v>
      </c>
      <c r="E760" s="1" t="s">
        <v>632</v>
      </c>
      <c r="F760" s="1" t="s">
        <v>803</v>
      </c>
      <c r="G760" s="1" t="s">
        <v>806</v>
      </c>
      <c r="H760" s="1" t="s">
        <v>809</v>
      </c>
      <c r="I760" s="1" t="s">
        <v>816</v>
      </c>
      <c r="J760" s="1" t="s">
        <v>819</v>
      </c>
      <c r="K760" s="1" t="s">
        <v>820</v>
      </c>
      <c r="L760" s="1" t="s">
        <v>831</v>
      </c>
      <c r="M760" s="1">
        <v>11.81</v>
      </c>
      <c r="N760" s="1">
        <v>1197.8399999999999</v>
      </c>
      <c r="O760" s="1">
        <v>15854.55</v>
      </c>
      <c r="P760" s="1">
        <v>0.1</v>
      </c>
      <c r="Q760" s="1">
        <v>15743.76</v>
      </c>
      <c r="R760" s="1">
        <v>10362.89</v>
      </c>
      <c r="S760" s="1">
        <f t="shared" si="23"/>
        <v>5380.8700000000008</v>
      </c>
      <c r="T760" s="1" t="s">
        <v>873</v>
      </c>
      <c r="U760" s="1" t="s">
        <v>877</v>
      </c>
      <c r="V760" s="5" t="s">
        <v>882</v>
      </c>
    </row>
    <row r="761" spans="1:22" x14ac:dyDescent="0.3">
      <c r="A761" s="4" t="s">
        <v>248</v>
      </c>
      <c r="B761" s="3">
        <v>45603</v>
      </c>
      <c r="C761" s="1" t="str">
        <f t="shared" si="22"/>
        <v>November</v>
      </c>
      <c r="D761" s="1" t="s">
        <v>490</v>
      </c>
      <c r="E761" s="1" t="s">
        <v>731</v>
      </c>
      <c r="F761" s="1" t="s">
        <v>802</v>
      </c>
      <c r="G761" s="1" t="s">
        <v>806</v>
      </c>
      <c r="H761" s="1" t="s">
        <v>808</v>
      </c>
      <c r="I761" s="1" t="s">
        <v>815</v>
      </c>
      <c r="J761" s="1" t="s">
        <v>817</v>
      </c>
      <c r="K761" s="1" t="s">
        <v>821</v>
      </c>
      <c r="L761" s="1" t="s">
        <v>833</v>
      </c>
      <c r="M761" s="1">
        <v>4.9800000000000004</v>
      </c>
      <c r="N761" s="1">
        <v>1382.02</v>
      </c>
      <c r="O761" s="1">
        <v>6794.7</v>
      </c>
      <c r="P761" s="1">
        <v>0.14000000000000001</v>
      </c>
      <c r="Q761" s="1">
        <v>6978.06</v>
      </c>
      <c r="R761" s="1">
        <v>5688.62</v>
      </c>
      <c r="S761" s="1">
        <f t="shared" si="23"/>
        <v>1289.4400000000005</v>
      </c>
      <c r="T761" s="1" t="s">
        <v>874</v>
      </c>
      <c r="U761" s="1" t="s">
        <v>877</v>
      </c>
      <c r="V761" s="5" t="s">
        <v>882</v>
      </c>
    </row>
    <row r="762" spans="1:22" x14ac:dyDescent="0.3">
      <c r="A762" s="4" t="s">
        <v>178</v>
      </c>
      <c r="B762" s="3">
        <v>45339</v>
      </c>
      <c r="C762" s="1" t="str">
        <f t="shared" si="22"/>
        <v>February</v>
      </c>
      <c r="D762" s="1" t="s">
        <v>387</v>
      </c>
      <c r="E762" s="1" t="s">
        <v>662</v>
      </c>
      <c r="F762" s="1" t="s">
        <v>803</v>
      </c>
      <c r="G762" s="1" t="s">
        <v>804</v>
      </c>
      <c r="H762" s="1" t="s">
        <v>812</v>
      </c>
      <c r="I762" s="1" t="s">
        <v>815</v>
      </c>
      <c r="J762" s="1" t="s">
        <v>818</v>
      </c>
      <c r="K762" s="1" t="s">
        <v>822</v>
      </c>
      <c r="L762" s="1" t="s">
        <v>862</v>
      </c>
      <c r="M762" s="1">
        <v>5.66</v>
      </c>
      <c r="N762" s="1">
        <v>1360.37</v>
      </c>
      <c r="O762" s="1">
        <v>7801.44</v>
      </c>
      <c r="P762" s="1">
        <v>0</v>
      </c>
      <c r="Q762" s="1">
        <v>7981.32</v>
      </c>
      <c r="R762" s="1">
        <v>6643.78</v>
      </c>
      <c r="S762" s="1">
        <f t="shared" si="23"/>
        <v>1337.54</v>
      </c>
      <c r="T762" s="1" t="s">
        <v>875</v>
      </c>
      <c r="U762" s="1" t="s">
        <v>881</v>
      </c>
      <c r="V762" s="5" t="s">
        <v>884</v>
      </c>
    </row>
    <row r="763" spans="1:22" x14ac:dyDescent="0.3">
      <c r="A763" s="4" t="s">
        <v>237</v>
      </c>
      <c r="B763" s="3">
        <v>45546</v>
      </c>
      <c r="C763" s="1" t="str">
        <f t="shared" si="22"/>
        <v>September</v>
      </c>
      <c r="D763" s="1" t="s">
        <v>350</v>
      </c>
      <c r="E763" s="1" t="s">
        <v>720</v>
      </c>
      <c r="F763" s="1" t="s">
        <v>802</v>
      </c>
      <c r="G763" s="1" t="s">
        <v>806</v>
      </c>
      <c r="H763" s="1" t="s">
        <v>809</v>
      </c>
      <c r="I763" s="1" t="s">
        <v>815</v>
      </c>
      <c r="J763" s="1" t="s">
        <v>819</v>
      </c>
      <c r="K763" s="1" t="s">
        <v>820</v>
      </c>
      <c r="L763" s="1" t="s">
        <v>847</v>
      </c>
      <c r="M763" s="1">
        <v>5.74</v>
      </c>
      <c r="N763" s="1">
        <v>3712.72</v>
      </c>
      <c r="O763" s="1">
        <v>20342.3</v>
      </c>
      <c r="P763" s="1">
        <v>0.05</v>
      </c>
      <c r="Q763" s="1">
        <v>18294.060000000001</v>
      </c>
      <c r="R763" s="1">
        <v>16498.93</v>
      </c>
      <c r="S763" s="1">
        <f t="shared" si="23"/>
        <v>1795.130000000001</v>
      </c>
      <c r="T763" s="1" t="s">
        <v>875</v>
      </c>
      <c r="U763" s="1" t="s">
        <v>881</v>
      </c>
      <c r="V763" s="5" t="s">
        <v>882</v>
      </c>
    </row>
    <row r="764" spans="1:22" x14ac:dyDescent="0.3">
      <c r="A764" s="4" t="s">
        <v>232</v>
      </c>
      <c r="B764" s="3">
        <v>45458</v>
      </c>
      <c r="C764" s="1" t="str">
        <f t="shared" si="22"/>
        <v>June</v>
      </c>
      <c r="D764" s="1" t="s">
        <v>489</v>
      </c>
      <c r="E764" s="1" t="s">
        <v>715</v>
      </c>
      <c r="F764" s="1" t="s">
        <v>803</v>
      </c>
      <c r="G764" s="1" t="s">
        <v>806</v>
      </c>
      <c r="H764" s="1" t="s">
        <v>811</v>
      </c>
      <c r="I764" s="1" t="s">
        <v>815</v>
      </c>
      <c r="J764" s="1" t="s">
        <v>817</v>
      </c>
      <c r="K764" s="1" t="s">
        <v>822</v>
      </c>
      <c r="L764" s="1" t="s">
        <v>839</v>
      </c>
      <c r="M764" s="1">
        <v>7.03</v>
      </c>
      <c r="N764" s="1">
        <v>2445.67</v>
      </c>
      <c r="O764" s="1">
        <v>16818.05</v>
      </c>
      <c r="P764" s="1">
        <v>0.1</v>
      </c>
      <c r="Q764" s="1">
        <v>15455.09</v>
      </c>
      <c r="R764" s="1">
        <v>10686.69</v>
      </c>
      <c r="S764" s="1">
        <f t="shared" si="23"/>
        <v>4768.3999999999996</v>
      </c>
      <c r="T764" s="1" t="s">
        <v>876</v>
      </c>
      <c r="U764" s="1" t="s">
        <v>879</v>
      </c>
      <c r="V764" s="5" t="s">
        <v>882</v>
      </c>
    </row>
    <row r="765" spans="1:22" x14ac:dyDescent="0.3">
      <c r="A765" s="4" t="s">
        <v>262</v>
      </c>
      <c r="B765" s="3">
        <v>45598</v>
      </c>
      <c r="C765" s="1" t="str">
        <f t="shared" si="22"/>
        <v>November</v>
      </c>
      <c r="D765" s="1" t="s">
        <v>494</v>
      </c>
      <c r="E765" s="1" t="s">
        <v>745</v>
      </c>
      <c r="F765" s="1" t="s">
        <v>803</v>
      </c>
      <c r="G765" s="1" t="s">
        <v>807</v>
      </c>
      <c r="H765" s="1" t="s">
        <v>812</v>
      </c>
      <c r="I765" s="1" t="s">
        <v>816</v>
      </c>
      <c r="J765" s="1" t="s">
        <v>819</v>
      </c>
      <c r="K765" s="1" t="s">
        <v>820</v>
      </c>
      <c r="L765" s="1" t="s">
        <v>868</v>
      </c>
      <c r="M765" s="1">
        <v>1.02</v>
      </c>
      <c r="N765" s="1">
        <v>1381.82</v>
      </c>
      <c r="O765" s="1">
        <v>1359.82</v>
      </c>
      <c r="P765" s="1">
        <v>0.05</v>
      </c>
      <c r="Q765" s="1">
        <v>1317.16</v>
      </c>
      <c r="R765" s="1">
        <v>1223.57</v>
      </c>
      <c r="S765" s="1">
        <f t="shared" si="23"/>
        <v>93.590000000000146</v>
      </c>
      <c r="T765" s="1" t="s">
        <v>874</v>
      </c>
      <c r="U765" s="1" t="s">
        <v>880</v>
      </c>
      <c r="V765" s="5" t="s">
        <v>882</v>
      </c>
    </row>
    <row r="766" spans="1:22" x14ac:dyDescent="0.3">
      <c r="A766" s="4" t="s">
        <v>263</v>
      </c>
      <c r="B766" s="3">
        <v>45444</v>
      </c>
      <c r="C766" s="1" t="str">
        <f t="shared" si="22"/>
        <v>June</v>
      </c>
      <c r="D766" s="1" t="s">
        <v>391</v>
      </c>
      <c r="E766" s="1" t="s">
        <v>746</v>
      </c>
      <c r="F766" s="1" t="s">
        <v>803</v>
      </c>
      <c r="G766" s="1" t="s">
        <v>805</v>
      </c>
      <c r="H766" s="1" t="s">
        <v>811</v>
      </c>
      <c r="I766" s="1" t="s">
        <v>809</v>
      </c>
      <c r="J766" s="1" t="s">
        <v>817</v>
      </c>
      <c r="K766" s="1" t="s">
        <v>820</v>
      </c>
      <c r="L766" s="1" t="s">
        <v>842</v>
      </c>
      <c r="M766" s="1">
        <v>1.86</v>
      </c>
      <c r="N766" s="1">
        <v>2598.8000000000002</v>
      </c>
      <c r="O766" s="1">
        <v>5466.1</v>
      </c>
      <c r="P766" s="1">
        <v>0.14000000000000001</v>
      </c>
      <c r="Q766" s="1">
        <v>4245.16</v>
      </c>
      <c r="R766" s="1">
        <v>2900.43</v>
      </c>
      <c r="S766" s="1">
        <f t="shared" si="23"/>
        <v>1344.73</v>
      </c>
      <c r="T766" s="1" t="s">
        <v>876</v>
      </c>
      <c r="U766" s="1" t="s">
        <v>878</v>
      </c>
      <c r="V766" s="5" t="s">
        <v>883</v>
      </c>
    </row>
    <row r="767" spans="1:22" x14ac:dyDescent="0.3">
      <c r="A767" s="4" t="s">
        <v>60</v>
      </c>
      <c r="B767" s="3">
        <v>45522</v>
      </c>
      <c r="C767" s="1" t="str">
        <f t="shared" si="22"/>
        <v>August</v>
      </c>
      <c r="D767" s="1" t="s">
        <v>434</v>
      </c>
      <c r="E767" s="1" t="s">
        <v>545</v>
      </c>
      <c r="F767" s="1" t="s">
        <v>803</v>
      </c>
      <c r="G767" s="1" t="s">
        <v>807</v>
      </c>
      <c r="H767" s="1" t="s">
        <v>812</v>
      </c>
      <c r="I767" s="1" t="s">
        <v>813</v>
      </c>
      <c r="J767" s="1" t="s">
        <v>818</v>
      </c>
      <c r="K767" s="1" t="s">
        <v>821</v>
      </c>
      <c r="L767" s="1" t="s">
        <v>842</v>
      </c>
      <c r="M767" s="1">
        <v>5.78</v>
      </c>
      <c r="N767" s="1">
        <v>1037.04</v>
      </c>
      <c r="O767" s="1">
        <v>7068.08</v>
      </c>
      <c r="P767" s="1">
        <v>0.05</v>
      </c>
      <c r="Q767" s="1">
        <v>7749.94</v>
      </c>
      <c r="R767" s="1">
        <v>4389.58</v>
      </c>
      <c r="S767" s="1">
        <f t="shared" si="23"/>
        <v>3360.3599999999997</v>
      </c>
      <c r="T767" s="1" t="s">
        <v>874</v>
      </c>
      <c r="U767" s="1" t="s">
        <v>877</v>
      </c>
      <c r="V767" s="5" t="s">
        <v>883</v>
      </c>
    </row>
    <row r="768" spans="1:22" x14ac:dyDescent="0.3">
      <c r="A768" s="4" t="s">
        <v>211</v>
      </c>
      <c r="B768" s="3">
        <v>45482</v>
      </c>
      <c r="C768" s="1" t="str">
        <f t="shared" si="22"/>
        <v>July</v>
      </c>
      <c r="D768" s="1" t="s">
        <v>484</v>
      </c>
      <c r="E768" s="1" t="s">
        <v>694</v>
      </c>
      <c r="F768" s="1" t="s">
        <v>802</v>
      </c>
      <c r="G768" s="1" t="s">
        <v>806</v>
      </c>
      <c r="H768" s="1" t="s">
        <v>811</v>
      </c>
      <c r="I768" s="1" t="s">
        <v>809</v>
      </c>
      <c r="J768" s="1" t="s">
        <v>818</v>
      </c>
      <c r="K768" s="1" t="s">
        <v>820</v>
      </c>
      <c r="L768" s="1" t="s">
        <v>860</v>
      </c>
      <c r="M768" s="1">
        <v>1.08</v>
      </c>
      <c r="N768" s="1">
        <v>2374.86</v>
      </c>
      <c r="O768" s="1">
        <v>2397.7800000000002</v>
      </c>
      <c r="P768" s="1">
        <v>0.05</v>
      </c>
      <c r="Q768" s="1">
        <v>2423.35</v>
      </c>
      <c r="R768" s="1">
        <v>1860.95</v>
      </c>
      <c r="S768" s="1">
        <f t="shared" si="23"/>
        <v>562.39999999999986</v>
      </c>
      <c r="T768" s="1" t="s">
        <v>876</v>
      </c>
      <c r="U768" s="1" t="s">
        <v>879</v>
      </c>
      <c r="V768" s="5" t="s">
        <v>882</v>
      </c>
    </row>
    <row r="769" spans="1:22" x14ac:dyDescent="0.3">
      <c r="A769" s="4" t="s">
        <v>133</v>
      </c>
      <c r="B769" s="3">
        <v>45340</v>
      </c>
      <c r="C769" s="1" t="str">
        <f t="shared" si="22"/>
        <v>February</v>
      </c>
      <c r="D769" s="1" t="s">
        <v>388</v>
      </c>
      <c r="E769" s="1" t="s">
        <v>618</v>
      </c>
      <c r="F769" s="1" t="s">
        <v>801</v>
      </c>
      <c r="G769" s="1" t="s">
        <v>805</v>
      </c>
      <c r="H769" s="1" t="s">
        <v>812</v>
      </c>
      <c r="I769" s="1" t="s">
        <v>816</v>
      </c>
      <c r="J769" s="1" t="s">
        <v>819</v>
      </c>
      <c r="K769" s="1" t="s">
        <v>821</v>
      </c>
      <c r="L769" s="1" t="s">
        <v>865</v>
      </c>
      <c r="M769" s="1">
        <v>10.130000000000001</v>
      </c>
      <c r="N769" s="1">
        <v>1562.54</v>
      </c>
      <c r="O769" s="1">
        <v>16970.490000000002</v>
      </c>
      <c r="P769" s="1">
        <v>0.15</v>
      </c>
      <c r="Q769" s="1">
        <v>15082.58</v>
      </c>
      <c r="R769" s="1">
        <v>12213.71</v>
      </c>
      <c r="S769" s="1">
        <f t="shared" si="23"/>
        <v>2868.8700000000008</v>
      </c>
      <c r="T769" s="1" t="s">
        <v>874</v>
      </c>
      <c r="U769" s="1" t="s">
        <v>879</v>
      </c>
      <c r="V769" s="5" t="s">
        <v>884</v>
      </c>
    </row>
    <row r="770" spans="1:22" x14ac:dyDescent="0.3">
      <c r="A770" s="4" t="s">
        <v>127</v>
      </c>
      <c r="B770" s="3">
        <v>45417</v>
      </c>
      <c r="C770" s="1" t="str">
        <f t="shared" ref="C770:C833" si="24">TEXT(B770,"MMMM")</f>
        <v>May</v>
      </c>
      <c r="D770" s="1" t="s">
        <v>420</v>
      </c>
      <c r="E770" s="1" t="s">
        <v>612</v>
      </c>
      <c r="F770" s="1" t="s">
        <v>802</v>
      </c>
      <c r="G770" s="1" t="s">
        <v>807</v>
      </c>
      <c r="H770" s="1" t="s">
        <v>810</v>
      </c>
      <c r="I770" s="1" t="s">
        <v>815</v>
      </c>
      <c r="J770" s="1" t="s">
        <v>819</v>
      </c>
      <c r="K770" s="1" t="s">
        <v>820</v>
      </c>
      <c r="L770" s="1" t="s">
        <v>859</v>
      </c>
      <c r="M770" s="1">
        <v>4.74</v>
      </c>
      <c r="N770" s="1">
        <v>1301.01</v>
      </c>
      <c r="O770" s="1">
        <v>6723.3</v>
      </c>
      <c r="P770" s="1">
        <v>0.13</v>
      </c>
      <c r="Q770" s="1">
        <v>6790.15</v>
      </c>
      <c r="R770" s="1">
        <v>4403.97</v>
      </c>
      <c r="S770" s="1">
        <f t="shared" ref="S770:S833" si="25">Q770-R770</f>
        <v>2386.1799999999994</v>
      </c>
      <c r="T770" s="1" t="s">
        <v>874</v>
      </c>
      <c r="U770" s="1" t="s">
        <v>880</v>
      </c>
      <c r="V770" s="5" t="s">
        <v>883</v>
      </c>
    </row>
    <row r="771" spans="1:22" x14ac:dyDescent="0.3">
      <c r="A771" s="4" t="s">
        <v>244</v>
      </c>
      <c r="B771" s="3">
        <v>45370</v>
      </c>
      <c r="C771" s="1" t="str">
        <f t="shared" si="24"/>
        <v>March</v>
      </c>
      <c r="D771" s="1" t="s">
        <v>379</v>
      </c>
      <c r="E771" s="1" t="s">
        <v>727</v>
      </c>
      <c r="F771" s="1" t="s">
        <v>802</v>
      </c>
      <c r="G771" s="1" t="s">
        <v>807</v>
      </c>
      <c r="H771" s="1" t="s">
        <v>811</v>
      </c>
      <c r="I771" s="1" t="s">
        <v>809</v>
      </c>
      <c r="J771" s="1" t="s">
        <v>819</v>
      </c>
      <c r="K771" s="1" t="s">
        <v>822</v>
      </c>
      <c r="L771" s="1" t="s">
        <v>839</v>
      </c>
      <c r="M771" s="1">
        <v>5.27</v>
      </c>
      <c r="N771" s="1">
        <v>1624.76</v>
      </c>
      <c r="O771" s="1">
        <v>7916.38</v>
      </c>
      <c r="P771" s="1">
        <v>0.11</v>
      </c>
      <c r="Q771" s="1">
        <v>8748.2099999999991</v>
      </c>
      <c r="R771" s="1">
        <v>4969.3900000000003</v>
      </c>
      <c r="S771" s="1">
        <f t="shared" si="25"/>
        <v>3778.8199999999988</v>
      </c>
      <c r="T771" s="1" t="s">
        <v>873</v>
      </c>
      <c r="U771" s="1" t="s">
        <v>877</v>
      </c>
      <c r="V771" s="5" t="s">
        <v>884</v>
      </c>
    </row>
    <row r="772" spans="1:22" x14ac:dyDescent="0.3">
      <c r="A772" s="4" t="s">
        <v>111</v>
      </c>
      <c r="B772" s="3">
        <v>45425</v>
      </c>
      <c r="C772" s="1" t="str">
        <f t="shared" si="24"/>
        <v>May</v>
      </c>
      <c r="D772" s="1" t="s">
        <v>354</v>
      </c>
      <c r="E772" s="1" t="s">
        <v>596</v>
      </c>
      <c r="F772" s="1" t="s">
        <v>801</v>
      </c>
      <c r="G772" s="1" t="s">
        <v>805</v>
      </c>
      <c r="H772" s="1" t="s">
        <v>812</v>
      </c>
      <c r="I772" s="1" t="s">
        <v>814</v>
      </c>
      <c r="J772" s="1" t="s">
        <v>818</v>
      </c>
      <c r="K772" s="1" t="s">
        <v>820</v>
      </c>
      <c r="L772" s="1" t="s">
        <v>858</v>
      </c>
      <c r="M772" s="1">
        <v>6.45</v>
      </c>
      <c r="N772" s="1">
        <v>1072.5</v>
      </c>
      <c r="O772" s="1">
        <v>6328.18</v>
      </c>
      <c r="P772" s="1">
        <v>0.1</v>
      </c>
      <c r="Q772" s="1">
        <v>7297.42</v>
      </c>
      <c r="R772" s="1">
        <v>3841.3</v>
      </c>
      <c r="S772" s="1">
        <f t="shared" si="25"/>
        <v>3456.12</v>
      </c>
      <c r="T772" s="1" t="s">
        <v>876</v>
      </c>
      <c r="U772" s="1" t="s">
        <v>878</v>
      </c>
      <c r="V772" s="5" t="s">
        <v>883</v>
      </c>
    </row>
    <row r="773" spans="1:22" x14ac:dyDescent="0.3">
      <c r="A773" s="4" t="s">
        <v>253</v>
      </c>
      <c r="B773" s="3">
        <v>45336</v>
      </c>
      <c r="C773" s="1" t="str">
        <f t="shared" si="24"/>
        <v>February</v>
      </c>
      <c r="D773" s="1" t="s">
        <v>397</v>
      </c>
      <c r="E773" s="1" t="s">
        <v>736</v>
      </c>
      <c r="F773" s="1" t="s">
        <v>801</v>
      </c>
      <c r="G773" s="1" t="s">
        <v>804</v>
      </c>
      <c r="H773" s="1" t="s">
        <v>812</v>
      </c>
      <c r="I773" s="1" t="s">
        <v>815</v>
      </c>
      <c r="J773" s="1" t="s">
        <v>817</v>
      </c>
      <c r="K773" s="1" t="s">
        <v>822</v>
      </c>
      <c r="L773" s="1" t="s">
        <v>823</v>
      </c>
      <c r="M773" s="1">
        <v>7.41</v>
      </c>
      <c r="N773" s="1">
        <v>1286.55</v>
      </c>
      <c r="O773" s="1">
        <v>7965.45</v>
      </c>
      <c r="P773" s="1">
        <v>0.11</v>
      </c>
      <c r="Q773" s="1">
        <v>7433.37</v>
      </c>
      <c r="R773" s="1">
        <v>5771.05</v>
      </c>
      <c r="S773" s="1">
        <f t="shared" si="25"/>
        <v>1662.3199999999997</v>
      </c>
      <c r="T773" s="1" t="s">
        <v>874</v>
      </c>
      <c r="U773" s="1" t="s">
        <v>879</v>
      </c>
      <c r="V773" s="5" t="s">
        <v>882</v>
      </c>
    </row>
    <row r="774" spans="1:22" x14ac:dyDescent="0.3">
      <c r="A774" s="4" t="s">
        <v>48</v>
      </c>
      <c r="B774" s="3">
        <v>45358</v>
      </c>
      <c r="C774" s="1" t="str">
        <f t="shared" si="24"/>
        <v>March</v>
      </c>
      <c r="D774" s="1" t="s">
        <v>419</v>
      </c>
      <c r="E774" s="1" t="s">
        <v>533</v>
      </c>
      <c r="F774" s="1" t="s">
        <v>803</v>
      </c>
      <c r="G774" s="1" t="s">
        <v>806</v>
      </c>
      <c r="H774" s="1" t="s">
        <v>810</v>
      </c>
      <c r="I774" s="1" t="s">
        <v>815</v>
      </c>
      <c r="J774" s="1" t="s">
        <v>818</v>
      </c>
      <c r="K774" s="1" t="s">
        <v>822</v>
      </c>
      <c r="L774" s="1" t="s">
        <v>840</v>
      </c>
      <c r="M774" s="1">
        <v>9.8699999999999992</v>
      </c>
      <c r="N774" s="1">
        <v>2528.9899999999998</v>
      </c>
      <c r="O774" s="1">
        <v>21620.43</v>
      </c>
      <c r="P774" s="1">
        <v>0</v>
      </c>
      <c r="Q774" s="1">
        <v>23286.46</v>
      </c>
      <c r="R774" s="1">
        <v>19885.05</v>
      </c>
      <c r="S774" s="1">
        <f t="shared" si="25"/>
        <v>3401.41</v>
      </c>
      <c r="T774" s="1" t="s">
        <v>875</v>
      </c>
      <c r="U774" s="1" t="s">
        <v>879</v>
      </c>
      <c r="V774" s="5" t="s">
        <v>884</v>
      </c>
    </row>
    <row r="775" spans="1:22" x14ac:dyDescent="0.3">
      <c r="A775" s="4" t="s">
        <v>232</v>
      </c>
      <c r="B775" s="3">
        <v>45458</v>
      </c>
      <c r="C775" s="1" t="str">
        <f t="shared" si="24"/>
        <v>June</v>
      </c>
      <c r="D775" s="1" t="s">
        <v>489</v>
      </c>
      <c r="E775" s="1" t="s">
        <v>715</v>
      </c>
      <c r="F775" s="1" t="s">
        <v>803</v>
      </c>
      <c r="G775" s="1" t="s">
        <v>806</v>
      </c>
      <c r="H775" s="1" t="s">
        <v>811</v>
      </c>
      <c r="I775" s="1" t="s">
        <v>815</v>
      </c>
      <c r="J775" s="1" t="s">
        <v>817</v>
      </c>
      <c r="K775" s="1" t="s">
        <v>822</v>
      </c>
      <c r="L775" s="1" t="s">
        <v>839</v>
      </c>
      <c r="M775" s="1">
        <v>7.55</v>
      </c>
      <c r="N775" s="1">
        <v>2663.74</v>
      </c>
      <c r="O775" s="1">
        <v>17471.34</v>
      </c>
      <c r="P775" s="1">
        <v>0.1</v>
      </c>
      <c r="Q775" s="1">
        <v>16807.32</v>
      </c>
      <c r="R775" s="1">
        <v>9934.24</v>
      </c>
      <c r="S775" s="1">
        <f t="shared" si="25"/>
        <v>6873.08</v>
      </c>
      <c r="T775" s="1" t="s">
        <v>876</v>
      </c>
      <c r="U775" s="1" t="s">
        <v>879</v>
      </c>
      <c r="V775" s="5" t="s">
        <v>882</v>
      </c>
    </row>
    <row r="776" spans="1:22" x14ac:dyDescent="0.3">
      <c r="A776" s="4" t="s">
        <v>313</v>
      </c>
      <c r="B776" s="3">
        <v>45326</v>
      </c>
      <c r="C776" s="1" t="str">
        <f t="shared" si="24"/>
        <v>February</v>
      </c>
      <c r="D776" s="1" t="s">
        <v>476</v>
      </c>
      <c r="E776" s="1" t="s">
        <v>795</v>
      </c>
      <c r="F776" s="1" t="s">
        <v>802</v>
      </c>
      <c r="G776" s="1" t="s">
        <v>805</v>
      </c>
      <c r="H776" s="1" t="s">
        <v>808</v>
      </c>
      <c r="I776" s="1" t="s">
        <v>815</v>
      </c>
      <c r="J776" s="1" t="s">
        <v>819</v>
      </c>
      <c r="K776" s="1" t="s">
        <v>820</v>
      </c>
      <c r="L776" s="1" t="s">
        <v>834</v>
      </c>
      <c r="M776" s="1">
        <v>0.92</v>
      </c>
      <c r="N776" s="1">
        <v>593.58000000000004</v>
      </c>
      <c r="O776" s="1">
        <v>641.9</v>
      </c>
      <c r="P776" s="1">
        <v>0</v>
      </c>
      <c r="Q776" s="1">
        <v>645.85</v>
      </c>
      <c r="R776" s="1">
        <v>425.68</v>
      </c>
      <c r="S776" s="1">
        <f t="shared" si="25"/>
        <v>220.17000000000002</v>
      </c>
      <c r="T776" s="1" t="s">
        <v>874</v>
      </c>
      <c r="U776" s="1" t="s">
        <v>879</v>
      </c>
      <c r="V776" s="5" t="s">
        <v>884</v>
      </c>
    </row>
    <row r="777" spans="1:22" x14ac:dyDescent="0.3">
      <c r="A777" s="4" t="s">
        <v>147</v>
      </c>
      <c r="B777" s="3">
        <v>45384</v>
      </c>
      <c r="C777" s="1" t="str">
        <f t="shared" si="24"/>
        <v>April</v>
      </c>
      <c r="D777" s="1" t="s">
        <v>430</v>
      </c>
      <c r="E777" s="1" t="s">
        <v>632</v>
      </c>
      <c r="F777" s="1" t="s">
        <v>803</v>
      </c>
      <c r="G777" s="1" t="s">
        <v>806</v>
      </c>
      <c r="H777" s="1" t="s">
        <v>809</v>
      </c>
      <c r="I777" s="1" t="s">
        <v>816</v>
      </c>
      <c r="J777" s="1" t="s">
        <v>819</v>
      </c>
      <c r="K777" s="1" t="s">
        <v>820</v>
      </c>
      <c r="L777" s="1" t="s">
        <v>831</v>
      </c>
      <c r="M777" s="1">
        <v>13.99</v>
      </c>
      <c r="N777" s="1">
        <v>1304.77</v>
      </c>
      <c r="O777" s="1">
        <v>13404.28</v>
      </c>
      <c r="P777" s="1">
        <v>0.11</v>
      </c>
      <c r="Q777" s="1">
        <v>14369.53</v>
      </c>
      <c r="R777" s="1">
        <v>9505.7999999999993</v>
      </c>
      <c r="S777" s="1">
        <f t="shared" si="25"/>
        <v>4863.7300000000014</v>
      </c>
      <c r="T777" s="1" t="s">
        <v>873</v>
      </c>
      <c r="U777" s="1" t="s">
        <v>877</v>
      </c>
      <c r="V777" s="5" t="s">
        <v>882</v>
      </c>
    </row>
    <row r="778" spans="1:22" x14ac:dyDescent="0.3">
      <c r="A778" s="4" t="s">
        <v>242</v>
      </c>
      <c r="B778" s="3">
        <v>45570</v>
      </c>
      <c r="C778" s="1" t="str">
        <f t="shared" si="24"/>
        <v>October</v>
      </c>
      <c r="D778" s="1" t="s">
        <v>346</v>
      </c>
      <c r="E778" s="1" t="s">
        <v>725</v>
      </c>
      <c r="F778" s="1" t="s">
        <v>802</v>
      </c>
      <c r="G778" s="1" t="s">
        <v>807</v>
      </c>
      <c r="H778" s="1" t="s">
        <v>808</v>
      </c>
      <c r="I778" s="1" t="s">
        <v>814</v>
      </c>
      <c r="J778" s="1" t="s">
        <v>819</v>
      </c>
      <c r="K778" s="1" t="s">
        <v>821</v>
      </c>
      <c r="L778" s="1" t="s">
        <v>830</v>
      </c>
      <c r="M778" s="1">
        <v>3.71</v>
      </c>
      <c r="N778" s="1">
        <v>3268.09</v>
      </c>
      <c r="O778" s="1">
        <v>12796.35</v>
      </c>
      <c r="P778" s="1">
        <v>0.09</v>
      </c>
      <c r="Q778" s="1">
        <v>12477.78</v>
      </c>
      <c r="R778" s="1">
        <v>7949.23</v>
      </c>
      <c r="S778" s="1">
        <f t="shared" si="25"/>
        <v>4528.5500000000011</v>
      </c>
      <c r="T778" s="1" t="s">
        <v>875</v>
      </c>
      <c r="U778" s="1" t="s">
        <v>877</v>
      </c>
      <c r="V778" s="5" t="s">
        <v>883</v>
      </c>
    </row>
    <row r="779" spans="1:22" x14ac:dyDescent="0.3">
      <c r="A779" s="4" t="s">
        <v>164</v>
      </c>
      <c r="B779" s="3">
        <v>45585</v>
      </c>
      <c r="C779" s="1" t="str">
        <f t="shared" si="24"/>
        <v>October</v>
      </c>
      <c r="D779" s="1" t="s">
        <v>471</v>
      </c>
      <c r="E779" s="1" t="s">
        <v>649</v>
      </c>
      <c r="F779" s="1" t="s">
        <v>802</v>
      </c>
      <c r="G779" s="1" t="s">
        <v>805</v>
      </c>
      <c r="H779" s="1" t="s">
        <v>808</v>
      </c>
      <c r="I779" s="1" t="s">
        <v>814</v>
      </c>
      <c r="J779" s="1" t="s">
        <v>818</v>
      </c>
      <c r="K779" s="1" t="s">
        <v>820</v>
      </c>
      <c r="L779" s="1" t="s">
        <v>832</v>
      </c>
      <c r="M779" s="1">
        <v>14.28</v>
      </c>
      <c r="N779" s="1">
        <v>1649.23</v>
      </c>
      <c r="O779" s="1">
        <v>17629.87</v>
      </c>
      <c r="P779" s="1">
        <v>0</v>
      </c>
      <c r="Q779" s="1">
        <v>18777.59</v>
      </c>
      <c r="R779" s="1">
        <v>13793.56</v>
      </c>
      <c r="S779" s="1">
        <f t="shared" si="25"/>
        <v>4984.0300000000007</v>
      </c>
      <c r="T779" s="1" t="s">
        <v>876</v>
      </c>
      <c r="U779" s="1" t="s">
        <v>879</v>
      </c>
      <c r="V779" s="5" t="s">
        <v>884</v>
      </c>
    </row>
    <row r="780" spans="1:22" x14ac:dyDescent="0.3">
      <c r="A780" s="4" t="s">
        <v>180</v>
      </c>
      <c r="B780" s="3">
        <v>45342</v>
      </c>
      <c r="C780" s="1" t="str">
        <f t="shared" si="24"/>
        <v>February</v>
      </c>
      <c r="D780" s="1" t="s">
        <v>388</v>
      </c>
      <c r="E780" s="1" t="s">
        <v>664</v>
      </c>
      <c r="F780" s="1" t="s">
        <v>802</v>
      </c>
      <c r="G780" s="1" t="s">
        <v>806</v>
      </c>
      <c r="H780" s="1" t="s">
        <v>808</v>
      </c>
      <c r="I780" s="1" t="s">
        <v>813</v>
      </c>
      <c r="J780" s="1" t="s">
        <v>819</v>
      </c>
      <c r="K780" s="1" t="s">
        <v>821</v>
      </c>
      <c r="L780" s="1" t="s">
        <v>866</v>
      </c>
      <c r="M780" s="1">
        <v>0.9</v>
      </c>
      <c r="N780" s="1">
        <v>2425.92</v>
      </c>
      <c r="O780" s="1">
        <v>2372.19</v>
      </c>
      <c r="P780" s="1">
        <v>0.05</v>
      </c>
      <c r="Q780" s="1">
        <v>2137.14</v>
      </c>
      <c r="R780" s="1">
        <v>1706.91</v>
      </c>
      <c r="S780" s="1">
        <f t="shared" si="25"/>
        <v>430.22999999999979</v>
      </c>
      <c r="T780" s="1" t="s">
        <v>875</v>
      </c>
      <c r="U780" s="1" t="s">
        <v>880</v>
      </c>
      <c r="V780" s="5" t="s">
        <v>883</v>
      </c>
    </row>
    <row r="781" spans="1:22" x14ac:dyDescent="0.3">
      <c r="A781" s="4" t="s">
        <v>243</v>
      </c>
      <c r="B781" s="3">
        <v>45478</v>
      </c>
      <c r="C781" s="1" t="str">
        <f t="shared" si="24"/>
        <v>July</v>
      </c>
      <c r="D781" s="1" t="s">
        <v>484</v>
      </c>
      <c r="E781" s="1" t="s">
        <v>726</v>
      </c>
      <c r="F781" s="1" t="s">
        <v>803</v>
      </c>
      <c r="G781" s="1" t="s">
        <v>805</v>
      </c>
      <c r="H781" s="1" t="s">
        <v>810</v>
      </c>
      <c r="I781" s="1" t="s">
        <v>809</v>
      </c>
      <c r="J781" s="1" t="s">
        <v>819</v>
      </c>
      <c r="K781" s="1" t="s">
        <v>822</v>
      </c>
      <c r="L781" s="1" t="s">
        <v>831</v>
      </c>
      <c r="M781" s="1">
        <v>3.96</v>
      </c>
      <c r="N781" s="1">
        <v>2127.2199999999998</v>
      </c>
      <c r="O781" s="1">
        <v>8271.77</v>
      </c>
      <c r="P781" s="1">
        <v>0.1</v>
      </c>
      <c r="Q781" s="1">
        <v>7552.02</v>
      </c>
      <c r="R781" s="1">
        <v>4469.57</v>
      </c>
      <c r="S781" s="1">
        <f t="shared" si="25"/>
        <v>3082.4500000000007</v>
      </c>
      <c r="T781" s="1" t="s">
        <v>873</v>
      </c>
      <c r="U781" s="1" t="s">
        <v>877</v>
      </c>
      <c r="V781" s="5" t="s">
        <v>884</v>
      </c>
    </row>
    <row r="782" spans="1:22" x14ac:dyDescent="0.3">
      <c r="A782" s="4" t="s">
        <v>199</v>
      </c>
      <c r="B782" s="3">
        <v>45374</v>
      </c>
      <c r="C782" s="1" t="str">
        <f t="shared" si="24"/>
        <v>March</v>
      </c>
      <c r="D782" s="1" t="s">
        <v>394</v>
      </c>
      <c r="E782" s="1" t="s">
        <v>683</v>
      </c>
      <c r="F782" s="1" t="s">
        <v>803</v>
      </c>
      <c r="G782" s="1" t="s">
        <v>804</v>
      </c>
      <c r="H782" s="1" t="s">
        <v>811</v>
      </c>
      <c r="I782" s="1" t="s">
        <v>816</v>
      </c>
      <c r="J782" s="1" t="s">
        <v>817</v>
      </c>
      <c r="K782" s="1" t="s">
        <v>821</v>
      </c>
      <c r="L782" s="1" t="s">
        <v>850</v>
      </c>
      <c r="M782" s="1">
        <v>7.2</v>
      </c>
      <c r="N782" s="1">
        <v>1746.73</v>
      </c>
      <c r="O782" s="1">
        <v>15989.43</v>
      </c>
      <c r="P782" s="1">
        <v>0.09</v>
      </c>
      <c r="Q782" s="1">
        <v>12085.74</v>
      </c>
      <c r="R782" s="1">
        <v>8986.9599999999991</v>
      </c>
      <c r="S782" s="1">
        <f t="shared" si="25"/>
        <v>3098.7800000000007</v>
      </c>
      <c r="T782" s="1" t="s">
        <v>874</v>
      </c>
      <c r="U782" s="1" t="s">
        <v>881</v>
      </c>
      <c r="V782" s="5" t="s">
        <v>884</v>
      </c>
    </row>
    <row r="783" spans="1:22" x14ac:dyDescent="0.3">
      <c r="A783" s="4" t="s">
        <v>120</v>
      </c>
      <c r="B783" s="3">
        <v>45416</v>
      </c>
      <c r="C783" s="1" t="str">
        <f t="shared" si="24"/>
        <v>May</v>
      </c>
      <c r="D783" s="1" t="s">
        <v>420</v>
      </c>
      <c r="E783" s="1" t="s">
        <v>605</v>
      </c>
      <c r="F783" s="1" t="s">
        <v>802</v>
      </c>
      <c r="G783" s="1" t="s">
        <v>806</v>
      </c>
      <c r="H783" s="1" t="s">
        <v>809</v>
      </c>
      <c r="I783" s="1" t="s">
        <v>816</v>
      </c>
      <c r="J783" s="1" t="s">
        <v>819</v>
      </c>
      <c r="K783" s="1" t="s">
        <v>822</v>
      </c>
      <c r="L783" s="1" t="s">
        <v>844</v>
      </c>
      <c r="M783" s="1">
        <v>6.85</v>
      </c>
      <c r="N783" s="1">
        <v>2711.27</v>
      </c>
      <c r="O783" s="1">
        <v>19320.439999999999</v>
      </c>
      <c r="P783" s="1">
        <v>0.14000000000000001</v>
      </c>
      <c r="Q783" s="1">
        <v>15459.26</v>
      </c>
      <c r="R783" s="1">
        <v>13563.83</v>
      </c>
      <c r="S783" s="1">
        <f t="shared" si="25"/>
        <v>1895.4300000000003</v>
      </c>
      <c r="T783" s="1" t="s">
        <v>876</v>
      </c>
      <c r="U783" s="1" t="s">
        <v>878</v>
      </c>
      <c r="V783" s="5" t="s">
        <v>882</v>
      </c>
    </row>
    <row r="784" spans="1:22" x14ac:dyDescent="0.3">
      <c r="A784" s="4" t="s">
        <v>117</v>
      </c>
      <c r="B784" s="3">
        <v>45413</v>
      </c>
      <c r="C784" s="1" t="str">
        <f t="shared" si="24"/>
        <v>May</v>
      </c>
      <c r="D784" s="1" t="s">
        <v>464</v>
      </c>
      <c r="E784" s="1" t="s">
        <v>602</v>
      </c>
      <c r="F784" s="1" t="s">
        <v>802</v>
      </c>
      <c r="G784" s="1" t="s">
        <v>807</v>
      </c>
      <c r="H784" s="1" t="s">
        <v>808</v>
      </c>
      <c r="I784" s="1" t="s">
        <v>814</v>
      </c>
      <c r="J784" s="1" t="s">
        <v>819</v>
      </c>
      <c r="K784" s="1" t="s">
        <v>820</v>
      </c>
      <c r="L784" s="1" t="s">
        <v>829</v>
      </c>
      <c r="M784" s="1">
        <v>3.98</v>
      </c>
      <c r="N784" s="1">
        <v>1281.6099999999999</v>
      </c>
      <c r="O784" s="1">
        <v>4907.53</v>
      </c>
      <c r="P784" s="1">
        <v>0.05</v>
      </c>
      <c r="Q784" s="1">
        <v>4834.03</v>
      </c>
      <c r="R784" s="1">
        <v>3331.47</v>
      </c>
      <c r="S784" s="1">
        <f t="shared" si="25"/>
        <v>1502.56</v>
      </c>
      <c r="T784" s="1" t="s">
        <v>874</v>
      </c>
      <c r="U784" s="1" t="s">
        <v>880</v>
      </c>
      <c r="V784" s="5" t="s">
        <v>884</v>
      </c>
    </row>
    <row r="785" spans="1:22" x14ac:dyDescent="0.3">
      <c r="A785" s="4" t="s">
        <v>160</v>
      </c>
      <c r="B785" s="3">
        <v>45479</v>
      </c>
      <c r="C785" s="1" t="str">
        <f t="shared" si="24"/>
        <v>July</v>
      </c>
      <c r="D785" s="1" t="s">
        <v>368</v>
      </c>
      <c r="E785" s="1" t="s">
        <v>645</v>
      </c>
      <c r="F785" s="1" t="s">
        <v>802</v>
      </c>
      <c r="G785" s="1" t="s">
        <v>804</v>
      </c>
      <c r="H785" s="1" t="s">
        <v>809</v>
      </c>
      <c r="I785" s="1" t="s">
        <v>815</v>
      </c>
      <c r="J785" s="1" t="s">
        <v>818</v>
      </c>
      <c r="K785" s="1" t="s">
        <v>820</v>
      </c>
      <c r="L785" s="1" t="s">
        <v>827</v>
      </c>
      <c r="M785" s="1">
        <v>3.01</v>
      </c>
      <c r="N785" s="1">
        <v>2730.17</v>
      </c>
      <c r="O785" s="1">
        <v>8417.8700000000008</v>
      </c>
      <c r="P785" s="1">
        <v>0</v>
      </c>
      <c r="Q785" s="1">
        <v>8496.4699999999993</v>
      </c>
      <c r="R785" s="1">
        <v>4844.82</v>
      </c>
      <c r="S785" s="1">
        <f t="shared" si="25"/>
        <v>3651.6499999999996</v>
      </c>
      <c r="T785" s="1" t="s">
        <v>873</v>
      </c>
      <c r="U785" s="1" t="s">
        <v>881</v>
      </c>
      <c r="V785" s="5" t="s">
        <v>882</v>
      </c>
    </row>
    <row r="786" spans="1:22" x14ac:dyDescent="0.3">
      <c r="A786" s="4" t="s">
        <v>299</v>
      </c>
      <c r="B786" s="3">
        <v>45611</v>
      </c>
      <c r="C786" s="1" t="str">
        <f t="shared" si="24"/>
        <v>November</v>
      </c>
      <c r="D786" s="1" t="s">
        <v>417</v>
      </c>
      <c r="E786" s="1" t="s">
        <v>781</v>
      </c>
      <c r="F786" s="1" t="s">
        <v>801</v>
      </c>
      <c r="G786" s="1" t="s">
        <v>805</v>
      </c>
      <c r="H786" s="1" t="s">
        <v>809</v>
      </c>
      <c r="I786" s="1" t="s">
        <v>809</v>
      </c>
      <c r="J786" s="1" t="s">
        <v>818</v>
      </c>
      <c r="K786" s="1" t="s">
        <v>820</v>
      </c>
      <c r="L786" s="1" t="s">
        <v>837</v>
      </c>
      <c r="M786" s="1">
        <v>8.32</v>
      </c>
      <c r="N786" s="1">
        <v>1939.43</v>
      </c>
      <c r="O786" s="1">
        <v>14322.25</v>
      </c>
      <c r="P786" s="1">
        <v>0.05</v>
      </c>
      <c r="Q786" s="1">
        <v>12582.26</v>
      </c>
      <c r="R786" s="1">
        <v>7426.87</v>
      </c>
      <c r="S786" s="1">
        <f t="shared" si="25"/>
        <v>5155.3900000000003</v>
      </c>
      <c r="T786" s="1" t="s">
        <v>873</v>
      </c>
      <c r="U786" s="1" t="s">
        <v>878</v>
      </c>
      <c r="V786" s="5" t="s">
        <v>883</v>
      </c>
    </row>
    <row r="787" spans="1:22" x14ac:dyDescent="0.3">
      <c r="A787" s="4" t="s">
        <v>107</v>
      </c>
      <c r="B787" s="3">
        <v>45426</v>
      </c>
      <c r="C787" s="1" t="str">
        <f t="shared" si="24"/>
        <v>May</v>
      </c>
      <c r="D787" s="1" t="s">
        <v>454</v>
      </c>
      <c r="E787" s="1" t="s">
        <v>592</v>
      </c>
      <c r="F787" s="1" t="s">
        <v>801</v>
      </c>
      <c r="G787" s="1" t="s">
        <v>807</v>
      </c>
      <c r="H787" s="1" t="s">
        <v>810</v>
      </c>
      <c r="I787" s="1" t="s">
        <v>809</v>
      </c>
      <c r="J787" s="1" t="s">
        <v>818</v>
      </c>
      <c r="K787" s="1" t="s">
        <v>820</v>
      </c>
      <c r="L787" s="1" t="s">
        <v>835</v>
      </c>
      <c r="M787" s="1">
        <v>0.98</v>
      </c>
      <c r="N787" s="1">
        <v>1244.47</v>
      </c>
      <c r="O787" s="1">
        <v>1085.06</v>
      </c>
      <c r="P787" s="1">
        <v>0.16</v>
      </c>
      <c r="Q787" s="1">
        <v>1035.1500000000001</v>
      </c>
      <c r="R787" s="1">
        <v>824.32</v>
      </c>
      <c r="S787" s="1">
        <f t="shared" si="25"/>
        <v>210.83000000000004</v>
      </c>
      <c r="T787" s="1" t="s">
        <v>874</v>
      </c>
      <c r="U787" s="1" t="s">
        <v>880</v>
      </c>
      <c r="V787" s="5" t="s">
        <v>883</v>
      </c>
    </row>
    <row r="788" spans="1:22" x14ac:dyDescent="0.3">
      <c r="A788" s="4" t="s">
        <v>143</v>
      </c>
      <c r="B788" s="3">
        <v>45323</v>
      </c>
      <c r="C788" s="1" t="str">
        <f t="shared" si="24"/>
        <v>February</v>
      </c>
      <c r="D788" s="1" t="s">
        <v>469</v>
      </c>
      <c r="E788" s="1" t="s">
        <v>628</v>
      </c>
      <c r="F788" s="1" t="s">
        <v>803</v>
      </c>
      <c r="G788" s="1" t="s">
        <v>807</v>
      </c>
      <c r="H788" s="1" t="s">
        <v>808</v>
      </c>
      <c r="I788" s="1" t="s">
        <v>816</v>
      </c>
      <c r="J788" s="1" t="s">
        <v>817</v>
      </c>
      <c r="K788" s="1" t="s">
        <v>822</v>
      </c>
      <c r="L788" s="1" t="s">
        <v>867</v>
      </c>
      <c r="M788" s="1">
        <v>10.29</v>
      </c>
      <c r="N788" s="1">
        <v>2747.18</v>
      </c>
      <c r="O788" s="1">
        <v>26871</v>
      </c>
      <c r="P788" s="1">
        <v>0.09</v>
      </c>
      <c r="Q788" s="1">
        <v>23199.27</v>
      </c>
      <c r="R788" s="1">
        <v>21982.92</v>
      </c>
      <c r="S788" s="1">
        <f t="shared" si="25"/>
        <v>1216.3500000000022</v>
      </c>
      <c r="T788" s="1" t="s">
        <v>873</v>
      </c>
      <c r="U788" s="1" t="s">
        <v>881</v>
      </c>
      <c r="V788" s="5" t="s">
        <v>882</v>
      </c>
    </row>
    <row r="789" spans="1:22" x14ac:dyDescent="0.3">
      <c r="A789" s="4" t="s">
        <v>268</v>
      </c>
      <c r="B789" s="3">
        <v>45596</v>
      </c>
      <c r="C789" s="1" t="str">
        <f t="shared" si="24"/>
        <v>October</v>
      </c>
      <c r="D789" s="1" t="s">
        <v>322</v>
      </c>
      <c r="E789" s="1" t="s">
        <v>751</v>
      </c>
      <c r="F789" s="1" t="s">
        <v>802</v>
      </c>
      <c r="G789" s="1" t="s">
        <v>807</v>
      </c>
      <c r="H789" s="1" t="s">
        <v>809</v>
      </c>
      <c r="I789" s="1" t="s">
        <v>809</v>
      </c>
      <c r="J789" s="1" t="s">
        <v>817</v>
      </c>
      <c r="K789" s="1" t="s">
        <v>821</v>
      </c>
      <c r="L789" s="1" t="s">
        <v>857</v>
      </c>
      <c r="M789" s="1">
        <v>8.67</v>
      </c>
      <c r="N789" s="1">
        <v>2618</v>
      </c>
      <c r="O789" s="1">
        <v>21301.22</v>
      </c>
      <c r="P789" s="1">
        <v>0</v>
      </c>
      <c r="Q789" s="1">
        <v>21779.279999999999</v>
      </c>
      <c r="R789" s="1">
        <v>20677.82</v>
      </c>
      <c r="S789" s="1">
        <f t="shared" si="25"/>
        <v>1101.4599999999991</v>
      </c>
      <c r="T789" s="1" t="s">
        <v>875</v>
      </c>
      <c r="U789" s="1" t="s">
        <v>879</v>
      </c>
      <c r="V789" s="5" t="s">
        <v>884</v>
      </c>
    </row>
    <row r="790" spans="1:22" x14ac:dyDescent="0.3">
      <c r="A790" s="4" t="s">
        <v>90</v>
      </c>
      <c r="B790" s="3">
        <v>45338</v>
      </c>
      <c r="C790" s="1" t="str">
        <f t="shared" si="24"/>
        <v>February</v>
      </c>
      <c r="D790" s="1" t="s">
        <v>373</v>
      </c>
      <c r="E790" s="1" t="s">
        <v>575</v>
      </c>
      <c r="F790" s="1" t="s">
        <v>803</v>
      </c>
      <c r="G790" s="1" t="s">
        <v>804</v>
      </c>
      <c r="H790" s="1" t="s">
        <v>808</v>
      </c>
      <c r="I790" s="1" t="s">
        <v>813</v>
      </c>
      <c r="J790" s="1" t="s">
        <v>818</v>
      </c>
      <c r="K790" s="1" t="s">
        <v>822</v>
      </c>
      <c r="L790" s="1" t="s">
        <v>859</v>
      </c>
      <c r="M790" s="1">
        <v>8.61</v>
      </c>
      <c r="N790" s="1">
        <v>2761.01</v>
      </c>
      <c r="O790" s="1">
        <v>32572.84</v>
      </c>
      <c r="P790" s="1">
        <v>0.16</v>
      </c>
      <c r="Q790" s="1">
        <v>29030.99</v>
      </c>
      <c r="R790" s="1">
        <v>18096.189999999999</v>
      </c>
      <c r="S790" s="1">
        <f t="shared" si="25"/>
        <v>10934.800000000003</v>
      </c>
      <c r="T790" s="1" t="s">
        <v>874</v>
      </c>
      <c r="U790" s="1" t="s">
        <v>881</v>
      </c>
      <c r="V790" s="5" t="s">
        <v>882</v>
      </c>
    </row>
    <row r="791" spans="1:22" x14ac:dyDescent="0.3">
      <c r="A791" s="4" t="s">
        <v>255</v>
      </c>
      <c r="B791" s="3">
        <v>45564</v>
      </c>
      <c r="C791" s="1" t="str">
        <f t="shared" si="24"/>
        <v>September</v>
      </c>
      <c r="D791" s="1" t="s">
        <v>472</v>
      </c>
      <c r="E791" s="1" t="s">
        <v>738</v>
      </c>
      <c r="F791" s="1" t="s">
        <v>801</v>
      </c>
      <c r="G791" s="1" t="s">
        <v>807</v>
      </c>
      <c r="H791" s="1" t="s">
        <v>810</v>
      </c>
      <c r="I791" s="1" t="s">
        <v>813</v>
      </c>
      <c r="J791" s="1" t="s">
        <v>818</v>
      </c>
      <c r="K791" s="1" t="s">
        <v>821</v>
      </c>
      <c r="L791" s="1" t="s">
        <v>861</v>
      </c>
      <c r="M791" s="1">
        <v>7.3</v>
      </c>
      <c r="N791" s="1">
        <v>3200.35</v>
      </c>
      <c r="O791" s="1">
        <v>19322.68</v>
      </c>
      <c r="P791" s="1">
        <v>0.1</v>
      </c>
      <c r="Q791" s="1">
        <v>20663.669999999998</v>
      </c>
      <c r="R791" s="1">
        <v>9782.93</v>
      </c>
      <c r="S791" s="1">
        <f t="shared" si="25"/>
        <v>10880.739999999998</v>
      </c>
      <c r="T791" s="1" t="s">
        <v>873</v>
      </c>
      <c r="U791" s="1" t="s">
        <v>878</v>
      </c>
      <c r="V791" s="5" t="s">
        <v>882</v>
      </c>
    </row>
    <row r="792" spans="1:22" x14ac:dyDescent="0.3">
      <c r="A792" s="4" t="s">
        <v>136</v>
      </c>
      <c r="B792" s="3">
        <v>45605</v>
      </c>
      <c r="C792" s="1" t="str">
        <f t="shared" si="24"/>
        <v>November</v>
      </c>
      <c r="D792" s="1" t="s">
        <v>393</v>
      </c>
      <c r="E792" s="1" t="s">
        <v>621</v>
      </c>
      <c r="F792" s="1" t="s">
        <v>802</v>
      </c>
      <c r="G792" s="1" t="s">
        <v>806</v>
      </c>
      <c r="H792" s="1" t="s">
        <v>809</v>
      </c>
      <c r="I792" s="1" t="s">
        <v>813</v>
      </c>
      <c r="J792" s="1" t="s">
        <v>817</v>
      </c>
      <c r="K792" s="1" t="s">
        <v>822</v>
      </c>
      <c r="L792" s="1" t="s">
        <v>857</v>
      </c>
      <c r="M792" s="1">
        <v>9.9</v>
      </c>
      <c r="N792" s="1">
        <v>815.72</v>
      </c>
      <c r="O792" s="1">
        <v>8156.64</v>
      </c>
      <c r="P792" s="1">
        <v>0</v>
      </c>
      <c r="Q792" s="1">
        <v>9170.11</v>
      </c>
      <c r="R792" s="1">
        <v>5125.66</v>
      </c>
      <c r="S792" s="1">
        <f t="shared" si="25"/>
        <v>4044.4500000000007</v>
      </c>
      <c r="T792" s="1" t="s">
        <v>876</v>
      </c>
      <c r="U792" s="1" t="s">
        <v>877</v>
      </c>
      <c r="V792" s="5" t="s">
        <v>884</v>
      </c>
    </row>
    <row r="793" spans="1:22" x14ac:dyDescent="0.3">
      <c r="A793" s="4" t="s">
        <v>143</v>
      </c>
      <c r="B793" s="3">
        <v>45323</v>
      </c>
      <c r="C793" s="1" t="str">
        <f t="shared" si="24"/>
        <v>February</v>
      </c>
      <c r="D793" s="1" t="s">
        <v>469</v>
      </c>
      <c r="E793" s="1" t="s">
        <v>628</v>
      </c>
      <c r="F793" s="1" t="s">
        <v>803</v>
      </c>
      <c r="G793" s="1" t="s">
        <v>807</v>
      </c>
      <c r="H793" s="1" t="s">
        <v>808</v>
      </c>
      <c r="I793" s="1" t="s">
        <v>816</v>
      </c>
      <c r="J793" s="1" t="s">
        <v>817</v>
      </c>
      <c r="K793" s="1" t="s">
        <v>822</v>
      </c>
      <c r="L793" s="1" t="s">
        <v>867</v>
      </c>
      <c r="M793" s="1">
        <v>10.119999999999999</v>
      </c>
      <c r="N793" s="1">
        <v>2814.8</v>
      </c>
      <c r="O793" s="1">
        <v>27445.93</v>
      </c>
      <c r="P793" s="1">
        <v>0.1</v>
      </c>
      <c r="Q793" s="1">
        <v>23574.58</v>
      </c>
      <c r="R793" s="1">
        <v>20614.41</v>
      </c>
      <c r="S793" s="1">
        <f t="shared" si="25"/>
        <v>2960.1700000000019</v>
      </c>
      <c r="T793" s="1" t="s">
        <v>873</v>
      </c>
      <c r="U793" s="1" t="s">
        <v>881</v>
      </c>
      <c r="V793" s="5" t="s">
        <v>882</v>
      </c>
    </row>
    <row r="794" spans="1:22" x14ac:dyDescent="0.3">
      <c r="A794" s="4" t="s">
        <v>190</v>
      </c>
      <c r="B794" s="3">
        <v>45451</v>
      </c>
      <c r="C794" s="1" t="str">
        <f t="shared" si="24"/>
        <v>June</v>
      </c>
      <c r="D794" s="1" t="s">
        <v>365</v>
      </c>
      <c r="E794" s="1" t="s">
        <v>674</v>
      </c>
      <c r="F794" s="1" t="s">
        <v>801</v>
      </c>
      <c r="G794" s="1" t="s">
        <v>806</v>
      </c>
      <c r="H794" s="1" t="s">
        <v>812</v>
      </c>
      <c r="I794" s="1" t="s">
        <v>813</v>
      </c>
      <c r="J794" s="1" t="s">
        <v>817</v>
      </c>
      <c r="K794" s="1" t="s">
        <v>822</v>
      </c>
      <c r="L794" s="1" t="s">
        <v>828</v>
      </c>
      <c r="M794" s="1">
        <v>3.49</v>
      </c>
      <c r="N794" s="1">
        <v>1354.13</v>
      </c>
      <c r="O794" s="1">
        <v>5686.42</v>
      </c>
      <c r="P794" s="1">
        <v>0.17</v>
      </c>
      <c r="Q794" s="1">
        <v>4782.42</v>
      </c>
      <c r="R794" s="1">
        <v>3126.61</v>
      </c>
      <c r="S794" s="1">
        <f t="shared" si="25"/>
        <v>1655.81</v>
      </c>
      <c r="T794" s="1" t="s">
        <v>874</v>
      </c>
      <c r="U794" s="1" t="s">
        <v>878</v>
      </c>
      <c r="V794" s="5" t="s">
        <v>882</v>
      </c>
    </row>
    <row r="795" spans="1:22" x14ac:dyDescent="0.3">
      <c r="A795" s="4" t="s">
        <v>315</v>
      </c>
      <c r="B795" s="3">
        <v>45463</v>
      </c>
      <c r="C795" s="1" t="str">
        <f t="shared" si="24"/>
        <v>June</v>
      </c>
      <c r="D795" s="1" t="s">
        <v>407</v>
      </c>
      <c r="E795" s="1" t="s">
        <v>797</v>
      </c>
      <c r="F795" s="1" t="s">
        <v>803</v>
      </c>
      <c r="G795" s="1" t="s">
        <v>807</v>
      </c>
      <c r="H795" s="1" t="s">
        <v>812</v>
      </c>
      <c r="I795" s="1" t="s">
        <v>813</v>
      </c>
      <c r="J795" s="1" t="s">
        <v>817</v>
      </c>
      <c r="K795" s="1" t="s">
        <v>820</v>
      </c>
      <c r="L795" s="1" t="s">
        <v>841</v>
      </c>
      <c r="M795" s="1">
        <v>9.77</v>
      </c>
      <c r="N795" s="1">
        <v>470.81</v>
      </c>
      <c r="O795" s="1">
        <v>4709.95</v>
      </c>
      <c r="P795" s="1">
        <v>0.05</v>
      </c>
      <c r="Q795" s="1">
        <v>4013.03</v>
      </c>
      <c r="R795" s="1">
        <v>2345.42</v>
      </c>
      <c r="S795" s="1">
        <f t="shared" si="25"/>
        <v>1667.6100000000001</v>
      </c>
      <c r="T795" s="1" t="s">
        <v>876</v>
      </c>
      <c r="U795" s="1" t="s">
        <v>877</v>
      </c>
      <c r="V795" s="5" t="s">
        <v>884</v>
      </c>
    </row>
    <row r="796" spans="1:22" x14ac:dyDescent="0.3">
      <c r="A796" s="4" t="s">
        <v>226</v>
      </c>
      <c r="B796" s="3">
        <v>45606</v>
      </c>
      <c r="C796" s="1" t="str">
        <f t="shared" si="24"/>
        <v>November</v>
      </c>
      <c r="D796" s="1" t="s">
        <v>473</v>
      </c>
      <c r="E796" s="1" t="s">
        <v>709</v>
      </c>
      <c r="F796" s="1" t="s">
        <v>803</v>
      </c>
      <c r="G796" s="1" t="s">
        <v>806</v>
      </c>
      <c r="H796" s="1" t="s">
        <v>808</v>
      </c>
      <c r="I796" s="1" t="s">
        <v>809</v>
      </c>
      <c r="J796" s="1" t="s">
        <v>819</v>
      </c>
      <c r="K796" s="1" t="s">
        <v>822</v>
      </c>
      <c r="L796" s="1" t="s">
        <v>823</v>
      </c>
      <c r="M796" s="1">
        <v>11.28</v>
      </c>
      <c r="N796" s="1">
        <v>2779.65</v>
      </c>
      <c r="O796" s="1">
        <v>35274.160000000003</v>
      </c>
      <c r="P796" s="1">
        <v>0.05</v>
      </c>
      <c r="Q796" s="1">
        <v>36790.519999999997</v>
      </c>
      <c r="R796" s="1">
        <v>23308.2</v>
      </c>
      <c r="S796" s="1">
        <f t="shared" si="25"/>
        <v>13482.319999999996</v>
      </c>
      <c r="T796" s="1" t="s">
        <v>874</v>
      </c>
      <c r="U796" s="1" t="s">
        <v>881</v>
      </c>
      <c r="V796" s="5" t="s">
        <v>883</v>
      </c>
    </row>
    <row r="797" spans="1:22" x14ac:dyDescent="0.3">
      <c r="A797" s="4" t="s">
        <v>255</v>
      </c>
      <c r="B797" s="3">
        <v>45564</v>
      </c>
      <c r="C797" s="1" t="str">
        <f t="shared" si="24"/>
        <v>September</v>
      </c>
      <c r="D797" s="1" t="s">
        <v>472</v>
      </c>
      <c r="E797" s="1" t="s">
        <v>738</v>
      </c>
      <c r="F797" s="1" t="s">
        <v>801</v>
      </c>
      <c r="G797" s="1" t="s">
        <v>807</v>
      </c>
      <c r="H797" s="1" t="s">
        <v>810</v>
      </c>
      <c r="I797" s="1" t="s">
        <v>813</v>
      </c>
      <c r="J797" s="1" t="s">
        <v>818</v>
      </c>
      <c r="K797" s="1" t="s">
        <v>821</v>
      </c>
      <c r="L797" s="1" t="s">
        <v>861</v>
      </c>
      <c r="M797" s="1">
        <v>6.65</v>
      </c>
      <c r="N797" s="1">
        <v>3144.66</v>
      </c>
      <c r="O797" s="1">
        <v>20836.52</v>
      </c>
      <c r="P797" s="1">
        <v>0.13</v>
      </c>
      <c r="Q797" s="1">
        <v>22578.07</v>
      </c>
      <c r="R797" s="1">
        <v>11262.99</v>
      </c>
      <c r="S797" s="1">
        <f t="shared" si="25"/>
        <v>11315.08</v>
      </c>
      <c r="T797" s="1" t="s">
        <v>873</v>
      </c>
      <c r="U797" s="1" t="s">
        <v>878</v>
      </c>
      <c r="V797" s="5" t="s">
        <v>882</v>
      </c>
    </row>
    <row r="798" spans="1:22" x14ac:dyDescent="0.3">
      <c r="A798" s="4" t="s">
        <v>235</v>
      </c>
      <c r="B798" s="3">
        <v>45591</v>
      </c>
      <c r="C798" s="1" t="str">
        <f t="shared" si="24"/>
        <v>October</v>
      </c>
      <c r="D798" s="1" t="s">
        <v>410</v>
      </c>
      <c r="E798" s="1" t="s">
        <v>718</v>
      </c>
      <c r="F798" s="1" t="s">
        <v>802</v>
      </c>
      <c r="G798" s="1" t="s">
        <v>806</v>
      </c>
      <c r="H798" s="1" t="s">
        <v>808</v>
      </c>
      <c r="I798" s="1" t="s">
        <v>816</v>
      </c>
      <c r="J798" s="1" t="s">
        <v>818</v>
      </c>
      <c r="K798" s="1" t="s">
        <v>820</v>
      </c>
      <c r="L798" s="1" t="s">
        <v>843</v>
      </c>
      <c r="M798" s="1">
        <v>4.1100000000000003</v>
      </c>
      <c r="N798" s="1">
        <v>2842.87</v>
      </c>
      <c r="O798" s="1">
        <v>11324.62</v>
      </c>
      <c r="P798" s="1">
        <v>0</v>
      </c>
      <c r="Q798" s="1">
        <v>12091.46</v>
      </c>
      <c r="R798" s="1">
        <v>8137.86</v>
      </c>
      <c r="S798" s="1">
        <f t="shared" si="25"/>
        <v>3953.5999999999995</v>
      </c>
      <c r="T798" s="1" t="s">
        <v>876</v>
      </c>
      <c r="U798" s="1" t="s">
        <v>877</v>
      </c>
      <c r="V798" s="5" t="s">
        <v>884</v>
      </c>
    </row>
    <row r="799" spans="1:22" x14ac:dyDescent="0.3">
      <c r="A799" s="4" t="s">
        <v>194</v>
      </c>
      <c r="B799" s="3">
        <v>45493</v>
      </c>
      <c r="C799" s="1" t="str">
        <f t="shared" si="24"/>
        <v>July</v>
      </c>
      <c r="D799" s="1" t="s">
        <v>353</v>
      </c>
      <c r="E799" s="1" t="s">
        <v>678</v>
      </c>
      <c r="F799" s="1" t="s">
        <v>801</v>
      </c>
      <c r="G799" s="1" t="s">
        <v>805</v>
      </c>
      <c r="H799" s="1" t="s">
        <v>812</v>
      </c>
      <c r="I799" s="1" t="s">
        <v>814</v>
      </c>
      <c r="J799" s="1" t="s">
        <v>818</v>
      </c>
      <c r="K799" s="1" t="s">
        <v>821</v>
      </c>
      <c r="L799" s="1" t="s">
        <v>862</v>
      </c>
      <c r="M799" s="1">
        <v>9.61</v>
      </c>
      <c r="N799" s="1">
        <v>2441.3200000000002</v>
      </c>
      <c r="O799" s="1">
        <v>29918.78</v>
      </c>
      <c r="P799" s="1">
        <v>0.1</v>
      </c>
      <c r="Q799" s="1">
        <v>23074.46</v>
      </c>
      <c r="R799" s="1">
        <v>19123.66</v>
      </c>
      <c r="S799" s="1">
        <f t="shared" si="25"/>
        <v>3950.7999999999993</v>
      </c>
      <c r="T799" s="1" t="s">
        <v>873</v>
      </c>
      <c r="U799" s="1" t="s">
        <v>881</v>
      </c>
      <c r="V799" s="5" t="s">
        <v>882</v>
      </c>
    </row>
    <row r="800" spans="1:22" x14ac:dyDescent="0.3">
      <c r="A800" s="4" t="s">
        <v>111</v>
      </c>
      <c r="B800" s="3">
        <v>45425</v>
      </c>
      <c r="C800" s="1" t="str">
        <f t="shared" si="24"/>
        <v>May</v>
      </c>
      <c r="D800" s="1" t="s">
        <v>354</v>
      </c>
      <c r="E800" s="1" t="s">
        <v>596</v>
      </c>
      <c r="F800" s="1" t="s">
        <v>801</v>
      </c>
      <c r="G800" s="1" t="s">
        <v>805</v>
      </c>
      <c r="H800" s="1" t="s">
        <v>812</v>
      </c>
      <c r="I800" s="1" t="s">
        <v>814</v>
      </c>
      <c r="J800" s="1" t="s">
        <v>818</v>
      </c>
      <c r="K800" s="1" t="s">
        <v>820</v>
      </c>
      <c r="L800" s="1" t="s">
        <v>858</v>
      </c>
      <c r="M800" s="1">
        <v>5.45</v>
      </c>
      <c r="N800" s="1">
        <v>1212.28</v>
      </c>
      <c r="O800" s="1">
        <v>7279.35</v>
      </c>
      <c r="P800" s="1">
        <v>0.09</v>
      </c>
      <c r="Q800" s="1">
        <v>6367.05</v>
      </c>
      <c r="R800" s="1">
        <v>4051.29</v>
      </c>
      <c r="S800" s="1">
        <f t="shared" si="25"/>
        <v>2315.7600000000002</v>
      </c>
      <c r="T800" s="1" t="s">
        <v>876</v>
      </c>
      <c r="U800" s="1" t="s">
        <v>878</v>
      </c>
      <c r="V800" s="5" t="s">
        <v>883</v>
      </c>
    </row>
    <row r="801" spans="1:22" x14ac:dyDescent="0.3">
      <c r="A801" s="4" t="s">
        <v>23</v>
      </c>
      <c r="B801" s="3">
        <v>45568</v>
      </c>
      <c r="C801" s="1" t="str">
        <f t="shared" si="24"/>
        <v>October</v>
      </c>
      <c r="D801" s="1" t="s">
        <v>328</v>
      </c>
      <c r="E801" s="1" t="s">
        <v>508</v>
      </c>
      <c r="F801" s="1" t="s">
        <v>801</v>
      </c>
      <c r="G801" s="1" t="s">
        <v>804</v>
      </c>
      <c r="H801" s="1" t="s">
        <v>808</v>
      </c>
      <c r="I801" s="1" t="s">
        <v>809</v>
      </c>
      <c r="J801" s="1" t="s">
        <v>818</v>
      </c>
      <c r="K801" s="1" t="s">
        <v>820</v>
      </c>
      <c r="L801" s="1" t="s">
        <v>825</v>
      </c>
      <c r="M801" s="1">
        <v>10.93</v>
      </c>
      <c r="N801" s="1">
        <v>1327.02</v>
      </c>
      <c r="O801" s="1">
        <v>12390.03</v>
      </c>
      <c r="P801" s="1">
        <v>0.05</v>
      </c>
      <c r="Q801" s="1">
        <v>11895.14</v>
      </c>
      <c r="R801" s="1">
        <v>8552.69</v>
      </c>
      <c r="S801" s="1">
        <f t="shared" si="25"/>
        <v>3342.4499999999989</v>
      </c>
      <c r="T801" s="1" t="s">
        <v>875</v>
      </c>
      <c r="U801" s="1" t="s">
        <v>878</v>
      </c>
      <c r="V801" s="5" t="s">
        <v>883</v>
      </c>
    </row>
    <row r="802" spans="1:22" x14ac:dyDescent="0.3">
      <c r="A802" s="4" t="s">
        <v>160</v>
      </c>
      <c r="B802" s="3">
        <v>45479</v>
      </c>
      <c r="C802" s="1" t="str">
        <f t="shared" si="24"/>
        <v>July</v>
      </c>
      <c r="D802" s="1" t="s">
        <v>368</v>
      </c>
      <c r="E802" s="1" t="s">
        <v>645</v>
      </c>
      <c r="F802" s="1" t="s">
        <v>802</v>
      </c>
      <c r="G802" s="1" t="s">
        <v>804</v>
      </c>
      <c r="H802" s="1" t="s">
        <v>809</v>
      </c>
      <c r="I802" s="1" t="s">
        <v>815</v>
      </c>
      <c r="J802" s="1" t="s">
        <v>818</v>
      </c>
      <c r="K802" s="1" t="s">
        <v>820</v>
      </c>
      <c r="L802" s="1" t="s">
        <v>827</v>
      </c>
      <c r="M802" s="1">
        <v>2.6</v>
      </c>
      <c r="N802" s="1">
        <v>3003.98</v>
      </c>
      <c r="O802" s="1">
        <v>7638.9</v>
      </c>
      <c r="P802" s="1">
        <v>0</v>
      </c>
      <c r="Q802" s="1">
        <v>7852.14</v>
      </c>
      <c r="R802" s="1">
        <v>5189.1499999999996</v>
      </c>
      <c r="S802" s="1">
        <f t="shared" si="25"/>
        <v>2662.9900000000007</v>
      </c>
      <c r="T802" s="1" t="s">
        <v>873</v>
      </c>
      <c r="U802" s="1" t="s">
        <v>881</v>
      </c>
      <c r="V802" s="5" t="s">
        <v>882</v>
      </c>
    </row>
    <row r="803" spans="1:22" x14ac:dyDescent="0.3">
      <c r="A803" s="4" t="s">
        <v>174</v>
      </c>
      <c r="B803" s="3">
        <v>45526</v>
      </c>
      <c r="C803" s="1" t="str">
        <f t="shared" si="24"/>
        <v>August</v>
      </c>
      <c r="D803" s="1" t="s">
        <v>359</v>
      </c>
      <c r="E803" s="1" t="s">
        <v>659</v>
      </c>
      <c r="F803" s="1" t="s">
        <v>802</v>
      </c>
      <c r="G803" s="1" t="s">
        <v>807</v>
      </c>
      <c r="H803" s="1" t="s">
        <v>809</v>
      </c>
      <c r="I803" s="1" t="s">
        <v>816</v>
      </c>
      <c r="J803" s="1" t="s">
        <v>819</v>
      </c>
      <c r="K803" s="1" t="s">
        <v>822</v>
      </c>
      <c r="L803" s="1" t="s">
        <v>852</v>
      </c>
      <c r="M803" s="1">
        <v>11.89</v>
      </c>
      <c r="N803" s="1">
        <v>1513.82</v>
      </c>
      <c r="O803" s="1">
        <v>16340.3</v>
      </c>
      <c r="P803" s="1">
        <v>0.1</v>
      </c>
      <c r="Q803" s="1">
        <v>14873.2</v>
      </c>
      <c r="R803" s="1">
        <v>12185.54</v>
      </c>
      <c r="S803" s="1">
        <f t="shared" si="25"/>
        <v>2687.66</v>
      </c>
      <c r="T803" s="1" t="s">
        <v>875</v>
      </c>
      <c r="U803" s="1" t="s">
        <v>881</v>
      </c>
      <c r="V803" s="5" t="s">
        <v>884</v>
      </c>
    </row>
    <row r="804" spans="1:22" x14ac:dyDescent="0.3">
      <c r="A804" s="4" t="s">
        <v>160</v>
      </c>
      <c r="B804" s="3">
        <v>45479</v>
      </c>
      <c r="C804" s="1" t="str">
        <f t="shared" si="24"/>
        <v>July</v>
      </c>
      <c r="D804" s="1" t="s">
        <v>368</v>
      </c>
      <c r="E804" s="1" t="s">
        <v>645</v>
      </c>
      <c r="F804" s="1" t="s">
        <v>802</v>
      </c>
      <c r="G804" s="1" t="s">
        <v>804</v>
      </c>
      <c r="H804" s="1" t="s">
        <v>809</v>
      </c>
      <c r="I804" s="1" t="s">
        <v>815</v>
      </c>
      <c r="J804" s="1" t="s">
        <v>818</v>
      </c>
      <c r="K804" s="1" t="s">
        <v>820</v>
      </c>
      <c r="L804" s="1" t="s">
        <v>827</v>
      </c>
      <c r="M804" s="1">
        <v>2.86</v>
      </c>
      <c r="N804" s="1">
        <v>3179.73</v>
      </c>
      <c r="O804" s="1">
        <v>7162.89</v>
      </c>
      <c r="P804" s="1">
        <v>0</v>
      </c>
      <c r="Q804" s="1">
        <v>8075.99</v>
      </c>
      <c r="R804" s="1">
        <v>5022.59</v>
      </c>
      <c r="S804" s="1">
        <f t="shared" si="25"/>
        <v>3053.3999999999996</v>
      </c>
      <c r="T804" s="1" t="s">
        <v>873</v>
      </c>
      <c r="U804" s="1" t="s">
        <v>881</v>
      </c>
      <c r="V804" s="5" t="s">
        <v>882</v>
      </c>
    </row>
    <row r="805" spans="1:22" x14ac:dyDescent="0.3">
      <c r="A805" s="4" t="s">
        <v>255</v>
      </c>
      <c r="B805" s="3">
        <v>45564</v>
      </c>
      <c r="C805" s="1" t="str">
        <f t="shared" si="24"/>
        <v>September</v>
      </c>
      <c r="D805" s="1" t="s">
        <v>472</v>
      </c>
      <c r="E805" s="1" t="s">
        <v>738</v>
      </c>
      <c r="F805" s="1" t="s">
        <v>801</v>
      </c>
      <c r="G805" s="1" t="s">
        <v>807</v>
      </c>
      <c r="H805" s="1" t="s">
        <v>810</v>
      </c>
      <c r="I805" s="1" t="s">
        <v>813</v>
      </c>
      <c r="J805" s="1" t="s">
        <v>818</v>
      </c>
      <c r="K805" s="1" t="s">
        <v>821</v>
      </c>
      <c r="L805" s="1" t="s">
        <v>861</v>
      </c>
      <c r="M805" s="1">
        <v>6.7</v>
      </c>
      <c r="N805" s="1">
        <v>3451.86</v>
      </c>
      <c r="O805" s="1">
        <v>22877.96</v>
      </c>
      <c r="P805" s="1">
        <v>0.1</v>
      </c>
      <c r="Q805" s="1">
        <v>20690.740000000002</v>
      </c>
      <c r="R805" s="1">
        <v>13153.34</v>
      </c>
      <c r="S805" s="1">
        <f t="shared" si="25"/>
        <v>7537.4000000000015</v>
      </c>
      <c r="T805" s="1" t="s">
        <v>873</v>
      </c>
      <c r="U805" s="1" t="s">
        <v>878</v>
      </c>
      <c r="V805" s="5" t="s">
        <v>882</v>
      </c>
    </row>
    <row r="806" spans="1:22" x14ac:dyDescent="0.3">
      <c r="A806" s="4" t="s">
        <v>296</v>
      </c>
      <c r="B806" s="3">
        <v>45381</v>
      </c>
      <c r="C806" s="1" t="str">
        <f t="shared" si="24"/>
        <v>March</v>
      </c>
      <c r="D806" s="1" t="s">
        <v>502</v>
      </c>
      <c r="E806" s="1" t="s">
        <v>778</v>
      </c>
      <c r="F806" s="1" t="s">
        <v>803</v>
      </c>
      <c r="G806" s="1" t="s">
        <v>807</v>
      </c>
      <c r="H806" s="1" t="s">
        <v>809</v>
      </c>
      <c r="I806" s="1" t="s">
        <v>813</v>
      </c>
      <c r="J806" s="1" t="s">
        <v>819</v>
      </c>
      <c r="K806" s="1" t="s">
        <v>822</v>
      </c>
      <c r="L806" s="1" t="s">
        <v>826</v>
      </c>
      <c r="M806" s="1">
        <v>6.52</v>
      </c>
      <c r="N806" s="1">
        <v>1770.84</v>
      </c>
      <c r="O806" s="1">
        <v>11010.58</v>
      </c>
      <c r="P806" s="1">
        <v>0</v>
      </c>
      <c r="Q806" s="1">
        <v>10878.29</v>
      </c>
      <c r="R806" s="1">
        <v>6858</v>
      </c>
      <c r="S806" s="1">
        <f t="shared" si="25"/>
        <v>4020.2900000000009</v>
      </c>
      <c r="T806" s="1" t="s">
        <v>876</v>
      </c>
      <c r="U806" s="1" t="s">
        <v>879</v>
      </c>
      <c r="V806" s="5" t="s">
        <v>884</v>
      </c>
    </row>
    <row r="807" spans="1:22" x14ac:dyDescent="0.3">
      <c r="A807" s="4" t="s">
        <v>48</v>
      </c>
      <c r="B807" s="3">
        <v>45358</v>
      </c>
      <c r="C807" s="1" t="str">
        <f t="shared" si="24"/>
        <v>March</v>
      </c>
      <c r="D807" s="1" t="s">
        <v>419</v>
      </c>
      <c r="E807" s="1" t="s">
        <v>533</v>
      </c>
      <c r="F807" s="1" t="s">
        <v>803</v>
      </c>
      <c r="G807" s="1" t="s">
        <v>806</v>
      </c>
      <c r="H807" s="1" t="s">
        <v>810</v>
      </c>
      <c r="I807" s="1" t="s">
        <v>815</v>
      </c>
      <c r="J807" s="1" t="s">
        <v>818</v>
      </c>
      <c r="K807" s="1" t="s">
        <v>822</v>
      </c>
      <c r="L807" s="1" t="s">
        <v>840</v>
      </c>
      <c r="M807" s="1">
        <v>8.85</v>
      </c>
      <c r="N807" s="1">
        <v>2371.52</v>
      </c>
      <c r="O807" s="1">
        <v>24242.3</v>
      </c>
      <c r="P807" s="1">
        <v>0</v>
      </c>
      <c r="Q807" s="1">
        <v>24074.75</v>
      </c>
      <c r="R807" s="1">
        <v>21371.22</v>
      </c>
      <c r="S807" s="1">
        <f t="shared" si="25"/>
        <v>2703.5299999999988</v>
      </c>
      <c r="T807" s="1" t="s">
        <v>875</v>
      </c>
      <c r="U807" s="1" t="s">
        <v>879</v>
      </c>
      <c r="V807" s="5" t="s">
        <v>884</v>
      </c>
    </row>
    <row r="808" spans="1:22" x14ac:dyDescent="0.3">
      <c r="A808" s="4" t="s">
        <v>106</v>
      </c>
      <c r="B808" s="3">
        <v>45536</v>
      </c>
      <c r="C808" s="1" t="str">
        <f t="shared" si="24"/>
        <v>September</v>
      </c>
      <c r="D808" s="1" t="s">
        <v>341</v>
      </c>
      <c r="E808" s="1" t="s">
        <v>591</v>
      </c>
      <c r="F808" s="1" t="s">
        <v>803</v>
      </c>
      <c r="G808" s="1" t="s">
        <v>805</v>
      </c>
      <c r="H808" s="1" t="s">
        <v>810</v>
      </c>
      <c r="I808" s="1" t="s">
        <v>813</v>
      </c>
      <c r="J808" s="1" t="s">
        <v>817</v>
      </c>
      <c r="K808" s="1" t="s">
        <v>822</v>
      </c>
      <c r="L808" s="1" t="s">
        <v>830</v>
      </c>
      <c r="M808" s="1">
        <v>7.95</v>
      </c>
      <c r="N808" s="1">
        <v>469.96</v>
      </c>
      <c r="O808" s="1">
        <v>3607.03</v>
      </c>
      <c r="P808" s="1">
        <v>0.15</v>
      </c>
      <c r="Q808" s="1">
        <v>3090.07</v>
      </c>
      <c r="R808" s="1">
        <v>2550.6999999999998</v>
      </c>
      <c r="S808" s="1">
        <f t="shared" si="25"/>
        <v>539.37000000000035</v>
      </c>
      <c r="T808" s="1" t="s">
        <v>876</v>
      </c>
      <c r="U808" s="1" t="s">
        <v>877</v>
      </c>
      <c r="V808" s="5" t="s">
        <v>884</v>
      </c>
    </row>
    <row r="809" spans="1:22" x14ac:dyDescent="0.3">
      <c r="A809" s="4" t="s">
        <v>258</v>
      </c>
      <c r="B809" s="3">
        <v>45423</v>
      </c>
      <c r="C809" s="1" t="str">
        <f t="shared" si="24"/>
        <v>May</v>
      </c>
      <c r="D809" s="1" t="s">
        <v>337</v>
      </c>
      <c r="E809" s="1" t="s">
        <v>741</v>
      </c>
      <c r="F809" s="1" t="s">
        <v>803</v>
      </c>
      <c r="G809" s="1" t="s">
        <v>806</v>
      </c>
      <c r="H809" s="1" t="s">
        <v>811</v>
      </c>
      <c r="I809" s="1" t="s">
        <v>815</v>
      </c>
      <c r="J809" s="1" t="s">
        <v>817</v>
      </c>
      <c r="K809" s="1" t="s">
        <v>821</v>
      </c>
      <c r="L809" s="1" t="s">
        <v>827</v>
      </c>
      <c r="M809" s="1">
        <v>7.21</v>
      </c>
      <c r="N809" s="1">
        <v>2525.79</v>
      </c>
      <c r="O809" s="1">
        <v>22218.6</v>
      </c>
      <c r="P809" s="1">
        <v>0.05</v>
      </c>
      <c r="Q809" s="1">
        <v>20478.759999999998</v>
      </c>
      <c r="R809" s="1">
        <v>15135.62</v>
      </c>
      <c r="S809" s="1">
        <f t="shared" si="25"/>
        <v>5343.1399999999976</v>
      </c>
      <c r="T809" s="1" t="s">
        <v>875</v>
      </c>
      <c r="U809" s="1" t="s">
        <v>879</v>
      </c>
      <c r="V809" s="5" t="s">
        <v>884</v>
      </c>
    </row>
    <row r="810" spans="1:22" x14ac:dyDescent="0.3">
      <c r="A810" s="4" t="s">
        <v>194</v>
      </c>
      <c r="B810" s="3">
        <v>45493</v>
      </c>
      <c r="C810" s="1" t="str">
        <f t="shared" si="24"/>
        <v>July</v>
      </c>
      <c r="D810" s="1" t="s">
        <v>353</v>
      </c>
      <c r="E810" s="1" t="s">
        <v>678</v>
      </c>
      <c r="F810" s="1" t="s">
        <v>801</v>
      </c>
      <c r="G810" s="1" t="s">
        <v>805</v>
      </c>
      <c r="H810" s="1" t="s">
        <v>812</v>
      </c>
      <c r="I810" s="1" t="s">
        <v>814</v>
      </c>
      <c r="J810" s="1" t="s">
        <v>818</v>
      </c>
      <c r="K810" s="1" t="s">
        <v>821</v>
      </c>
      <c r="L810" s="1" t="s">
        <v>862</v>
      </c>
      <c r="M810" s="1">
        <v>10.7</v>
      </c>
      <c r="N810" s="1">
        <v>2673.76</v>
      </c>
      <c r="O810" s="1">
        <v>26414.65</v>
      </c>
      <c r="P810" s="1">
        <v>0.1</v>
      </c>
      <c r="Q810" s="1">
        <v>30154.1</v>
      </c>
      <c r="R810" s="1">
        <v>19084.97</v>
      </c>
      <c r="S810" s="1">
        <f t="shared" si="25"/>
        <v>11069.129999999997</v>
      </c>
      <c r="T810" s="1" t="s">
        <v>873</v>
      </c>
      <c r="U810" s="1" t="s">
        <v>881</v>
      </c>
      <c r="V810" s="5" t="s">
        <v>882</v>
      </c>
    </row>
    <row r="811" spans="1:22" x14ac:dyDescent="0.3">
      <c r="A811" s="4" t="s">
        <v>248</v>
      </c>
      <c r="B811" s="3">
        <v>45603</v>
      </c>
      <c r="C811" s="1" t="str">
        <f t="shared" si="24"/>
        <v>November</v>
      </c>
      <c r="D811" s="1" t="s">
        <v>490</v>
      </c>
      <c r="E811" s="1" t="s">
        <v>731</v>
      </c>
      <c r="F811" s="1" t="s">
        <v>802</v>
      </c>
      <c r="G811" s="1" t="s">
        <v>806</v>
      </c>
      <c r="H811" s="1" t="s">
        <v>808</v>
      </c>
      <c r="I811" s="1" t="s">
        <v>815</v>
      </c>
      <c r="J811" s="1" t="s">
        <v>817</v>
      </c>
      <c r="K811" s="1" t="s">
        <v>821</v>
      </c>
      <c r="L811" s="1" t="s">
        <v>833</v>
      </c>
      <c r="M811" s="1">
        <v>4.55</v>
      </c>
      <c r="N811" s="1">
        <v>1390.57</v>
      </c>
      <c r="O811" s="1">
        <v>7549.87</v>
      </c>
      <c r="P811" s="1">
        <v>0.14000000000000001</v>
      </c>
      <c r="Q811" s="1">
        <v>6594.87</v>
      </c>
      <c r="R811" s="1">
        <v>5664.35</v>
      </c>
      <c r="S811" s="1">
        <f t="shared" si="25"/>
        <v>930.51999999999953</v>
      </c>
      <c r="T811" s="1" t="s">
        <v>874</v>
      </c>
      <c r="U811" s="1" t="s">
        <v>877</v>
      </c>
      <c r="V811" s="5" t="s">
        <v>882</v>
      </c>
    </row>
    <row r="812" spans="1:22" x14ac:dyDescent="0.3">
      <c r="A812" s="4" t="s">
        <v>265</v>
      </c>
      <c r="B812" s="3">
        <v>45340</v>
      </c>
      <c r="C812" s="1" t="str">
        <f t="shared" si="24"/>
        <v>February</v>
      </c>
      <c r="D812" s="1" t="s">
        <v>387</v>
      </c>
      <c r="E812" s="1" t="s">
        <v>748</v>
      </c>
      <c r="F812" s="1" t="s">
        <v>803</v>
      </c>
      <c r="G812" s="1" t="s">
        <v>807</v>
      </c>
      <c r="H812" s="1" t="s">
        <v>811</v>
      </c>
      <c r="I812" s="1" t="s">
        <v>813</v>
      </c>
      <c r="J812" s="1" t="s">
        <v>817</v>
      </c>
      <c r="K812" s="1" t="s">
        <v>821</v>
      </c>
      <c r="L812" s="1" t="s">
        <v>869</v>
      </c>
      <c r="M812" s="1">
        <v>3.85</v>
      </c>
      <c r="N812" s="1">
        <v>736.63</v>
      </c>
      <c r="O812" s="1">
        <v>2939.17</v>
      </c>
      <c r="P812" s="1">
        <v>0.15</v>
      </c>
      <c r="Q812" s="1">
        <v>2556.41</v>
      </c>
      <c r="R812" s="1">
        <v>1877.51</v>
      </c>
      <c r="S812" s="1">
        <f t="shared" si="25"/>
        <v>678.89999999999986</v>
      </c>
      <c r="T812" s="1" t="s">
        <v>876</v>
      </c>
      <c r="U812" s="1" t="s">
        <v>881</v>
      </c>
      <c r="V812" s="5" t="s">
        <v>884</v>
      </c>
    </row>
    <row r="813" spans="1:22" x14ac:dyDescent="0.3">
      <c r="A813" s="4" t="s">
        <v>80</v>
      </c>
      <c r="B813" s="3">
        <v>45426</v>
      </c>
      <c r="C813" s="1" t="str">
        <f t="shared" si="24"/>
        <v>May</v>
      </c>
      <c r="D813" s="1" t="s">
        <v>454</v>
      </c>
      <c r="E813" s="1" t="s">
        <v>565</v>
      </c>
      <c r="F813" s="1" t="s">
        <v>803</v>
      </c>
      <c r="G813" s="1" t="s">
        <v>806</v>
      </c>
      <c r="H813" s="1" t="s">
        <v>809</v>
      </c>
      <c r="I813" s="1" t="s">
        <v>816</v>
      </c>
      <c r="J813" s="1" t="s">
        <v>818</v>
      </c>
      <c r="K813" s="1" t="s">
        <v>822</v>
      </c>
      <c r="L813" s="1" t="s">
        <v>857</v>
      </c>
      <c r="M813" s="1">
        <v>9.99</v>
      </c>
      <c r="N813" s="1">
        <v>2490.2800000000002</v>
      </c>
      <c r="O813" s="1">
        <v>35959.870000000003</v>
      </c>
      <c r="P813" s="1">
        <v>0.11</v>
      </c>
      <c r="Q813" s="1">
        <v>29932.47</v>
      </c>
      <c r="R813" s="1">
        <v>19503.68</v>
      </c>
      <c r="S813" s="1">
        <f t="shared" si="25"/>
        <v>10428.790000000001</v>
      </c>
      <c r="T813" s="1" t="s">
        <v>873</v>
      </c>
      <c r="U813" s="1" t="s">
        <v>879</v>
      </c>
      <c r="V813" s="5" t="s">
        <v>884</v>
      </c>
    </row>
    <row r="814" spans="1:22" x14ac:dyDescent="0.3">
      <c r="A814" s="4" t="s">
        <v>38</v>
      </c>
      <c r="B814" s="3">
        <v>45572</v>
      </c>
      <c r="C814" s="1" t="str">
        <f t="shared" si="24"/>
        <v>October</v>
      </c>
      <c r="D814" s="1" t="s">
        <v>443</v>
      </c>
      <c r="E814" s="1" t="s">
        <v>523</v>
      </c>
      <c r="F814" s="1" t="s">
        <v>801</v>
      </c>
      <c r="G814" s="1" t="s">
        <v>806</v>
      </c>
      <c r="H814" s="1" t="s">
        <v>810</v>
      </c>
      <c r="I814" s="1" t="s">
        <v>809</v>
      </c>
      <c r="J814" s="1" t="s">
        <v>819</v>
      </c>
      <c r="K814" s="1" t="s">
        <v>820</v>
      </c>
      <c r="L814" s="1" t="s">
        <v>839</v>
      </c>
      <c r="M814" s="1">
        <v>2.99</v>
      </c>
      <c r="N814" s="1">
        <v>457.02</v>
      </c>
      <c r="O814" s="1">
        <v>1388.43</v>
      </c>
      <c r="P814" s="1">
        <v>0</v>
      </c>
      <c r="Q814" s="1">
        <v>1303.67</v>
      </c>
      <c r="R814" s="1">
        <v>989.32</v>
      </c>
      <c r="S814" s="1">
        <f t="shared" si="25"/>
        <v>314.35000000000002</v>
      </c>
      <c r="T814" s="1" t="s">
        <v>875</v>
      </c>
      <c r="U814" s="1" t="s">
        <v>881</v>
      </c>
      <c r="V814" s="5" t="s">
        <v>884</v>
      </c>
    </row>
    <row r="815" spans="1:22" x14ac:dyDescent="0.3">
      <c r="A815" s="4" t="s">
        <v>315</v>
      </c>
      <c r="B815" s="3">
        <v>45463</v>
      </c>
      <c r="C815" s="1" t="str">
        <f t="shared" si="24"/>
        <v>June</v>
      </c>
      <c r="D815" s="1" t="s">
        <v>407</v>
      </c>
      <c r="E815" s="1" t="s">
        <v>797</v>
      </c>
      <c r="F815" s="1" t="s">
        <v>803</v>
      </c>
      <c r="G815" s="1" t="s">
        <v>807</v>
      </c>
      <c r="H815" s="1" t="s">
        <v>812</v>
      </c>
      <c r="I815" s="1" t="s">
        <v>813</v>
      </c>
      <c r="J815" s="1" t="s">
        <v>817</v>
      </c>
      <c r="K815" s="1" t="s">
        <v>820</v>
      </c>
      <c r="L815" s="1" t="s">
        <v>841</v>
      </c>
      <c r="M815" s="1">
        <v>10.4</v>
      </c>
      <c r="N815" s="1">
        <v>497.5</v>
      </c>
      <c r="O815" s="1">
        <v>3545.5</v>
      </c>
      <c r="P815" s="1">
        <v>0.05</v>
      </c>
      <c r="Q815" s="1">
        <v>3632.56</v>
      </c>
      <c r="R815" s="1">
        <v>2655.97</v>
      </c>
      <c r="S815" s="1">
        <f t="shared" si="25"/>
        <v>976.59000000000015</v>
      </c>
      <c r="T815" s="1" t="s">
        <v>876</v>
      </c>
      <c r="U815" s="1" t="s">
        <v>877</v>
      </c>
      <c r="V815" s="5" t="s">
        <v>884</v>
      </c>
    </row>
    <row r="816" spans="1:22" x14ac:dyDescent="0.3">
      <c r="A816" s="4" t="s">
        <v>160</v>
      </c>
      <c r="B816" s="3">
        <v>45479</v>
      </c>
      <c r="C816" s="1" t="str">
        <f t="shared" si="24"/>
        <v>July</v>
      </c>
      <c r="D816" s="1" t="s">
        <v>368</v>
      </c>
      <c r="E816" s="1" t="s">
        <v>645</v>
      </c>
      <c r="F816" s="1" t="s">
        <v>802</v>
      </c>
      <c r="G816" s="1" t="s">
        <v>804</v>
      </c>
      <c r="H816" s="1" t="s">
        <v>809</v>
      </c>
      <c r="I816" s="1" t="s">
        <v>815</v>
      </c>
      <c r="J816" s="1" t="s">
        <v>818</v>
      </c>
      <c r="K816" s="1" t="s">
        <v>820</v>
      </c>
      <c r="L816" s="1" t="s">
        <v>827</v>
      </c>
      <c r="M816" s="1">
        <v>3.14</v>
      </c>
      <c r="N816" s="1">
        <v>2923.44</v>
      </c>
      <c r="O816" s="1">
        <v>6996.19</v>
      </c>
      <c r="P816" s="1">
        <v>0</v>
      </c>
      <c r="Q816" s="1">
        <v>6782.49</v>
      </c>
      <c r="R816" s="1">
        <v>5607.74</v>
      </c>
      <c r="S816" s="1">
        <f t="shared" si="25"/>
        <v>1174.75</v>
      </c>
      <c r="T816" s="1" t="s">
        <v>873</v>
      </c>
      <c r="U816" s="1" t="s">
        <v>881</v>
      </c>
      <c r="V816" s="5" t="s">
        <v>882</v>
      </c>
    </row>
    <row r="817" spans="1:22" x14ac:dyDescent="0.3">
      <c r="A817" s="4" t="s">
        <v>117</v>
      </c>
      <c r="B817" s="3">
        <v>45413</v>
      </c>
      <c r="C817" s="1" t="str">
        <f t="shared" si="24"/>
        <v>May</v>
      </c>
      <c r="D817" s="1" t="s">
        <v>464</v>
      </c>
      <c r="E817" s="1" t="s">
        <v>602</v>
      </c>
      <c r="F817" s="1" t="s">
        <v>802</v>
      </c>
      <c r="G817" s="1" t="s">
        <v>807</v>
      </c>
      <c r="H817" s="1" t="s">
        <v>808</v>
      </c>
      <c r="I817" s="1" t="s">
        <v>814</v>
      </c>
      <c r="J817" s="1" t="s">
        <v>819</v>
      </c>
      <c r="K817" s="1" t="s">
        <v>820</v>
      </c>
      <c r="L817" s="1" t="s">
        <v>829</v>
      </c>
      <c r="M817" s="1">
        <v>3.44</v>
      </c>
      <c r="N817" s="1">
        <v>1351.77</v>
      </c>
      <c r="O817" s="1">
        <v>4859.3500000000004</v>
      </c>
      <c r="P817" s="1">
        <v>0.05</v>
      </c>
      <c r="Q817" s="1">
        <v>4849.79</v>
      </c>
      <c r="R817" s="1">
        <v>3456.99</v>
      </c>
      <c r="S817" s="1">
        <f t="shared" si="25"/>
        <v>1392.8000000000002</v>
      </c>
      <c r="T817" s="1" t="s">
        <v>874</v>
      </c>
      <c r="U817" s="1" t="s">
        <v>880</v>
      </c>
      <c r="V817" s="5" t="s">
        <v>884</v>
      </c>
    </row>
    <row r="818" spans="1:22" x14ac:dyDescent="0.3">
      <c r="A818" s="4" t="s">
        <v>255</v>
      </c>
      <c r="B818" s="3">
        <v>45564</v>
      </c>
      <c r="C818" s="1" t="str">
        <f t="shared" si="24"/>
        <v>September</v>
      </c>
      <c r="D818" s="1" t="s">
        <v>472</v>
      </c>
      <c r="E818" s="1" t="s">
        <v>738</v>
      </c>
      <c r="F818" s="1" t="s">
        <v>801</v>
      </c>
      <c r="G818" s="1" t="s">
        <v>807</v>
      </c>
      <c r="H818" s="1" t="s">
        <v>810</v>
      </c>
      <c r="I818" s="1" t="s">
        <v>813</v>
      </c>
      <c r="J818" s="1" t="s">
        <v>818</v>
      </c>
      <c r="K818" s="1" t="s">
        <v>821</v>
      </c>
      <c r="L818" s="1" t="s">
        <v>861</v>
      </c>
      <c r="M818" s="1">
        <v>7.64</v>
      </c>
      <c r="N818" s="1">
        <v>3437.63</v>
      </c>
      <c r="O818" s="1">
        <v>23300.25</v>
      </c>
      <c r="P818" s="1">
        <v>0.11</v>
      </c>
      <c r="Q818" s="1">
        <v>24234</v>
      </c>
      <c r="R818" s="1">
        <v>11636.4</v>
      </c>
      <c r="S818" s="1">
        <f t="shared" si="25"/>
        <v>12597.6</v>
      </c>
      <c r="T818" s="1" t="s">
        <v>873</v>
      </c>
      <c r="U818" s="1" t="s">
        <v>878</v>
      </c>
      <c r="V818" s="5" t="s">
        <v>882</v>
      </c>
    </row>
    <row r="819" spans="1:22" x14ac:dyDescent="0.3">
      <c r="A819" s="4" t="s">
        <v>207</v>
      </c>
      <c r="B819" s="3">
        <v>45362</v>
      </c>
      <c r="C819" s="1" t="str">
        <f t="shared" si="24"/>
        <v>March</v>
      </c>
      <c r="D819" s="1" t="s">
        <v>483</v>
      </c>
      <c r="E819" s="1" t="s">
        <v>691</v>
      </c>
      <c r="F819" s="1" t="s">
        <v>802</v>
      </c>
      <c r="G819" s="1" t="s">
        <v>805</v>
      </c>
      <c r="H819" s="1" t="s">
        <v>809</v>
      </c>
      <c r="I819" s="1" t="s">
        <v>813</v>
      </c>
      <c r="J819" s="1" t="s">
        <v>818</v>
      </c>
      <c r="K819" s="1" t="s">
        <v>821</v>
      </c>
      <c r="L819" s="1" t="s">
        <v>831</v>
      </c>
      <c r="M819" s="1">
        <v>5.35</v>
      </c>
      <c r="N819" s="1">
        <v>1847.19</v>
      </c>
      <c r="O819" s="1">
        <v>11552.16</v>
      </c>
      <c r="P819" s="1">
        <v>0</v>
      </c>
      <c r="Q819" s="1">
        <v>14782.99</v>
      </c>
      <c r="R819" s="1">
        <v>9266.23</v>
      </c>
      <c r="S819" s="1">
        <f t="shared" si="25"/>
        <v>5516.76</v>
      </c>
      <c r="T819" s="1" t="s">
        <v>873</v>
      </c>
      <c r="U819" s="1" t="s">
        <v>879</v>
      </c>
      <c r="V819" s="5" t="s">
        <v>883</v>
      </c>
    </row>
    <row r="820" spans="1:22" x14ac:dyDescent="0.3">
      <c r="A820" s="4" t="s">
        <v>175</v>
      </c>
      <c r="B820" s="3">
        <v>45366</v>
      </c>
      <c r="C820" s="1" t="str">
        <f t="shared" si="24"/>
        <v>March</v>
      </c>
      <c r="D820" s="1" t="s">
        <v>416</v>
      </c>
      <c r="E820" s="1" t="s">
        <v>660</v>
      </c>
      <c r="F820" s="1" t="s">
        <v>801</v>
      </c>
      <c r="G820" s="1" t="s">
        <v>806</v>
      </c>
      <c r="H820" s="1" t="s">
        <v>812</v>
      </c>
      <c r="I820" s="1" t="s">
        <v>813</v>
      </c>
      <c r="J820" s="1" t="s">
        <v>819</v>
      </c>
      <c r="K820" s="1" t="s">
        <v>820</v>
      </c>
      <c r="L820" s="1" t="s">
        <v>856</v>
      </c>
      <c r="M820" s="1">
        <v>8.94</v>
      </c>
      <c r="N820" s="1">
        <v>1457.18</v>
      </c>
      <c r="O820" s="1">
        <v>17748.57</v>
      </c>
      <c r="P820" s="1">
        <v>0.05</v>
      </c>
      <c r="Q820" s="1">
        <v>16834.13</v>
      </c>
      <c r="R820" s="1">
        <v>9163.11</v>
      </c>
      <c r="S820" s="1">
        <f t="shared" si="25"/>
        <v>7671.02</v>
      </c>
      <c r="T820" s="1" t="s">
        <v>876</v>
      </c>
      <c r="U820" s="1" t="s">
        <v>879</v>
      </c>
      <c r="V820" s="5" t="s">
        <v>883</v>
      </c>
    </row>
    <row r="821" spans="1:22" x14ac:dyDescent="0.3">
      <c r="A821" s="4" t="s">
        <v>206</v>
      </c>
      <c r="B821" s="3">
        <v>45569</v>
      </c>
      <c r="C821" s="1" t="str">
        <f t="shared" si="24"/>
        <v>October</v>
      </c>
      <c r="D821" s="1" t="s">
        <v>330</v>
      </c>
      <c r="E821" s="1" t="s">
        <v>690</v>
      </c>
      <c r="F821" s="1" t="s">
        <v>803</v>
      </c>
      <c r="G821" s="1" t="s">
        <v>807</v>
      </c>
      <c r="H821" s="1" t="s">
        <v>808</v>
      </c>
      <c r="I821" s="1" t="s">
        <v>815</v>
      </c>
      <c r="J821" s="1" t="s">
        <v>818</v>
      </c>
      <c r="K821" s="1" t="s">
        <v>821</v>
      </c>
      <c r="L821" s="1" t="s">
        <v>858</v>
      </c>
      <c r="M821" s="1">
        <v>8.1300000000000008</v>
      </c>
      <c r="N821" s="1">
        <v>1944.06</v>
      </c>
      <c r="O821" s="1">
        <v>16103.61</v>
      </c>
      <c r="P821" s="1">
        <v>0.05</v>
      </c>
      <c r="Q821" s="1">
        <v>16878.2</v>
      </c>
      <c r="R821" s="1">
        <v>13122.07</v>
      </c>
      <c r="S821" s="1">
        <f t="shared" si="25"/>
        <v>3756.130000000001</v>
      </c>
      <c r="T821" s="1" t="s">
        <v>874</v>
      </c>
      <c r="U821" s="1" t="s">
        <v>878</v>
      </c>
      <c r="V821" s="5" t="s">
        <v>883</v>
      </c>
    </row>
    <row r="822" spans="1:22" x14ac:dyDescent="0.3">
      <c r="A822" s="4" t="s">
        <v>117</v>
      </c>
      <c r="B822" s="3">
        <v>45413</v>
      </c>
      <c r="C822" s="1" t="str">
        <f t="shared" si="24"/>
        <v>May</v>
      </c>
      <c r="D822" s="1" t="s">
        <v>464</v>
      </c>
      <c r="E822" s="1" t="s">
        <v>602</v>
      </c>
      <c r="F822" s="1" t="s">
        <v>802</v>
      </c>
      <c r="G822" s="1" t="s">
        <v>807</v>
      </c>
      <c r="H822" s="1" t="s">
        <v>808</v>
      </c>
      <c r="I822" s="1" t="s">
        <v>814</v>
      </c>
      <c r="J822" s="1" t="s">
        <v>819</v>
      </c>
      <c r="K822" s="1" t="s">
        <v>820</v>
      </c>
      <c r="L822" s="1" t="s">
        <v>829</v>
      </c>
      <c r="M822" s="1">
        <v>3.82</v>
      </c>
      <c r="N822" s="1">
        <v>1187.6199999999999</v>
      </c>
      <c r="O822" s="1">
        <v>4878.84</v>
      </c>
      <c r="P822" s="1">
        <v>0.05</v>
      </c>
      <c r="Q822" s="1">
        <v>4841.25</v>
      </c>
      <c r="R822" s="1">
        <v>3483.01</v>
      </c>
      <c r="S822" s="1">
        <f t="shared" si="25"/>
        <v>1358.2399999999998</v>
      </c>
      <c r="T822" s="1" t="s">
        <v>874</v>
      </c>
      <c r="U822" s="1" t="s">
        <v>880</v>
      </c>
      <c r="V822" s="5" t="s">
        <v>884</v>
      </c>
    </row>
    <row r="823" spans="1:22" x14ac:dyDescent="0.3">
      <c r="A823" s="4" t="s">
        <v>130</v>
      </c>
      <c r="B823" s="3">
        <v>45516</v>
      </c>
      <c r="C823" s="1" t="str">
        <f t="shared" si="24"/>
        <v>August</v>
      </c>
      <c r="D823" s="1" t="s">
        <v>342</v>
      </c>
      <c r="E823" s="1" t="s">
        <v>615</v>
      </c>
      <c r="F823" s="1" t="s">
        <v>801</v>
      </c>
      <c r="G823" s="1" t="s">
        <v>805</v>
      </c>
      <c r="H823" s="1" t="s">
        <v>808</v>
      </c>
      <c r="I823" s="1" t="s">
        <v>809</v>
      </c>
      <c r="J823" s="1" t="s">
        <v>819</v>
      </c>
      <c r="K823" s="1" t="s">
        <v>822</v>
      </c>
      <c r="L823" s="1" t="s">
        <v>838</v>
      </c>
      <c r="M823" s="1">
        <v>2</v>
      </c>
      <c r="N823" s="1">
        <v>2317.62</v>
      </c>
      <c r="O823" s="1">
        <v>4775.7</v>
      </c>
      <c r="P823" s="1">
        <v>0.1</v>
      </c>
      <c r="Q823" s="1">
        <v>3673.8</v>
      </c>
      <c r="R823" s="1">
        <v>2518.25</v>
      </c>
      <c r="S823" s="1">
        <f t="shared" si="25"/>
        <v>1155.5500000000002</v>
      </c>
      <c r="T823" s="1" t="s">
        <v>873</v>
      </c>
      <c r="U823" s="1" t="s">
        <v>880</v>
      </c>
      <c r="V823" s="5" t="s">
        <v>884</v>
      </c>
    </row>
    <row r="824" spans="1:22" x14ac:dyDescent="0.3">
      <c r="A824" s="4" t="s">
        <v>77</v>
      </c>
      <c r="B824" s="3">
        <v>45485</v>
      </c>
      <c r="C824" s="1" t="str">
        <f t="shared" si="24"/>
        <v>July</v>
      </c>
      <c r="D824" s="1" t="s">
        <v>356</v>
      </c>
      <c r="E824" s="1" t="s">
        <v>562</v>
      </c>
      <c r="F824" s="1" t="s">
        <v>803</v>
      </c>
      <c r="G824" s="1" t="s">
        <v>807</v>
      </c>
      <c r="H824" s="1" t="s">
        <v>809</v>
      </c>
      <c r="I824" s="1" t="s">
        <v>815</v>
      </c>
      <c r="J824" s="1" t="s">
        <v>819</v>
      </c>
      <c r="K824" s="1" t="s">
        <v>820</v>
      </c>
      <c r="L824" s="1" t="s">
        <v>846</v>
      </c>
      <c r="M824" s="1">
        <v>6.65</v>
      </c>
      <c r="N824" s="1">
        <v>3640.58</v>
      </c>
      <c r="O824" s="1">
        <v>19623.669999999998</v>
      </c>
      <c r="P824" s="1">
        <v>0.15</v>
      </c>
      <c r="Q824" s="1">
        <v>18919.599999999999</v>
      </c>
      <c r="R824" s="1">
        <v>12538.45</v>
      </c>
      <c r="S824" s="1">
        <f t="shared" si="25"/>
        <v>6381.1499999999978</v>
      </c>
      <c r="T824" s="1" t="s">
        <v>875</v>
      </c>
      <c r="U824" s="1" t="s">
        <v>878</v>
      </c>
      <c r="V824" s="5" t="s">
        <v>884</v>
      </c>
    </row>
    <row r="825" spans="1:22" x14ac:dyDescent="0.3">
      <c r="A825" s="4" t="s">
        <v>280</v>
      </c>
      <c r="B825" s="3">
        <v>45592</v>
      </c>
      <c r="C825" s="1" t="str">
        <f t="shared" si="24"/>
        <v>October</v>
      </c>
      <c r="D825" s="1" t="s">
        <v>497</v>
      </c>
      <c r="E825" s="1" t="s">
        <v>763</v>
      </c>
      <c r="F825" s="1" t="s">
        <v>802</v>
      </c>
      <c r="G825" s="1" t="s">
        <v>806</v>
      </c>
      <c r="H825" s="1" t="s">
        <v>812</v>
      </c>
      <c r="I825" s="1" t="s">
        <v>814</v>
      </c>
      <c r="J825" s="1" t="s">
        <v>817</v>
      </c>
      <c r="K825" s="1" t="s">
        <v>822</v>
      </c>
      <c r="L825" s="1" t="s">
        <v>846</v>
      </c>
      <c r="M825" s="1">
        <v>9.18</v>
      </c>
      <c r="N825" s="1">
        <v>547.87</v>
      </c>
      <c r="O825" s="1">
        <v>5032.68</v>
      </c>
      <c r="P825" s="1">
        <v>0.14000000000000001</v>
      </c>
      <c r="Q825" s="1">
        <v>4716.38</v>
      </c>
      <c r="R825" s="1">
        <v>2594.04</v>
      </c>
      <c r="S825" s="1">
        <f t="shared" si="25"/>
        <v>2122.34</v>
      </c>
      <c r="T825" s="1" t="s">
        <v>873</v>
      </c>
      <c r="U825" s="1" t="s">
        <v>877</v>
      </c>
      <c r="V825" s="5" t="s">
        <v>883</v>
      </c>
    </row>
    <row r="826" spans="1:22" x14ac:dyDescent="0.3">
      <c r="A826" s="4" t="s">
        <v>79</v>
      </c>
      <c r="B826" s="3">
        <v>45499</v>
      </c>
      <c r="C826" s="1" t="str">
        <f t="shared" si="24"/>
        <v>July</v>
      </c>
      <c r="D826" s="1" t="s">
        <v>415</v>
      </c>
      <c r="E826" s="1" t="s">
        <v>564</v>
      </c>
      <c r="F826" s="1" t="s">
        <v>801</v>
      </c>
      <c r="G826" s="1" t="s">
        <v>806</v>
      </c>
      <c r="H826" s="1" t="s">
        <v>809</v>
      </c>
      <c r="I826" s="1" t="s">
        <v>814</v>
      </c>
      <c r="J826" s="1" t="s">
        <v>819</v>
      </c>
      <c r="K826" s="1" t="s">
        <v>822</v>
      </c>
      <c r="L826" s="1" t="s">
        <v>849</v>
      </c>
      <c r="M826" s="1">
        <v>6.53</v>
      </c>
      <c r="N826" s="1">
        <v>550.66</v>
      </c>
      <c r="O826" s="1">
        <v>3211.08</v>
      </c>
      <c r="P826" s="1">
        <v>0</v>
      </c>
      <c r="Q826" s="1">
        <v>3828.28</v>
      </c>
      <c r="R826" s="1">
        <v>3122.35</v>
      </c>
      <c r="S826" s="1">
        <f t="shared" si="25"/>
        <v>705.93000000000029</v>
      </c>
      <c r="T826" s="1" t="s">
        <v>874</v>
      </c>
      <c r="U826" s="1" t="s">
        <v>881</v>
      </c>
      <c r="V826" s="5" t="s">
        <v>882</v>
      </c>
    </row>
    <row r="827" spans="1:22" x14ac:dyDescent="0.3">
      <c r="A827" s="4" t="s">
        <v>111</v>
      </c>
      <c r="B827" s="3">
        <v>45425</v>
      </c>
      <c r="C827" s="1" t="str">
        <f t="shared" si="24"/>
        <v>May</v>
      </c>
      <c r="D827" s="1" t="s">
        <v>354</v>
      </c>
      <c r="E827" s="1" t="s">
        <v>596</v>
      </c>
      <c r="F827" s="1" t="s">
        <v>801</v>
      </c>
      <c r="G827" s="1" t="s">
        <v>805</v>
      </c>
      <c r="H827" s="1" t="s">
        <v>812</v>
      </c>
      <c r="I827" s="1" t="s">
        <v>814</v>
      </c>
      <c r="J827" s="1" t="s">
        <v>818</v>
      </c>
      <c r="K827" s="1" t="s">
        <v>820</v>
      </c>
      <c r="L827" s="1" t="s">
        <v>858</v>
      </c>
      <c r="M827" s="1">
        <v>4.96</v>
      </c>
      <c r="N827" s="1">
        <v>1269.54</v>
      </c>
      <c r="O827" s="1">
        <v>7321.45</v>
      </c>
      <c r="P827" s="1">
        <v>0.09</v>
      </c>
      <c r="Q827" s="1">
        <v>6222.46</v>
      </c>
      <c r="R827" s="1">
        <v>4189.6499999999996</v>
      </c>
      <c r="S827" s="1">
        <f t="shared" si="25"/>
        <v>2032.8100000000004</v>
      </c>
      <c r="T827" s="1" t="s">
        <v>876</v>
      </c>
      <c r="U827" s="1" t="s">
        <v>878</v>
      </c>
      <c r="V827" s="5" t="s">
        <v>883</v>
      </c>
    </row>
    <row r="828" spans="1:22" x14ac:dyDescent="0.3">
      <c r="A828" s="4" t="s">
        <v>23</v>
      </c>
      <c r="B828" s="3">
        <v>45568</v>
      </c>
      <c r="C828" s="1" t="str">
        <f t="shared" si="24"/>
        <v>October</v>
      </c>
      <c r="D828" s="1" t="s">
        <v>328</v>
      </c>
      <c r="E828" s="1" t="s">
        <v>508</v>
      </c>
      <c r="F828" s="1" t="s">
        <v>801</v>
      </c>
      <c r="G828" s="1" t="s">
        <v>804</v>
      </c>
      <c r="H828" s="1" t="s">
        <v>808</v>
      </c>
      <c r="I828" s="1" t="s">
        <v>809</v>
      </c>
      <c r="J828" s="1" t="s">
        <v>818</v>
      </c>
      <c r="K828" s="1" t="s">
        <v>820</v>
      </c>
      <c r="L828" s="1" t="s">
        <v>825</v>
      </c>
      <c r="M828" s="1">
        <v>9.56</v>
      </c>
      <c r="N828" s="1">
        <v>1137.29</v>
      </c>
      <c r="O828" s="1">
        <v>15328.75</v>
      </c>
      <c r="P828" s="1">
        <v>0.05</v>
      </c>
      <c r="Q828" s="1">
        <v>13447.59</v>
      </c>
      <c r="R828" s="1">
        <v>9233.26</v>
      </c>
      <c r="S828" s="1">
        <f t="shared" si="25"/>
        <v>4214.33</v>
      </c>
      <c r="T828" s="1" t="s">
        <v>875</v>
      </c>
      <c r="U828" s="1" t="s">
        <v>878</v>
      </c>
      <c r="V828" s="5" t="s">
        <v>883</v>
      </c>
    </row>
    <row r="829" spans="1:22" x14ac:dyDescent="0.3">
      <c r="A829" s="4" t="s">
        <v>88</v>
      </c>
      <c r="B829" s="3">
        <v>45539</v>
      </c>
      <c r="C829" s="1" t="str">
        <f t="shared" si="24"/>
        <v>September</v>
      </c>
      <c r="D829" s="1" t="s">
        <v>413</v>
      </c>
      <c r="E829" s="1" t="s">
        <v>573</v>
      </c>
      <c r="F829" s="1" t="s">
        <v>802</v>
      </c>
      <c r="G829" s="1" t="s">
        <v>804</v>
      </c>
      <c r="H829" s="1" t="s">
        <v>810</v>
      </c>
      <c r="I829" s="1" t="s">
        <v>816</v>
      </c>
      <c r="J829" s="1" t="s">
        <v>818</v>
      </c>
      <c r="K829" s="1" t="s">
        <v>822</v>
      </c>
      <c r="L829" s="1" t="s">
        <v>858</v>
      </c>
      <c r="M829" s="1">
        <v>6.39</v>
      </c>
      <c r="N829" s="1">
        <v>801.25</v>
      </c>
      <c r="O829" s="1">
        <v>5992.33</v>
      </c>
      <c r="P829" s="1">
        <v>0.16</v>
      </c>
      <c r="Q829" s="1">
        <v>4145.8100000000004</v>
      </c>
      <c r="R829" s="1">
        <v>3317.51</v>
      </c>
      <c r="S829" s="1">
        <f t="shared" si="25"/>
        <v>828.30000000000018</v>
      </c>
      <c r="T829" s="1" t="s">
        <v>874</v>
      </c>
      <c r="U829" s="1" t="s">
        <v>879</v>
      </c>
      <c r="V829" s="5" t="s">
        <v>884</v>
      </c>
    </row>
    <row r="830" spans="1:22" x14ac:dyDescent="0.3">
      <c r="A830" s="4" t="s">
        <v>211</v>
      </c>
      <c r="B830" s="3">
        <v>45482</v>
      </c>
      <c r="C830" s="1" t="str">
        <f t="shared" si="24"/>
        <v>July</v>
      </c>
      <c r="D830" s="1" t="s">
        <v>484</v>
      </c>
      <c r="E830" s="1" t="s">
        <v>694</v>
      </c>
      <c r="F830" s="1" t="s">
        <v>802</v>
      </c>
      <c r="G830" s="1" t="s">
        <v>806</v>
      </c>
      <c r="H830" s="1" t="s">
        <v>811</v>
      </c>
      <c r="I830" s="1" t="s">
        <v>809</v>
      </c>
      <c r="J830" s="1" t="s">
        <v>818</v>
      </c>
      <c r="K830" s="1" t="s">
        <v>820</v>
      </c>
      <c r="L830" s="1" t="s">
        <v>860</v>
      </c>
      <c r="M830" s="1">
        <v>1</v>
      </c>
      <c r="N830" s="1">
        <v>2535.75</v>
      </c>
      <c r="O830" s="1">
        <v>2388.5</v>
      </c>
      <c r="P830" s="1">
        <v>0.05</v>
      </c>
      <c r="Q830" s="1">
        <v>2759.83</v>
      </c>
      <c r="R830" s="1">
        <v>1752.64</v>
      </c>
      <c r="S830" s="1">
        <f t="shared" si="25"/>
        <v>1007.1899999999998</v>
      </c>
      <c r="T830" s="1" t="s">
        <v>876</v>
      </c>
      <c r="U830" s="1" t="s">
        <v>879</v>
      </c>
      <c r="V830" s="5" t="s">
        <v>882</v>
      </c>
    </row>
    <row r="831" spans="1:22" x14ac:dyDescent="0.3">
      <c r="A831" s="4" t="s">
        <v>39</v>
      </c>
      <c r="B831" s="3">
        <v>45424</v>
      </c>
      <c r="C831" s="1" t="str">
        <f t="shared" si="24"/>
        <v>May</v>
      </c>
      <c r="D831" s="1" t="s">
        <v>337</v>
      </c>
      <c r="E831" s="1" t="s">
        <v>524</v>
      </c>
      <c r="F831" s="1" t="s">
        <v>801</v>
      </c>
      <c r="G831" s="1" t="s">
        <v>805</v>
      </c>
      <c r="H831" s="1" t="s">
        <v>808</v>
      </c>
      <c r="I831" s="1" t="s">
        <v>813</v>
      </c>
      <c r="J831" s="1" t="s">
        <v>818</v>
      </c>
      <c r="K831" s="1" t="s">
        <v>820</v>
      </c>
      <c r="L831" s="1" t="s">
        <v>840</v>
      </c>
      <c r="M831" s="1">
        <v>7.54</v>
      </c>
      <c r="N831" s="1">
        <v>2983.07</v>
      </c>
      <c r="O831" s="1">
        <v>22718.1</v>
      </c>
      <c r="P831" s="1">
        <v>0</v>
      </c>
      <c r="Q831" s="1">
        <v>20933.439999999999</v>
      </c>
      <c r="R831" s="1">
        <v>18495.73</v>
      </c>
      <c r="S831" s="1">
        <f t="shared" si="25"/>
        <v>2437.7099999999991</v>
      </c>
      <c r="T831" s="1" t="s">
        <v>876</v>
      </c>
      <c r="U831" s="1" t="s">
        <v>878</v>
      </c>
      <c r="V831" s="5" t="s">
        <v>882</v>
      </c>
    </row>
    <row r="832" spans="1:22" x14ac:dyDescent="0.3">
      <c r="A832" s="4" t="s">
        <v>256</v>
      </c>
      <c r="B832" s="3">
        <v>45396</v>
      </c>
      <c r="C832" s="1" t="str">
        <f t="shared" si="24"/>
        <v>April</v>
      </c>
      <c r="D832" s="1" t="s">
        <v>372</v>
      </c>
      <c r="E832" s="1" t="s">
        <v>739</v>
      </c>
      <c r="F832" s="1" t="s">
        <v>802</v>
      </c>
      <c r="G832" s="1" t="s">
        <v>805</v>
      </c>
      <c r="H832" s="1" t="s">
        <v>810</v>
      </c>
      <c r="I832" s="1" t="s">
        <v>809</v>
      </c>
      <c r="J832" s="1" t="s">
        <v>818</v>
      </c>
      <c r="K832" s="1" t="s">
        <v>821</v>
      </c>
      <c r="L832" s="1" t="s">
        <v>855</v>
      </c>
      <c r="M832" s="1">
        <v>3.12</v>
      </c>
      <c r="N832" s="1">
        <v>1639.02</v>
      </c>
      <c r="O832" s="1">
        <v>5517.27</v>
      </c>
      <c r="P832" s="1">
        <v>0</v>
      </c>
      <c r="Q832" s="1">
        <v>5673.05</v>
      </c>
      <c r="R832" s="1">
        <v>3394</v>
      </c>
      <c r="S832" s="1">
        <f t="shared" si="25"/>
        <v>2279.0500000000002</v>
      </c>
      <c r="T832" s="1" t="s">
        <v>875</v>
      </c>
      <c r="U832" s="1" t="s">
        <v>878</v>
      </c>
      <c r="V832" s="5" t="s">
        <v>882</v>
      </c>
    </row>
    <row r="833" spans="1:22" x14ac:dyDescent="0.3">
      <c r="A833" s="4" t="s">
        <v>187</v>
      </c>
      <c r="B833" s="3">
        <v>45531</v>
      </c>
      <c r="C833" s="1" t="str">
        <f t="shared" si="24"/>
        <v>August</v>
      </c>
      <c r="D833" s="1" t="s">
        <v>478</v>
      </c>
      <c r="E833" s="1" t="s">
        <v>671</v>
      </c>
      <c r="F833" s="1" t="s">
        <v>801</v>
      </c>
      <c r="G833" s="1" t="s">
        <v>806</v>
      </c>
      <c r="H833" s="1" t="s">
        <v>812</v>
      </c>
      <c r="I833" s="1" t="s">
        <v>816</v>
      </c>
      <c r="J833" s="1" t="s">
        <v>818</v>
      </c>
      <c r="K833" s="1" t="s">
        <v>820</v>
      </c>
      <c r="L833" s="1" t="s">
        <v>830</v>
      </c>
      <c r="M833" s="1">
        <v>4.03</v>
      </c>
      <c r="N833" s="1">
        <v>959.47</v>
      </c>
      <c r="O833" s="1">
        <v>3589.18</v>
      </c>
      <c r="P833" s="1">
        <v>0.11</v>
      </c>
      <c r="Q833" s="1">
        <v>3706.03</v>
      </c>
      <c r="R833" s="1">
        <v>1984.52</v>
      </c>
      <c r="S833" s="1">
        <f t="shared" si="25"/>
        <v>1721.5100000000002</v>
      </c>
      <c r="T833" s="1" t="s">
        <v>873</v>
      </c>
      <c r="U833" s="1" t="s">
        <v>880</v>
      </c>
      <c r="V833" s="5" t="s">
        <v>883</v>
      </c>
    </row>
    <row r="834" spans="1:22" x14ac:dyDescent="0.3">
      <c r="A834" s="4" t="s">
        <v>144</v>
      </c>
      <c r="B834" s="3">
        <v>45523</v>
      </c>
      <c r="C834" s="1" t="str">
        <f t="shared" ref="C834:C897" si="26">TEXT(B834,"MMMM")</f>
        <v>August</v>
      </c>
      <c r="D834" s="1" t="s">
        <v>386</v>
      </c>
      <c r="E834" s="1" t="s">
        <v>629</v>
      </c>
      <c r="F834" s="1" t="s">
        <v>802</v>
      </c>
      <c r="G834" s="1" t="s">
        <v>804</v>
      </c>
      <c r="H834" s="1" t="s">
        <v>812</v>
      </c>
      <c r="I834" s="1" t="s">
        <v>813</v>
      </c>
      <c r="J834" s="1" t="s">
        <v>818</v>
      </c>
      <c r="K834" s="1" t="s">
        <v>820</v>
      </c>
      <c r="L834" s="1" t="s">
        <v>849</v>
      </c>
      <c r="M834" s="1">
        <v>11.14</v>
      </c>
      <c r="N834" s="1">
        <v>395.13</v>
      </c>
      <c r="O834" s="1">
        <v>4716.57</v>
      </c>
      <c r="P834" s="1">
        <v>0.11</v>
      </c>
      <c r="Q834" s="1">
        <v>4752.43</v>
      </c>
      <c r="R834" s="1">
        <v>3237.85</v>
      </c>
      <c r="S834" s="1">
        <f t="shared" ref="S834:S897" si="27">Q834-R834</f>
        <v>1514.5800000000004</v>
      </c>
      <c r="T834" s="1" t="s">
        <v>873</v>
      </c>
      <c r="U834" s="1" t="s">
        <v>879</v>
      </c>
      <c r="V834" s="5" t="s">
        <v>883</v>
      </c>
    </row>
    <row r="835" spans="1:22" x14ac:dyDescent="0.3">
      <c r="A835" s="4" t="s">
        <v>283</v>
      </c>
      <c r="B835" s="3">
        <v>45609</v>
      </c>
      <c r="C835" s="1" t="str">
        <f t="shared" si="26"/>
        <v>November</v>
      </c>
      <c r="D835" s="1" t="s">
        <v>473</v>
      </c>
      <c r="E835" s="1" t="s">
        <v>766</v>
      </c>
      <c r="F835" s="1" t="s">
        <v>801</v>
      </c>
      <c r="G835" s="1" t="s">
        <v>805</v>
      </c>
      <c r="H835" s="1" t="s">
        <v>812</v>
      </c>
      <c r="I835" s="1" t="s">
        <v>809</v>
      </c>
      <c r="J835" s="1" t="s">
        <v>817</v>
      </c>
      <c r="K835" s="1" t="s">
        <v>821</v>
      </c>
      <c r="L835" s="1" t="s">
        <v>871</v>
      </c>
      <c r="M835" s="1">
        <v>8.86</v>
      </c>
      <c r="N835" s="1">
        <v>1755.32</v>
      </c>
      <c r="O835" s="1">
        <v>15016.72</v>
      </c>
      <c r="P835" s="1">
        <v>0.09</v>
      </c>
      <c r="Q835" s="1">
        <v>13928.04</v>
      </c>
      <c r="R835" s="1">
        <v>6721.15</v>
      </c>
      <c r="S835" s="1">
        <f t="shared" si="27"/>
        <v>7206.8900000000012</v>
      </c>
      <c r="T835" s="1" t="s">
        <v>873</v>
      </c>
      <c r="U835" s="1" t="s">
        <v>880</v>
      </c>
      <c r="V835" s="5" t="s">
        <v>884</v>
      </c>
    </row>
    <row r="836" spans="1:22" x14ac:dyDescent="0.3">
      <c r="A836" s="4" t="s">
        <v>252</v>
      </c>
      <c r="B836" s="3">
        <v>45505</v>
      </c>
      <c r="C836" s="1" t="str">
        <f t="shared" si="26"/>
        <v>August</v>
      </c>
      <c r="D836" s="1" t="s">
        <v>493</v>
      </c>
      <c r="E836" s="1" t="s">
        <v>735</v>
      </c>
      <c r="F836" s="1" t="s">
        <v>801</v>
      </c>
      <c r="G836" s="1" t="s">
        <v>807</v>
      </c>
      <c r="H836" s="1" t="s">
        <v>810</v>
      </c>
      <c r="I836" s="1" t="s">
        <v>814</v>
      </c>
      <c r="J836" s="1" t="s">
        <v>817</v>
      </c>
      <c r="K836" s="1" t="s">
        <v>820</v>
      </c>
      <c r="L836" s="1" t="s">
        <v>869</v>
      </c>
      <c r="M836" s="1">
        <v>9.3800000000000008</v>
      </c>
      <c r="N836" s="1">
        <v>912.52</v>
      </c>
      <c r="O836" s="1">
        <v>7918.72</v>
      </c>
      <c r="P836" s="1">
        <v>0.16</v>
      </c>
      <c r="Q836" s="1">
        <v>7481.87</v>
      </c>
      <c r="R836" s="1">
        <v>5386.2</v>
      </c>
      <c r="S836" s="1">
        <f t="shared" si="27"/>
        <v>2095.67</v>
      </c>
      <c r="T836" s="1" t="s">
        <v>874</v>
      </c>
      <c r="U836" s="1" t="s">
        <v>881</v>
      </c>
      <c r="V836" s="5" t="s">
        <v>884</v>
      </c>
    </row>
    <row r="837" spans="1:22" x14ac:dyDescent="0.3">
      <c r="A837" s="4" t="s">
        <v>198</v>
      </c>
      <c r="B837" s="3">
        <v>45499</v>
      </c>
      <c r="C837" s="1" t="str">
        <f t="shared" si="26"/>
        <v>July</v>
      </c>
      <c r="D837" s="1" t="s">
        <v>480</v>
      </c>
      <c r="E837" s="1" t="s">
        <v>682</v>
      </c>
      <c r="F837" s="1" t="s">
        <v>803</v>
      </c>
      <c r="G837" s="1" t="s">
        <v>804</v>
      </c>
      <c r="H837" s="1" t="s">
        <v>809</v>
      </c>
      <c r="I837" s="1" t="s">
        <v>815</v>
      </c>
      <c r="J837" s="1" t="s">
        <v>819</v>
      </c>
      <c r="K837" s="1" t="s">
        <v>820</v>
      </c>
      <c r="L837" s="1" t="s">
        <v>866</v>
      </c>
      <c r="M837" s="1">
        <v>4.1500000000000004</v>
      </c>
      <c r="N837" s="1">
        <v>761.93</v>
      </c>
      <c r="O837" s="1">
        <v>3129.01</v>
      </c>
      <c r="P837" s="1">
        <v>0.09</v>
      </c>
      <c r="Q837" s="1">
        <v>3157.33</v>
      </c>
      <c r="R837" s="1">
        <v>1775.48</v>
      </c>
      <c r="S837" s="1">
        <f t="shared" si="27"/>
        <v>1381.85</v>
      </c>
      <c r="T837" s="1" t="s">
        <v>874</v>
      </c>
      <c r="U837" s="1" t="s">
        <v>878</v>
      </c>
      <c r="V837" s="5" t="s">
        <v>882</v>
      </c>
    </row>
    <row r="838" spans="1:22" x14ac:dyDescent="0.3">
      <c r="A838" s="4" t="s">
        <v>91</v>
      </c>
      <c r="B838" s="3">
        <v>45366</v>
      </c>
      <c r="C838" s="1" t="str">
        <f t="shared" si="26"/>
        <v>March</v>
      </c>
      <c r="D838" s="1" t="s">
        <v>324</v>
      </c>
      <c r="E838" s="1" t="s">
        <v>576</v>
      </c>
      <c r="F838" s="1" t="s">
        <v>801</v>
      </c>
      <c r="G838" s="1" t="s">
        <v>805</v>
      </c>
      <c r="H838" s="1" t="s">
        <v>810</v>
      </c>
      <c r="I838" s="1" t="s">
        <v>815</v>
      </c>
      <c r="J838" s="1" t="s">
        <v>817</v>
      </c>
      <c r="K838" s="1" t="s">
        <v>820</v>
      </c>
      <c r="L838" s="1" t="s">
        <v>841</v>
      </c>
      <c r="M838" s="1">
        <v>4.28</v>
      </c>
      <c r="N838" s="1">
        <v>976.06</v>
      </c>
      <c r="O838" s="1">
        <v>5027.03</v>
      </c>
      <c r="P838" s="1">
        <v>0.05</v>
      </c>
      <c r="Q838" s="1">
        <v>4825.6000000000004</v>
      </c>
      <c r="R838" s="1">
        <v>3687.87</v>
      </c>
      <c r="S838" s="1">
        <f t="shared" si="27"/>
        <v>1137.7300000000005</v>
      </c>
      <c r="T838" s="1" t="s">
        <v>874</v>
      </c>
      <c r="U838" s="1" t="s">
        <v>877</v>
      </c>
      <c r="V838" s="5" t="s">
        <v>883</v>
      </c>
    </row>
    <row r="839" spans="1:22" x14ac:dyDescent="0.3">
      <c r="A839" s="4" t="s">
        <v>185</v>
      </c>
      <c r="B839" s="3">
        <v>45295</v>
      </c>
      <c r="C839" s="1" t="str">
        <f t="shared" si="26"/>
        <v>January</v>
      </c>
      <c r="D839" s="1" t="s">
        <v>369</v>
      </c>
      <c r="E839" s="1" t="s">
        <v>669</v>
      </c>
      <c r="F839" s="1" t="s">
        <v>801</v>
      </c>
      <c r="G839" s="1" t="s">
        <v>805</v>
      </c>
      <c r="H839" s="1" t="s">
        <v>809</v>
      </c>
      <c r="I839" s="1" t="s">
        <v>809</v>
      </c>
      <c r="J839" s="1" t="s">
        <v>819</v>
      </c>
      <c r="K839" s="1" t="s">
        <v>822</v>
      </c>
      <c r="L839" s="1" t="s">
        <v>846</v>
      </c>
      <c r="M839" s="1">
        <v>6.34</v>
      </c>
      <c r="N839" s="1">
        <v>2208.23</v>
      </c>
      <c r="O839" s="1">
        <v>14646.87</v>
      </c>
      <c r="P839" s="1">
        <v>0</v>
      </c>
      <c r="Q839" s="1">
        <v>16242.39</v>
      </c>
      <c r="R839" s="1">
        <v>10275.959999999999</v>
      </c>
      <c r="S839" s="1">
        <f t="shared" si="27"/>
        <v>5966.43</v>
      </c>
      <c r="T839" s="1" t="s">
        <v>875</v>
      </c>
      <c r="U839" s="1" t="s">
        <v>878</v>
      </c>
      <c r="V839" s="5" t="s">
        <v>882</v>
      </c>
    </row>
    <row r="840" spans="1:22" x14ac:dyDescent="0.3">
      <c r="A840" s="4" t="s">
        <v>90</v>
      </c>
      <c r="B840" s="3">
        <v>45338</v>
      </c>
      <c r="C840" s="1" t="str">
        <f t="shared" si="26"/>
        <v>February</v>
      </c>
      <c r="D840" s="1" t="s">
        <v>373</v>
      </c>
      <c r="E840" s="1" t="s">
        <v>575</v>
      </c>
      <c r="F840" s="1" t="s">
        <v>803</v>
      </c>
      <c r="G840" s="1" t="s">
        <v>804</v>
      </c>
      <c r="H840" s="1" t="s">
        <v>808</v>
      </c>
      <c r="I840" s="1" t="s">
        <v>813</v>
      </c>
      <c r="J840" s="1" t="s">
        <v>818</v>
      </c>
      <c r="K840" s="1" t="s">
        <v>822</v>
      </c>
      <c r="L840" s="1" t="s">
        <v>859</v>
      </c>
      <c r="M840" s="1">
        <v>9.08</v>
      </c>
      <c r="N840" s="1">
        <v>3472.44</v>
      </c>
      <c r="O840" s="1">
        <v>34106.14</v>
      </c>
      <c r="P840" s="1">
        <v>0.15</v>
      </c>
      <c r="Q840" s="1">
        <v>26920.48</v>
      </c>
      <c r="R840" s="1">
        <v>21889.75</v>
      </c>
      <c r="S840" s="1">
        <f t="shared" si="27"/>
        <v>5030.7299999999996</v>
      </c>
      <c r="T840" s="1" t="s">
        <v>874</v>
      </c>
      <c r="U840" s="1" t="s">
        <v>881</v>
      </c>
      <c r="V840" s="5" t="s">
        <v>882</v>
      </c>
    </row>
    <row r="841" spans="1:22" x14ac:dyDescent="0.3">
      <c r="A841" s="4" t="s">
        <v>255</v>
      </c>
      <c r="B841" s="3">
        <v>45564</v>
      </c>
      <c r="C841" s="1" t="str">
        <f t="shared" si="26"/>
        <v>September</v>
      </c>
      <c r="D841" s="1" t="s">
        <v>472</v>
      </c>
      <c r="E841" s="1" t="s">
        <v>738</v>
      </c>
      <c r="F841" s="1" t="s">
        <v>801</v>
      </c>
      <c r="G841" s="1" t="s">
        <v>807</v>
      </c>
      <c r="H841" s="1" t="s">
        <v>810</v>
      </c>
      <c r="I841" s="1" t="s">
        <v>813</v>
      </c>
      <c r="J841" s="1" t="s">
        <v>818</v>
      </c>
      <c r="K841" s="1" t="s">
        <v>821</v>
      </c>
      <c r="L841" s="1" t="s">
        <v>861</v>
      </c>
      <c r="M841" s="1">
        <v>7.7</v>
      </c>
      <c r="N841" s="1">
        <v>3081.07</v>
      </c>
      <c r="O841" s="1">
        <v>18315.189999999999</v>
      </c>
      <c r="P841" s="1">
        <v>0.11</v>
      </c>
      <c r="Q841" s="1">
        <v>22264.720000000001</v>
      </c>
      <c r="R841" s="1">
        <v>8972.5</v>
      </c>
      <c r="S841" s="1">
        <f t="shared" si="27"/>
        <v>13292.220000000001</v>
      </c>
      <c r="T841" s="1" t="s">
        <v>873</v>
      </c>
      <c r="U841" s="1" t="s">
        <v>878</v>
      </c>
      <c r="V841" s="5" t="s">
        <v>882</v>
      </c>
    </row>
    <row r="842" spans="1:22" x14ac:dyDescent="0.3">
      <c r="A842" s="4" t="s">
        <v>80</v>
      </c>
      <c r="B842" s="3">
        <v>45426</v>
      </c>
      <c r="C842" s="1" t="str">
        <f t="shared" si="26"/>
        <v>May</v>
      </c>
      <c r="D842" s="1" t="s">
        <v>454</v>
      </c>
      <c r="E842" s="1" t="s">
        <v>565</v>
      </c>
      <c r="F842" s="1" t="s">
        <v>803</v>
      </c>
      <c r="G842" s="1" t="s">
        <v>806</v>
      </c>
      <c r="H842" s="1" t="s">
        <v>809</v>
      </c>
      <c r="I842" s="1" t="s">
        <v>816</v>
      </c>
      <c r="J842" s="1" t="s">
        <v>818</v>
      </c>
      <c r="K842" s="1" t="s">
        <v>822</v>
      </c>
      <c r="L842" s="1" t="s">
        <v>857</v>
      </c>
      <c r="M842" s="1">
        <v>12.08</v>
      </c>
      <c r="N842" s="1">
        <v>2308.21</v>
      </c>
      <c r="O842" s="1">
        <v>35828.660000000003</v>
      </c>
      <c r="P842" s="1">
        <v>0.11</v>
      </c>
      <c r="Q842" s="1">
        <v>26032.73</v>
      </c>
      <c r="R842" s="1">
        <v>20140.72</v>
      </c>
      <c r="S842" s="1">
        <f t="shared" si="27"/>
        <v>5892.0099999999984</v>
      </c>
      <c r="T842" s="1" t="s">
        <v>873</v>
      </c>
      <c r="U842" s="1" t="s">
        <v>879</v>
      </c>
      <c r="V842" s="5" t="s">
        <v>884</v>
      </c>
    </row>
    <row r="843" spans="1:22" x14ac:dyDescent="0.3">
      <c r="A843" s="4" t="s">
        <v>78</v>
      </c>
      <c r="B843" s="3">
        <v>45450</v>
      </c>
      <c r="C843" s="1" t="str">
        <f t="shared" si="26"/>
        <v>June</v>
      </c>
      <c r="D843" s="1" t="s">
        <v>319</v>
      </c>
      <c r="E843" s="1" t="s">
        <v>563</v>
      </c>
      <c r="F843" s="1" t="s">
        <v>801</v>
      </c>
      <c r="G843" s="1" t="s">
        <v>806</v>
      </c>
      <c r="H843" s="1" t="s">
        <v>812</v>
      </c>
      <c r="I843" s="1" t="s">
        <v>815</v>
      </c>
      <c r="J843" s="1" t="s">
        <v>818</v>
      </c>
      <c r="K843" s="1" t="s">
        <v>822</v>
      </c>
      <c r="L843" s="1" t="s">
        <v>856</v>
      </c>
      <c r="M843" s="1">
        <v>6.78</v>
      </c>
      <c r="N843" s="1">
        <v>669.87</v>
      </c>
      <c r="O843" s="1">
        <v>5025.87</v>
      </c>
      <c r="P843" s="1">
        <v>0.14000000000000001</v>
      </c>
      <c r="Q843" s="1">
        <v>3921.78</v>
      </c>
      <c r="R843" s="1">
        <v>2542.52</v>
      </c>
      <c r="S843" s="1">
        <f t="shared" si="27"/>
        <v>1379.2600000000002</v>
      </c>
      <c r="T843" s="1" t="s">
        <v>873</v>
      </c>
      <c r="U843" s="1" t="s">
        <v>880</v>
      </c>
      <c r="V843" s="5" t="s">
        <v>883</v>
      </c>
    </row>
    <row r="844" spans="1:22" x14ac:dyDescent="0.3">
      <c r="A844" s="4" t="s">
        <v>201</v>
      </c>
      <c r="B844" s="3">
        <v>45362</v>
      </c>
      <c r="C844" s="1" t="str">
        <f t="shared" si="26"/>
        <v>March</v>
      </c>
      <c r="D844" s="1" t="s">
        <v>421</v>
      </c>
      <c r="E844" s="1" t="s">
        <v>685</v>
      </c>
      <c r="F844" s="1" t="s">
        <v>801</v>
      </c>
      <c r="G844" s="1" t="s">
        <v>806</v>
      </c>
      <c r="H844" s="1" t="s">
        <v>808</v>
      </c>
      <c r="I844" s="1" t="s">
        <v>813</v>
      </c>
      <c r="J844" s="1" t="s">
        <v>817</v>
      </c>
      <c r="K844" s="1" t="s">
        <v>821</v>
      </c>
      <c r="L844" s="1" t="s">
        <v>852</v>
      </c>
      <c r="M844" s="1">
        <v>1.1000000000000001</v>
      </c>
      <c r="N844" s="1">
        <v>431.15</v>
      </c>
      <c r="O844" s="1">
        <v>521.03</v>
      </c>
      <c r="P844" s="1">
        <v>0.16</v>
      </c>
      <c r="Q844" s="1">
        <v>375.74</v>
      </c>
      <c r="R844" s="1">
        <v>332.8</v>
      </c>
      <c r="S844" s="1">
        <f t="shared" si="27"/>
        <v>42.94</v>
      </c>
      <c r="T844" s="1" t="s">
        <v>874</v>
      </c>
      <c r="U844" s="1" t="s">
        <v>878</v>
      </c>
      <c r="V844" s="5" t="s">
        <v>882</v>
      </c>
    </row>
    <row r="845" spans="1:22" x14ac:dyDescent="0.3">
      <c r="A845" s="4" t="s">
        <v>58</v>
      </c>
      <c r="B845" s="3">
        <v>45615</v>
      </c>
      <c r="C845" s="1" t="str">
        <f t="shared" si="26"/>
        <v>November</v>
      </c>
      <c r="D845" s="1" t="s">
        <v>448</v>
      </c>
      <c r="E845" s="1" t="s">
        <v>543</v>
      </c>
      <c r="F845" s="1" t="s">
        <v>802</v>
      </c>
      <c r="G845" s="1" t="s">
        <v>806</v>
      </c>
      <c r="H845" s="1" t="s">
        <v>809</v>
      </c>
      <c r="I845" s="1" t="s">
        <v>816</v>
      </c>
      <c r="J845" s="1" t="s">
        <v>817</v>
      </c>
      <c r="K845" s="1" t="s">
        <v>822</v>
      </c>
      <c r="L845" s="1" t="s">
        <v>849</v>
      </c>
      <c r="M845" s="1">
        <v>4.54</v>
      </c>
      <c r="N845" s="1">
        <v>631.20000000000005</v>
      </c>
      <c r="O845" s="1">
        <v>2520.46</v>
      </c>
      <c r="P845" s="1">
        <v>0.05</v>
      </c>
      <c r="Q845" s="1">
        <v>2148.2399999999998</v>
      </c>
      <c r="R845" s="1">
        <v>1500.36</v>
      </c>
      <c r="S845" s="1">
        <f t="shared" si="27"/>
        <v>647.87999999999988</v>
      </c>
      <c r="T845" s="1" t="s">
        <v>876</v>
      </c>
      <c r="U845" s="1" t="s">
        <v>880</v>
      </c>
      <c r="V845" s="5" t="s">
        <v>883</v>
      </c>
    </row>
    <row r="846" spans="1:22" x14ac:dyDescent="0.3">
      <c r="A846" s="4" t="s">
        <v>296</v>
      </c>
      <c r="B846" s="3">
        <v>45381</v>
      </c>
      <c r="C846" s="1" t="str">
        <f t="shared" si="26"/>
        <v>March</v>
      </c>
      <c r="D846" s="1" t="s">
        <v>502</v>
      </c>
      <c r="E846" s="1" t="s">
        <v>778</v>
      </c>
      <c r="F846" s="1" t="s">
        <v>803</v>
      </c>
      <c r="G846" s="1" t="s">
        <v>807</v>
      </c>
      <c r="H846" s="1" t="s">
        <v>809</v>
      </c>
      <c r="I846" s="1" t="s">
        <v>813</v>
      </c>
      <c r="J846" s="1" t="s">
        <v>819</v>
      </c>
      <c r="K846" s="1" t="s">
        <v>822</v>
      </c>
      <c r="L846" s="1" t="s">
        <v>826</v>
      </c>
      <c r="M846" s="1">
        <v>6.04</v>
      </c>
      <c r="N846" s="1">
        <v>1806.31</v>
      </c>
      <c r="O846" s="1">
        <v>11430.88</v>
      </c>
      <c r="P846" s="1">
        <v>0</v>
      </c>
      <c r="Q846" s="1">
        <v>10765.03</v>
      </c>
      <c r="R846" s="1">
        <v>6683.43</v>
      </c>
      <c r="S846" s="1">
        <f t="shared" si="27"/>
        <v>4081.6000000000004</v>
      </c>
      <c r="T846" s="1" t="s">
        <v>876</v>
      </c>
      <c r="U846" s="1" t="s">
        <v>879</v>
      </c>
      <c r="V846" s="5" t="s">
        <v>884</v>
      </c>
    </row>
    <row r="847" spans="1:22" x14ac:dyDescent="0.3">
      <c r="A847" s="4" t="s">
        <v>53</v>
      </c>
      <c r="B847" s="3">
        <v>45487</v>
      </c>
      <c r="C847" s="1" t="str">
        <f t="shared" si="26"/>
        <v>July</v>
      </c>
      <c r="D847" s="1" t="s">
        <v>428</v>
      </c>
      <c r="E847" s="1" t="s">
        <v>538</v>
      </c>
      <c r="F847" s="1" t="s">
        <v>803</v>
      </c>
      <c r="G847" s="1" t="s">
        <v>807</v>
      </c>
      <c r="H847" s="1" t="s">
        <v>809</v>
      </c>
      <c r="I847" s="1" t="s">
        <v>813</v>
      </c>
      <c r="J847" s="1" t="s">
        <v>819</v>
      </c>
      <c r="K847" s="1" t="s">
        <v>821</v>
      </c>
      <c r="L847" s="1" t="s">
        <v>847</v>
      </c>
      <c r="M847" s="1">
        <v>7.96</v>
      </c>
      <c r="N847" s="1">
        <v>1344.86</v>
      </c>
      <c r="O847" s="1">
        <v>10251.370000000001</v>
      </c>
      <c r="P847" s="1">
        <v>0.05</v>
      </c>
      <c r="Q847" s="1">
        <v>10023.58</v>
      </c>
      <c r="R847" s="1">
        <v>6280.54</v>
      </c>
      <c r="S847" s="1">
        <f t="shared" si="27"/>
        <v>3743.04</v>
      </c>
      <c r="T847" s="1" t="s">
        <v>873</v>
      </c>
      <c r="U847" s="1" t="s">
        <v>877</v>
      </c>
      <c r="V847" s="5" t="s">
        <v>884</v>
      </c>
    </row>
    <row r="848" spans="1:22" x14ac:dyDescent="0.3">
      <c r="A848" s="4" t="s">
        <v>127</v>
      </c>
      <c r="B848" s="3">
        <v>45417</v>
      </c>
      <c r="C848" s="1" t="str">
        <f t="shared" si="26"/>
        <v>May</v>
      </c>
      <c r="D848" s="1" t="s">
        <v>420</v>
      </c>
      <c r="E848" s="1" t="s">
        <v>612</v>
      </c>
      <c r="F848" s="1" t="s">
        <v>802</v>
      </c>
      <c r="G848" s="1" t="s">
        <v>807</v>
      </c>
      <c r="H848" s="1" t="s">
        <v>810</v>
      </c>
      <c r="I848" s="1" t="s">
        <v>815</v>
      </c>
      <c r="J848" s="1" t="s">
        <v>819</v>
      </c>
      <c r="K848" s="1" t="s">
        <v>820</v>
      </c>
      <c r="L848" s="1" t="s">
        <v>859</v>
      </c>
      <c r="M848" s="1">
        <v>4.76</v>
      </c>
      <c r="N848" s="1">
        <v>1500.61</v>
      </c>
      <c r="O848" s="1">
        <v>6467.66</v>
      </c>
      <c r="P848" s="1">
        <v>0.14000000000000001</v>
      </c>
      <c r="Q848" s="1">
        <v>5771.67</v>
      </c>
      <c r="R848" s="1">
        <v>3779.66</v>
      </c>
      <c r="S848" s="1">
        <f t="shared" si="27"/>
        <v>1992.0100000000002</v>
      </c>
      <c r="T848" s="1" t="s">
        <v>874</v>
      </c>
      <c r="U848" s="1" t="s">
        <v>880</v>
      </c>
      <c r="V848" s="5" t="s">
        <v>883</v>
      </c>
    </row>
    <row r="849" spans="1:22" x14ac:dyDescent="0.3">
      <c r="A849" s="4" t="s">
        <v>200</v>
      </c>
      <c r="B849" s="3">
        <v>45347</v>
      </c>
      <c r="C849" s="1" t="str">
        <f t="shared" si="26"/>
        <v>February</v>
      </c>
      <c r="D849" s="1" t="s">
        <v>481</v>
      </c>
      <c r="E849" s="1" t="s">
        <v>684</v>
      </c>
      <c r="F849" s="1" t="s">
        <v>801</v>
      </c>
      <c r="G849" s="1" t="s">
        <v>804</v>
      </c>
      <c r="H849" s="1" t="s">
        <v>812</v>
      </c>
      <c r="I849" s="1" t="s">
        <v>809</v>
      </c>
      <c r="J849" s="1" t="s">
        <v>818</v>
      </c>
      <c r="K849" s="1" t="s">
        <v>822</v>
      </c>
      <c r="L849" s="1" t="s">
        <v>862</v>
      </c>
      <c r="M849" s="1">
        <v>7.64</v>
      </c>
      <c r="N849" s="1">
        <v>3187.95</v>
      </c>
      <c r="O849" s="1">
        <v>25262.13</v>
      </c>
      <c r="P849" s="1">
        <v>0.15</v>
      </c>
      <c r="Q849" s="1">
        <v>23277.55</v>
      </c>
      <c r="R849" s="1">
        <v>15567.59</v>
      </c>
      <c r="S849" s="1">
        <f t="shared" si="27"/>
        <v>7709.9599999999991</v>
      </c>
      <c r="T849" s="1" t="s">
        <v>874</v>
      </c>
      <c r="U849" s="1" t="s">
        <v>880</v>
      </c>
      <c r="V849" s="5" t="s">
        <v>882</v>
      </c>
    </row>
    <row r="850" spans="1:22" x14ac:dyDescent="0.3">
      <c r="A850" s="4" t="s">
        <v>207</v>
      </c>
      <c r="B850" s="3">
        <v>45362</v>
      </c>
      <c r="C850" s="1" t="str">
        <f t="shared" si="26"/>
        <v>March</v>
      </c>
      <c r="D850" s="1" t="s">
        <v>483</v>
      </c>
      <c r="E850" s="1" t="s">
        <v>691</v>
      </c>
      <c r="F850" s="1" t="s">
        <v>802</v>
      </c>
      <c r="G850" s="1" t="s">
        <v>805</v>
      </c>
      <c r="H850" s="1" t="s">
        <v>809</v>
      </c>
      <c r="I850" s="1" t="s">
        <v>813</v>
      </c>
      <c r="J850" s="1" t="s">
        <v>818</v>
      </c>
      <c r="K850" s="1" t="s">
        <v>821</v>
      </c>
      <c r="L850" s="1" t="s">
        <v>831</v>
      </c>
      <c r="M850" s="1">
        <v>5.32</v>
      </c>
      <c r="N850" s="1">
        <v>1817.34</v>
      </c>
      <c r="O850" s="1">
        <v>11980.77</v>
      </c>
      <c r="P850" s="1">
        <v>0</v>
      </c>
      <c r="Q850" s="1">
        <v>12324.63</v>
      </c>
      <c r="R850" s="1">
        <v>9193.86</v>
      </c>
      <c r="S850" s="1">
        <f t="shared" si="27"/>
        <v>3130.7699999999986</v>
      </c>
      <c r="T850" s="1" t="s">
        <v>873</v>
      </c>
      <c r="U850" s="1" t="s">
        <v>879</v>
      </c>
      <c r="V850" s="5" t="s">
        <v>883</v>
      </c>
    </row>
    <row r="851" spans="1:22" x14ac:dyDescent="0.3">
      <c r="A851" s="4" t="s">
        <v>136</v>
      </c>
      <c r="B851" s="3">
        <v>45605</v>
      </c>
      <c r="C851" s="1" t="str">
        <f t="shared" si="26"/>
        <v>November</v>
      </c>
      <c r="D851" s="1" t="s">
        <v>393</v>
      </c>
      <c r="E851" s="1" t="s">
        <v>621</v>
      </c>
      <c r="F851" s="1" t="s">
        <v>802</v>
      </c>
      <c r="G851" s="1" t="s">
        <v>806</v>
      </c>
      <c r="H851" s="1" t="s">
        <v>809</v>
      </c>
      <c r="I851" s="1" t="s">
        <v>813</v>
      </c>
      <c r="J851" s="1" t="s">
        <v>817</v>
      </c>
      <c r="K851" s="1" t="s">
        <v>822</v>
      </c>
      <c r="L851" s="1" t="s">
        <v>857</v>
      </c>
      <c r="M851" s="1">
        <v>10.58</v>
      </c>
      <c r="N851" s="1">
        <v>823.57</v>
      </c>
      <c r="O851" s="1">
        <v>8088.81</v>
      </c>
      <c r="P851" s="1">
        <v>0</v>
      </c>
      <c r="Q851" s="1">
        <v>8750.94</v>
      </c>
      <c r="R851" s="1">
        <v>4768.3500000000004</v>
      </c>
      <c r="S851" s="1">
        <f t="shared" si="27"/>
        <v>3982.59</v>
      </c>
      <c r="T851" s="1" t="s">
        <v>876</v>
      </c>
      <c r="U851" s="1" t="s">
        <v>877</v>
      </c>
      <c r="V851" s="5" t="s">
        <v>884</v>
      </c>
    </row>
    <row r="852" spans="1:22" x14ac:dyDescent="0.3">
      <c r="A852" s="4" t="s">
        <v>48</v>
      </c>
      <c r="B852" s="3">
        <v>45358</v>
      </c>
      <c r="C852" s="1" t="str">
        <f t="shared" si="26"/>
        <v>March</v>
      </c>
      <c r="D852" s="1" t="s">
        <v>419</v>
      </c>
      <c r="E852" s="1" t="s">
        <v>533</v>
      </c>
      <c r="F852" s="1" t="s">
        <v>803</v>
      </c>
      <c r="G852" s="1" t="s">
        <v>806</v>
      </c>
      <c r="H852" s="1" t="s">
        <v>810</v>
      </c>
      <c r="I852" s="1" t="s">
        <v>815</v>
      </c>
      <c r="J852" s="1" t="s">
        <v>818</v>
      </c>
      <c r="K852" s="1" t="s">
        <v>822</v>
      </c>
      <c r="L852" s="1" t="s">
        <v>840</v>
      </c>
      <c r="M852" s="1">
        <v>8.7899999999999991</v>
      </c>
      <c r="N852" s="1">
        <v>2253.06</v>
      </c>
      <c r="O852" s="1">
        <v>24365.69</v>
      </c>
      <c r="P852" s="1">
        <v>0</v>
      </c>
      <c r="Q852" s="1">
        <v>22690.73</v>
      </c>
      <c r="R852" s="1">
        <v>22803.98</v>
      </c>
      <c r="S852" s="1">
        <f t="shared" si="27"/>
        <v>-113.25</v>
      </c>
      <c r="T852" s="1" t="s">
        <v>875</v>
      </c>
      <c r="U852" s="1" t="s">
        <v>879</v>
      </c>
      <c r="V852" s="5" t="s">
        <v>884</v>
      </c>
    </row>
    <row r="853" spans="1:22" x14ac:dyDescent="0.3">
      <c r="A853" s="4" t="s">
        <v>81</v>
      </c>
      <c r="B853" s="3">
        <v>45544</v>
      </c>
      <c r="C853" s="1" t="str">
        <f t="shared" si="26"/>
        <v>September</v>
      </c>
      <c r="D853" s="1" t="s">
        <v>323</v>
      </c>
      <c r="E853" s="1" t="s">
        <v>566</v>
      </c>
      <c r="F853" s="1" t="s">
        <v>802</v>
      </c>
      <c r="G853" s="1" t="s">
        <v>806</v>
      </c>
      <c r="H853" s="1" t="s">
        <v>812</v>
      </c>
      <c r="I853" s="1" t="s">
        <v>815</v>
      </c>
      <c r="J853" s="1" t="s">
        <v>819</v>
      </c>
      <c r="K853" s="1" t="s">
        <v>822</v>
      </c>
      <c r="L853" s="1" t="s">
        <v>854</v>
      </c>
      <c r="M853" s="1">
        <v>7.61</v>
      </c>
      <c r="N853" s="1">
        <v>1071.8</v>
      </c>
      <c r="O853" s="1">
        <v>7473.89</v>
      </c>
      <c r="P853" s="1">
        <v>0.09</v>
      </c>
      <c r="Q853" s="1">
        <v>7444.83</v>
      </c>
      <c r="R853" s="1">
        <v>5737.46</v>
      </c>
      <c r="S853" s="1">
        <f t="shared" si="27"/>
        <v>1707.37</v>
      </c>
      <c r="T853" s="1" t="s">
        <v>876</v>
      </c>
      <c r="U853" s="1" t="s">
        <v>881</v>
      </c>
      <c r="V853" s="5" t="s">
        <v>882</v>
      </c>
    </row>
    <row r="854" spans="1:22" x14ac:dyDescent="0.3">
      <c r="A854" s="4" t="s">
        <v>207</v>
      </c>
      <c r="B854" s="3">
        <v>45362</v>
      </c>
      <c r="C854" s="1" t="str">
        <f t="shared" si="26"/>
        <v>March</v>
      </c>
      <c r="D854" s="1" t="s">
        <v>483</v>
      </c>
      <c r="E854" s="1" t="s">
        <v>691</v>
      </c>
      <c r="F854" s="1" t="s">
        <v>802</v>
      </c>
      <c r="G854" s="1" t="s">
        <v>805</v>
      </c>
      <c r="H854" s="1" t="s">
        <v>809</v>
      </c>
      <c r="I854" s="1" t="s">
        <v>813</v>
      </c>
      <c r="J854" s="1" t="s">
        <v>818</v>
      </c>
      <c r="K854" s="1" t="s">
        <v>821</v>
      </c>
      <c r="L854" s="1" t="s">
        <v>831</v>
      </c>
      <c r="M854" s="1">
        <v>5.6</v>
      </c>
      <c r="N854" s="1">
        <v>1992.02</v>
      </c>
      <c r="O854" s="1">
        <v>11739.42</v>
      </c>
      <c r="P854" s="1">
        <v>0</v>
      </c>
      <c r="Q854" s="1">
        <v>11774.73</v>
      </c>
      <c r="R854" s="1">
        <v>8721.5</v>
      </c>
      <c r="S854" s="1">
        <f t="shared" si="27"/>
        <v>3053.2299999999996</v>
      </c>
      <c r="T854" s="1" t="s">
        <v>873</v>
      </c>
      <c r="U854" s="1" t="s">
        <v>879</v>
      </c>
      <c r="V854" s="5" t="s">
        <v>883</v>
      </c>
    </row>
    <row r="855" spans="1:22" x14ac:dyDescent="0.3">
      <c r="A855" s="4" t="s">
        <v>107</v>
      </c>
      <c r="B855" s="3">
        <v>45426</v>
      </c>
      <c r="C855" s="1" t="str">
        <f t="shared" si="26"/>
        <v>May</v>
      </c>
      <c r="D855" s="1" t="s">
        <v>454</v>
      </c>
      <c r="E855" s="1" t="s">
        <v>592</v>
      </c>
      <c r="F855" s="1" t="s">
        <v>801</v>
      </c>
      <c r="G855" s="1" t="s">
        <v>807</v>
      </c>
      <c r="H855" s="1" t="s">
        <v>810</v>
      </c>
      <c r="I855" s="1" t="s">
        <v>809</v>
      </c>
      <c r="J855" s="1" t="s">
        <v>818</v>
      </c>
      <c r="K855" s="1" t="s">
        <v>820</v>
      </c>
      <c r="L855" s="1" t="s">
        <v>835</v>
      </c>
      <c r="M855" s="1">
        <v>1</v>
      </c>
      <c r="N855" s="1">
        <v>1118.04</v>
      </c>
      <c r="O855" s="1">
        <v>1296.1199999999999</v>
      </c>
      <c r="P855" s="1">
        <v>0.14000000000000001</v>
      </c>
      <c r="Q855" s="1">
        <v>957.16</v>
      </c>
      <c r="R855" s="1">
        <v>840.28</v>
      </c>
      <c r="S855" s="1">
        <f t="shared" si="27"/>
        <v>116.88</v>
      </c>
      <c r="T855" s="1" t="s">
        <v>874</v>
      </c>
      <c r="U855" s="1" t="s">
        <v>880</v>
      </c>
      <c r="V855" s="5" t="s">
        <v>883</v>
      </c>
    </row>
    <row r="856" spans="1:22" x14ac:dyDescent="0.3">
      <c r="A856" s="4" t="s">
        <v>255</v>
      </c>
      <c r="B856" s="3">
        <v>45564</v>
      </c>
      <c r="C856" s="1" t="str">
        <f t="shared" si="26"/>
        <v>September</v>
      </c>
      <c r="D856" s="1" t="s">
        <v>472</v>
      </c>
      <c r="E856" s="1" t="s">
        <v>738</v>
      </c>
      <c r="F856" s="1" t="s">
        <v>801</v>
      </c>
      <c r="G856" s="1" t="s">
        <v>807</v>
      </c>
      <c r="H856" s="1" t="s">
        <v>810</v>
      </c>
      <c r="I856" s="1" t="s">
        <v>813</v>
      </c>
      <c r="J856" s="1" t="s">
        <v>818</v>
      </c>
      <c r="K856" s="1" t="s">
        <v>821</v>
      </c>
      <c r="L856" s="1" t="s">
        <v>861</v>
      </c>
      <c r="M856" s="1">
        <v>7.18</v>
      </c>
      <c r="N856" s="1">
        <v>3660.65</v>
      </c>
      <c r="O856" s="1">
        <v>22215.13</v>
      </c>
      <c r="P856" s="1">
        <v>0.1</v>
      </c>
      <c r="Q856" s="1">
        <v>19334.07</v>
      </c>
      <c r="R856" s="1">
        <v>13272.23</v>
      </c>
      <c r="S856" s="1">
        <f t="shared" si="27"/>
        <v>6061.84</v>
      </c>
      <c r="T856" s="1" t="s">
        <v>873</v>
      </c>
      <c r="U856" s="1" t="s">
        <v>878</v>
      </c>
      <c r="V856" s="5" t="s">
        <v>882</v>
      </c>
    </row>
    <row r="857" spans="1:22" x14ac:dyDescent="0.3">
      <c r="A857" s="4" t="s">
        <v>138</v>
      </c>
      <c r="B857" s="3">
        <v>45559</v>
      </c>
      <c r="C857" s="1" t="str">
        <f t="shared" si="26"/>
        <v>September</v>
      </c>
      <c r="D857" s="1" t="s">
        <v>441</v>
      </c>
      <c r="E857" s="1" t="s">
        <v>623</v>
      </c>
      <c r="F857" s="1" t="s">
        <v>801</v>
      </c>
      <c r="G857" s="1" t="s">
        <v>804</v>
      </c>
      <c r="H857" s="1" t="s">
        <v>809</v>
      </c>
      <c r="I857" s="1" t="s">
        <v>816</v>
      </c>
      <c r="J857" s="1" t="s">
        <v>818</v>
      </c>
      <c r="K857" s="1" t="s">
        <v>821</v>
      </c>
      <c r="L857" s="1" t="s">
        <v>864</v>
      </c>
      <c r="M857" s="1">
        <v>1.95</v>
      </c>
      <c r="N857" s="1">
        <v>2767.25</v>
      </c>
      <c r="O857" s="1">
        <v>5822.61</v>
      </c>
      <c r="P857" s="1">
        <v>0.16</v>
      </c>
      <c r="Q857" s="1">
        <v>4982.91</v>
      </c>
      <c r="R857" s="1">
        <v>3602.38</v>
      </c>
      <c r="S857" s="1">
        <f t="shared" si="27"/>
        <v>1380.5299999999997</v>
      </c>
      <c r="T857" s="1" t="s">
        <v>875</v>
      </c>
      <c r="U857" s="1" t="s">
        <v>878</v>
      </c>
      <c r="V857" s="5" t="s">
        <v>884</v>
      </c>
    </row>
    <row r="858" spans="1:22" x14ac:dyDescent="0.3">
      <c r="A858" s="4" t="s">
        <v>117</v>
      </c>
      <c r="B858" s="3">
        <v>45413</v>
      </c>
      <c r="C858" s="1" t="str">
        <f t="shared" si="26"/>
        <v>May</v>
      </c>
      <c r="D858" s="1" t="s">
        <v>464</v>
      </c>
      <c r="E858" s="1" t="s">
        <v>602</v>
      </c>
      <c r="F858" s="1" t="s">
        <v>802</v>
      </c>
      <c r="G858" s="1" t="s">
        <v>807</v>
      </c>
      <c r="H858" s="1" t="s">
        <v>808</v>
      </c>
      <c r="I858" s="1" t="s">
        <v>814</v>
      </c>
      <c r="J858" s="1" t="s">
        <v>819</v>
      </c>
      <c r="K858" s="1" t="s">
        <v>820</v>
      </c>
      <c r="L858" s="1" t="s">
        <v>829</v>
      </c>
      <c r="M858" s="1">
        <v>3.98</v>
      </c>
      <c r="N858" s="1">
        <v>1175.04</v>
      </c>
      <c r="O858" s="1">
        <v>4833.25</v>
      </c>
      <c r="P858" s="1">
        <v>0.05</v>
      </c>
      <c r="Q858" s="1">
        <v>5246.94</v>
      </c>
      <c r="R858" s="1">
        <v>3636.08</v>
      </c>
      <c r="S858" s="1">
        <f t="shared" si="27"/>
        <v>1610.8599999999997</v>
      </c>
      <c r="T858" s="1" t="s">
        <v>874</v>
      </c>
      <c r="U858" s="1" t="s">
        <v>880</v>
      </c>
      <c r="V858" s="5" t="s">
        <v>884</v>
      </c>
    </row>
    <row r="859" spans="1:22" x14ac:dyDescent="0.3">
      <c r="A859" s="4" t="s">
        <v>131</v>
      </c>
      <c r="B859" s="3">
        <v>45376</v>
      </c>
      <c r="C859" s="1" t="str">
        <f t="shared" si="26"/>
        <v>March</v>
      </c>
      <c r="D859" s="1" t="s">
        <v>431</v>
      </c>
      <c r="E859" s="1" t="s">
        <v>616</v>
      </c>
      <c r="F859" s="1" t="s">
        <v>801</v>
      </c>
      <c r="G859" s="1" t="s">
        <v>805</v>
      </c>
      <c r="H859" s="1" t="s">
        <v>812</v>
      </c>
      <c r="I859" s="1" t="s">
        <v>816</v>
      </c>
      <c r="J859" s="1" t="s">
        <v>819</v>
      </c>
      <c r="K859" s="1" t="s">
        <v>822</v>
      </c>
      <c r="L859" s="1" t="s">
        <v>858</v>
      </c>
      <c r="M859" s="1">
        <v>9.64</v>
      </c>
      <c r="N859" s="1">
        <v>3402.41</v>
      </c>
      <c r="O859" s="1">
        <v>29848.240000000002</v>
      </c>
      <c r="P859" s="1">
        <v>0</v>
      </c>
      <c r="Q859" s="1">
        <v>34330.92</v>
      </c>
      <c r="R859" s="1">
        <v>20208.82</v>
      </c>
      <c r="S859" s="1">
        <f t="shared" si="27"/>
        <v>14122.099999999999</v>
      </c>
      <c r="T859" s="1" t="s">
        <v>876</v>
      </c>
      <c r="U859" s="1" t="s">
        <v>880</v>
      </c>
      <c r="V859" s="5" t="s">
        <v>883</v>
      </c>
    </row>
    <row r="860" spans="1:22" x14ac:dyDescent="0.3">
      <c r="A860" s="4" t="s">
        <v>187</v>
      </c>
      <c r="B860" s="3">
        <v>45531</v>
      </c>
      <c r="C860" s="1" t="str">
        <f t="shared" si="26"/>
        <v>August</v>
      </c>
      <c r="D860" s="1" t="s">
        <v>478</v>
      </c>
      <c r="E860" s="1" t="s">
        <v>671</v>
      </c>
      <c r="F860" s="1" t="s">
        <v>801</v>
      </c>
      <c r="G860" s="1" t="s">
        <v>806</v>
      </c>
      <c r="H860" s="1" t="s">
        <v>812</v>
      </c>
      <c r="I860" s="1" t="s">
        <v>816</v>
      </c>
      <c r="J860" s="1" t="s">
        <v>818</v>
      </c>
      <c r="K860" s="1" t="s">
        <v>820</v>
      </c>
      <c r="L860" s="1" t="s">
        <v>830</v>
      </c>
      <c r="M860" s="1">
        <v>3.71</v>
      </c>
      <c r="N860" s="1">
        <v>975.55</v>
      </c>
      <c r="O860" s="1">
        <v>3658.81</v>
      </c>
      <c r="P860" s="1">
        <v>0.11</v>
      </c>
      <c r="Q860" s="1">
        <v>3105.37</v>
      </c>
      <c r="R860" s="1">
        <v>2138.5100000000002</v>
      </c>
      <c r="S860" s="1">
        <f t="shared" si="27"/>
        <v>966.85999999999967</v>
      </c>
      <c r="T860" s="1" t="s">
        <v>873</v>
      </c>
      <c r="U860" s="1" t="s">
        <v>880</v>
      </c>
      <c r="V860" s="5" t="s">
        <v>883</v>
      </c>
    </row>
    <row r="861" spans="1:22" x14ac:dyDescent="0.3">
      <c r="A861" s="4" t="s">
        <v>93</v>
      </c>
      <c r="B861" s="3">
        <v>45557</v>
      </c>
      <c r="C861" s="1" t="str">
        <f t="shared" si="26"/>
        <v>September</v>
      </c>
      <c r="D861" s="1" t="s">
        <v>382</v>
      </c>
      <c r="E861" s="1" t="s">
        <v>578</v>
      </c>
      <c r="F861" s="1" t="s">
        <v>803</v>
      </c>
      <c r="G861" s="1" t="s">
        <v>804</v>
      </c>
      <c r="H861" s="1" t="s">
        <v>812</v>
      </c>
      <c r="I861" s="1" t="s">
        <v>809</v>
      </c>
      <c r="J861" s="1" t="s">
        <v>819</v>
      </c>
      <c r="K861" s="1" t="s">
        <v>821</v>
      </c>
      <c r="L861" s="1" t="s">
        <v>861</v>
      </c>
      <c r="M861" s="1">
        <v>7.14</v>
      </c>
      <c r="N861" s="1">
        <v>1927.59</v>
      </c>
      <c r="O861" s="1">
        <v>11753.34</v>
      </c>
      <c r="P861" s="1">
        <v>0.05</v>
      </c>
      <c r="Q861" s="1">
        <v>11502.56</v>
      </c>
      <c r="R861" s="1">
        <v>7348.61</v>
      </c>
      <c r="S861" s="1">
        <f t="shared" si="27"/>
        <v>4153.95</v>
      </c>
      <c r="T861" s="1" t="s">
        <v>874</v>
      </c>
      <c r="U861" s="1" t="s">
        <v>878</v>
      </c>
      <c r="V861" s="5" t="s">
        <v>884</v>
      </c>
    </row>
    <row r="862" spans="1:22" x14ac:dyDescent="0.3">
      <c r="A862" s="4" t="s">
        <v>243</v>
      </c>
      <c r="B862" s="3">
        <v>45478</v>
      </c>
      <c r="C862" s="1" t="str">
        <f t="shared" si="26"/>
        <v>July</v>
      </c>
      <c r="D862" s="1" t="s">
        <v>484</v>
      </c>
      <c r="E862" s="1" t="s">
        <v>726</v>
      </c>
      <c r="F862" s="1" t="s">
        <v>803</v>
      </c>
      <c r="G862" s="1" t="s">
        <v>805</v>
      </c>
      <c r="H862" s="1" t="s">
        <v>810</v>
      </c>
      <c r="I862" s="1" t="s">
        <v>809</v>
      </c>
      <c r="J862" s="1" t="s">
        <v>819</v>
      </c>
      <c r="K862" s="1" t="s">
        <v>822</v>
      </c>
      <c r="L862" s="1" t="s">
        <v>831</v>
      </c>
      <c r="M862" s="1">
        <v>3.62</v>
      </c>
      <c r="N862" s="1">
        <v>2333.04</v>
      </c>
      <c r="O862" s="1">
        <v>7922.25</v>
      </c>
      <c r="P862" s="1">
        <v>0.11</v>
      </c>
      <c r="Q862" s="1">
        <v>8296.42</v>
      </c>
      <c r="R862" s="1">
        <v>4438.3599999999997</v>
      </c>
      <c r="S862" s="1">
        <f t="shared" si="27"/>
        <v>3858.0600000000004</v>
      </c>
      <c r="T862" s="1" t="s">
        <v>873</v>
      </c>
      <c r="U862" s="1" t="s">
        <v>877</v>
      </c>
      <c r="V862" s="5" t="s">
        <v>884</v>
      </c>
    </row>
    <row r="863" spans="1:22" x14ac:dyDescent="0.3">
      <c r="A863" s="4" t="s">
        <v>166</v>
      </c>
      <c r="B863" s="3">
        <v>45563</v>
      </c>
      <c r="C863" s="1" t="str">
        <f t="shared" si="26"/>
        <v>September</v>
      </c>
      <c r="D863" s="1" t="s">
        <v>472</v>
      </c>
      <c r="E863" s="1" t="s">
        <v>651</v>
      </c>
      <c r="F863" s="1" t="s">
        <v>803</v>
      </c>
      <c r="G863" s="1" t="s">
        <v>806</v>
      </c>
      <c r="H863" s="1" t="s">
        <v>811</v>
      </c>
      <c r="I863" s="1" t="s">
        <v>816</v>
      </c>
      <c r="J863" s="1" t="s">
        <v>819</v>
      </c>
      <c r="K863" s="1" t="s">
        <v>821</v>
      </c>
      <c r="L863" s="1" t="s">
        <v>847</v>
      </c>
      <c r="M863" s="1">
        <v>2.09</v>
      </c>
      <c r="N863" s="1">
        <v>1270.04</v>
      </c>
      <c r="O863" s="1">
        <v>2706.81</v>
      </c>
      <c r="P863" s="1">
        <v>0.05</v>
      </c>
      <c r="Q863" s="1">
        <v>2443.34</v>
      </c>
      <c r="R863" s="1">
        <v>2051.89</v>
      </c>
      <c r="S863" s="1">
        <f t="shared" si="27"/>
        <v>391.45000000000027</v>
      </c>
      <c r="T863" s="1" t="s">
        <v>876</v>
      </c>
      <c r="U863" s="1" t="s">
        <v>877</v>
      </c>
      <c r="V863" s="5" t="s">
        <v>883</v>
      </c>
    </row>
    <row r="864" spans="1:22" x14ac:dyDescent="0.3">
      <c r="A864" s="4" t="s">
        <v>220</v>
      </c>
      <c r="B864" s="3">
        <v>45369</v>
      </c>
      <c r="C864" s="1" t="str">
        <f t="shared" si="26"/>
        <v>March</v>
      </c>
      <c r="D864" s="1" t="s">
        <v>400</v>
      </c>
      <c r="E864" s="1" t="s">
        <v>703</v>
      </c>
      <c r="F864" s="1" t="s">
        <v>802</v>
      </c>
      <c r="G864" s="1" t="s">
        <v>807</v>
      </c>
      <c r="H864" s="1" t="s">
        <v>810</v>
      </c>
      <c r="I864" s="1" t="s">
        <v>814</v>
      </c>
      <c r="J864" s="1" t="s">
        <v>817</v>
      </c>
      <c r="K864" s="1" t="s">
        <v>820</v>
      </c>
      <c r="L864" s="1" t="s">
        <v>852</v>
      </c>
      <c r="M864" s="1">
        <v>4.54</v>
      </c>
      <c r="N864" s="1">
        <v>457.68</v>
      </c>
      <c r="O864" s="1">
        <v>1776.46</v>
      </c>
      <c r="P864" s="1">
        <v>0.14000000000000001</v>
      </c>
      <c r="Q864" s="1">
        <v>1158.17</v>
      </c>
      <c r="R864" s="1">
        <v>985.78</v>
      </c>
      <c r="S864" s="1">
        <f t="shared" si="27"/>
        <v>172.3900000000001</v>
      </c>
      <c r="T864" s="1" t="s">
        <v>874</v>
      </c>
      <c r="U864" s="1" t="s">
        <v>879</v>
      </c>
      <c r="V864" s="5" t="s">
        <v>883</v>
      </c>
    </row>
    <row r="865" spans="1:22" x14ac:dyDescent="0.3">
      <c r="A865" s="4" t="s">
        <v>114</v>
      </c>
      <c r="B865" s="3">
        <v>45348</v>
      </c>
      <c r="C865" s="1" t="str">
        <f t="shared" si="26"/>
        <v>February</v>
      </c>
      <c r="D865" s="1" t="s">
        <v>462</v>
      </c>
      <c r="E865" s="1" t="s">
        <v>599</v>
      </c>
      <c r="F865" s="1" t="s">
        <v>803</v>
      </c>
      <c r="G865" s="1" t="s">
        <v>805</v>
      </c>
      <c r="H865" s="1" t="s">
        <v>811</v>
      </c>
      <c r="I865" s="1" t="s">
        <v>809</v>
      </c>
      <c r="J865" s="1" t="s">
        <v>819</v>
      </c>
      <c r="K865" s="1" t="s">
        <v>821</v>
      </c>
      <c r="L865" s="1" t="s">
        <v>856</v>
      </c>
      <c r="M865" s="1">
        <v>2.12</v>
      </c>
      <c r="N865" s="1">
        <v>1995.55</v>
      </c>
      <c r="O865" s="1">
        <v>3567.95</v>
      </c>
      <c r="P865" s="1">
        <v>0</v>
      </c>
      <c r="Q865" s="1">
        <v>3626.67</v>
      </c>
      <c r="R865" s="1">
        <v>3120.66</v>
      </c>
      <c r="S865" s="1">
        <f t="shared" si="27"/>
        <v>506.01000000000022</v>
      </c>
      <c r="T865" s="1" t="s">
        <v>874</v>
      </c>
      <c r="U865" s="1" t="s">
        <v>880</v>
      </c>
      <c r="V865" s="5" t="s">
        <v>884</v>
      </c>
    </row>
    <row r="866" spans="1:22" x14ac:dyDescent="0.3">
      <c r="A866" s="4" t="s">
        <v>318</v>
      </c>
      <c r="B866" s="3">
        <v>45620</v>
      </c>
      <c r="C866" s="1" t="str">
        <f t="shared" si="26"/>
        <v>November</v>
      </c>
      <c r="D866" s="1" t="s">
        <v>505</v>
      </c>
      <c r="E866" s="1" t="s">
        <v>800</v>
      </c>
      <c r="F866" s="1" t="s">
        <v>801</v>
      </c>
      <c r="G866" s="1" t="s">
        <v>806</v>
      </c>
      <c r="H866" s="1" t="s">
        <v>812</v>
      </c>
      <c r="I866" s="1" t="s">
        <v>809</v>
      </c>
      <c r="J866" s="1" t="s">
        <v>819</v>
      </c>
      <c r="K866" s="1" t="s">
        <v>822</v>
      </c>
      <c r="L866" s="1" t="s">
        <v>826</v>
      </c>
      <c r="M866" s="1">
        <v>5.01</v>
      </c>
      <c r="N866" s="1">
        <v>3017.92</v>
      </c>
      <c r="O866" s="1">
        <v>15222.37</v>
      </c>
      <c r="P866" s="1">
        <v>0</v>
      </c>
      <c r="Q866" s="1">
        <v>16753.990000000002</v>
      </c>
      <c r="R866" s="1">
        <v>8717</v>
      </c>
      <c r="S866" s="1">
        <f t="shared" si="27"/>
        <v>8036.9900000000016</v>
      </c>
      <c r="T866" s="1" t="s">
        <v>876</v>
      </c>
      <c r="U866" s="1" t="s">
        <v>877</v>
      </c>
      <c r="V866" s="5" t="s">
        <v>884</v>
      </c>
    </row>
    <row r="867" spans="1:22" x14ac:dyDescent="0.3">
      <c r="A867" s="4" t="s">
        <v>282</v>
      </c>
      <c r="B867" s="3">
        <v>45323</v>
      </c>
      <c r="C867" s="1" t="str">
        <f t="shared" si="26"/>
        <v>February</v>
      </c>
      <c r="D867" s="1" t="s">
        <v>414</v>
      </c>
      <c r="E867" s="1" t="s">
        <v>765</v>
      </c>
      <c r="F867" s="1" t="s">
        <v>802</v>
      </c>
      <c r="G867" s="1" t="s">
        <v>807</v>
      </c>
      <c r="H867" s="1" t="s">
        <v>811</v>
      </c>
      <c r="I867" s="1" t="s">
        <v>815</v>
      </c>
      <c r="J867" s="1" t="s">
        <v>818</v>
      </c>
      <c r="K867" s="1" t="s">
        <v>820</v>
      </c>
      <c r="L867" s="1" t="s">
        <v>849</v>
      </c>
      <c r="M867" s="1">
        <v>4.8899999999999997</v>
      </c>
      <c r="N867" s="1">
        <v>2591.17</v>
      </c>
      <c r="O867" s="1">
        <v>15199.55</v>
      </c>
      <c r="P867" s="1">
        <v>0.05</v>
      </c>
      <c r="Q867" s="1">
        <v>14789.45</v>
      </c>
      <c r="R867" s="1">
        <v>9070.7000000000007</v>
      </c>
      <c r="S867" s="1">
        <f t="shared" si="27"/>
        <v>5718.75</v>
      </c>
      <c r="T867" s="1" t="s">
        <v>874</v>
      </c>
      <c r="U867" s="1" t="s">
        <v>878</v>
      </c>
      <c r="V867" s="5" t="s">
        <v>882</v>
      </c>
    </row>
    <row r="868" spans="1:22" x14ac:dyDescent="0.3">
      <c r="A868" s="4" t="s">
        <v>313</v>
      </c>
      <c r="B868" s="3">
        <v>45326</v>
      </c>
      <c r="C868" s="1" t="str">
        <f t="shared" si="26"/>
        <v>February</v>
      </c>
      <c r="D868" s="1" t="s">
        <v>476</v>
      </c>
      <c r="E868" s="1" t="s">
        <v>795</v>
      </c>
      <c r="F868" s="1" t="s">
        <v>802</v>
      </c>
      <c r="G868" s="1" t="s">
        <v>805</v>
      </c>
      <c r="H868" s="1" t="s">
        <v>808</v>
      </c>
      <c r="I868" s="1" t="s">
        <v>815</v>
      </c>
      <c r="J868" s="1" t="s">
        <v>819</v>
      </c>
      <c r="K868" s="1" t="s">
        <v>820</v>
      </c>
      <c r="L868" s="1" t="s">
        <v>834</v>
      </c>
      <c r="M868" s="1">
        <v>1</v>
      </c>
      <c r="N868" s="1">
        <v>566.16999999999996</v>
      </c>
      <c r="O868" s="1">
        <v>712.45</v>
      </c>
      <c r="P868" s="1">
        <v>0</v>
      </c>
      <c r="Q868" s="1">
        <v>556.17999999999995</v>
      </c>
      <c r="R868" s="1">
        <v>392.3</v>
      </c>
      <c r="S868" s="1">
        <f t="shared" si="27"/>
        <v>163.87999999999994</v>
      </c>
      <c r="T868" s="1" t="s">
        <v>874</v>
      </c>
      <c r="U868" s="1" t="s">
        <v>879</v>
      </c>
      <c r="V868" s="5" t="s">
        <v>884</v>
      </c>
    </row>
    <row r="869" spans="1:22" x14ac:dyDescent="0.3">
      <c r="A869" s="4" t="s">
        <v>303</v>
      </c>
      <c r="B869" s="3">
        <v>45537</v>
      </c>
      <c r="C869" s="1" t="str">
        <f t="shared" si="26"/>
        <v>September</v>
      </c>
      <c r="D869" s="1" t="s">
        <v>355</v>
      </c>
      <c r="E869" s="1" t="s">
        <v>785</v>
      </c>
      <c r="F869" s="1" t="s">
        <v>803</v>
      </c>
      <c r="G869" s="1" t="s">
        <v>807</v>
      </c>
      <c r="H869" s="1" t="s">
        <v>809</v>
      </c>
      <c r="I869" s="1" t="s">
        <v>814</v>
      </c>
      <c r="J869" s="1" t="s">
        <v>819</v>
      </c>
      <c r="K869" s="1" t="s">
        <v>820</v>
      </c>
      <c r="L869" s="1" t="s">
        <v>863</v>
      </c>
      <c r="M869" s="1">
        <v>1.95</v>
      </c>
      <c r="N869" s="1">
        <v>2696.27</v>
      </c>
      <c r="O869" s="1">
        <v>5522.6</v>
      </c>
      <c r="P869" s="1">
        <v>0</v>
      </c>
      <c r="Q869" s="1">
        <v>5800.69</v>
      </c>
      <c r="R869" s="1">
        <v>3665.85</v>
      </c>
      <c r="S869" s="1">
        <f t="shared" si="27"/>
        <v>2134.8399999999997</v>
      </c>
      <c r="T869" s="1" t="s">
        <v>876</v>
      </c>
      <c r="U869" s="1" t="s">
        <v>881</v>
      </c>
      <c r="V869" s="5" t="s">
        <v>883</v>
      </c>
    </row>
    <row r="870" spans="1:22" x14ac:dyDescent="0.3">
      <c r="A870" s="4" t="s">
        <v>102</v>
      </c>
      <c r="B870" s="3">
        <v>45582</v>
      </c>
      <c r="C870" s="1" t="str">
        <f t="shared" si="26"/>
        <v>October</v>
      </c>
      <c r="D870" s="1" t="s">
        <v>392</v>
      </c>
      <c r="E870" s="1" t="s">
        <v>587</v>
      </c>
      <c r="F870" s="1" t="s">
        <v>802</v>
      </c>
      <c r="G870" s="1" t="s">
        <v>807</v>
      </c>
      <c r="H870" s="1" t="s">
        <v>808</v>
      </c>
      <c r="I870" s="1" t="s">
        <v>813</v>
      </c>
      <c r="J870" s="1" t="s">
        <v>817</v>
      </c>
      <c r="K870" s="1" t="s">
        <v>822</v>
      </c>
      <c r="L870" s="1" t="s">
        <v>825</v>
      </c>
      <c r="M870" s="1">
        <v>5.28</v>
      </c>
      <c r="N870" s="1">
        <v>767.07</v>
      </c>
      <c r="O870" s="1">
        <v>3926.97</v>
      </c>
      <c r="P870" s="1">
        <v>0.1</v>
      </c>
      <c r="Q870" s="1">
        <v>3194.28</v>
      </c>
      <c r="R870" s="1">
        <v>2763.54</v>
      </c>
      <c r="S870" s="1">
        <f t="shared" si="27"/>
        <v>430.74000000000024</v>
      </c>
      <c r="T870" s="1" t="s">
        <v>873</v>
      </c>
      <c r="U870" s="1" t="s">
        <v>880</v>
      </c>
      <c r="V870" s="5" t="s">
        <v>882</v>
      </c>
    </row>
    <row r="871" spans="1:22" x14ac:dyDescent="0.3">
      <c r="A871" s="4" t="s">
        <v>198</v>
      </c>
      <c r="B871" s="3">
        <v>45499</v>
      </c>
      <c r="C871" s="1" t="str">
        <f t="shared" si="26"/>
        <v>July</v>
      </c>
      <c r="D871" s="1" t="s">
        <v>480</v>
      </c>
      <c r="E871" s="1" t="s">
        <v>682</v>
      </c>
      <c r="F871" s="1" t="s">
        <v>803</v>
      </c>
      <c r="G871" s="1" t="s">
        <v>804</v>
      </c>
      <c r="H871" s="1" t="s">
        <v>809</v>
      </c>
      <c r="I871" s="1" t="s">
        <v>815</v>
      </c>
      <c r="J871" s="1" t="s">
        <v>819</v>
      </c>
      <c r="K871" s="1" t="s">
        <v>820</v>
      </c>
      <c r="L871" s="1" t="s">
        <v>866</v>
      </c>
      <c r="M871" s="1">
        <v>4</v>
      </c>
      <c r="N871" s="1">
        <v>824.67</v>
      </c>
      <c r="O871" s="1">
        <v>2866.37</v>
      </c>
      <c r="P871" s="1">
        <v>0.1</v>
      </c>
      <c r="Q871" s="1">
        <v>2970.72</v>
      </c>
      <c r="R871" s="1">
        <v>1610.8</v>
      </c>
      <c r="S871" s="1">
        <f t="shared" si="27"/>
        <v>1359.9199999999998</v>
      </c>
      <c r="T871" s="1" t="s">
        <v>874</v>
      </c>
      <c r="U871" s="1" t="s">
        <v>878</v>
      </c>
      <c r="V871" s="5" t="s">
        <v>882</v>
      </c>
    </row>
    <row r="872" spans="1:22" x14ac:dyDescent="0.3">
      <c r="A872" s="4" t="s">
        <v>119</v>
      </c>
      <c r="B872" s="3">
        <v>45490</v>
      </c>
      <c r="C872" s="1" t="str">
        <f t="shared" si="26"/>
        <v>July</v>
      </c>
      <c r="D872" s="1" t="s">
        <v>329</v>
      </c>
      <c r="E872" s="1" t="s">
        <v>604</v>
      </c>
      <c r="F872" s="1" t="s">
        <v>802</v>
      </c>
      <c r="G872" s="1" t="s">
        <v>807</v>
      </c>
      <c r="H872" s="1" t="s">
        <v>811</v>
      </c>
      <c r="I872" s="1" t="s">
        <v>809</v>
      </c>
      <c r="J872" s="1" t="s">
        <v>817</v>
      </c>
      <c r="K872" s="1" t="s">
        <v>822</v>
      </c>
      <c r="L872" s="1" t="s">
        <v>854</v>
      </c>
      <c r="M872" s="1">
        <v>1.1100000000000001</v>
      </c>
      <c r="N872" s="1">
        <v>501.9</v>
      </c>
      <c r="O872" s="1">
        <v>398.74</v>
      </c>
      <c r="P872" s="1">
        <v>0.14000000000000001</v>
      </c>
      <c r="Q872" s="1">
        <v>333.36</v>
      </c>
      <c r="R872" s="1">
        <v>322.31</v>
      </c>
      <c r="S872" s="1">
        <f t="shared" si="27"/>
        <v>11.050000000000011</v>
      </c>
      <c r="T872" s="1" t="s">
        <v>873</v>
      </c>
      <c r="U872" s="1" t="s">
        <v>877</v>
      </c>
      <c r="V872" s="5" t="s">
        <v>883</v>
      </c>
    </row>
    <row r="873" spans="1:22" x14ac:dyDescent="0.3">
      <c r="A873" s="4" t="s">
        <v>93</v>
      </c>
      <c r="B873" s="3">
        <v>45557</v>
      </c>
      <c r="C873" s="1" t="str">
        <f t="shared" si="26"/>
        <v>September</v>
      </c>
      <c r="D873" s="1" t="s">
        <v>382</v>
      </c>
      <c r="E873" s="1" t="s">
        <v>578</v>
      </c>
      <c r="F873" s="1" t="s">
        <v>803</v>
      </c>
      <c r="G873" s="1" t="s">
        <v>804</v>
      </c>
      <c r="H873" s="1" t="s">
        <v>812</v>
      </c>
      <c r="I873" s="1" t="s">
        <v>809</v>
      </c>
      <c r="J873" s="1" t="s">
        <v>819</v>
      </c>
      <c r="K873" s="1" t="s">
        <v>821</v>
      </c>
      <c r="L873" s="1" t="s">
        <v>861</v>
      </c>
      <c r="M873" s="1">
        <v>7.3</v>
      </c>
      <c r="N873" s="1">
        <v>1836.55</v>
      </c>
      <c r="O873" s="1">
        <v>11197.66</v>
      </c>
      <c r="P873" s="1">
        <v>0.05</v>
      </c>
      <c r="Q873" s="1">
        <v>11062.22</v>
      </c>
      <c r="R873" s="1">
        <v>6654.56</v>
      </c>
      <c r="S873" s="1">
        <f t="shared" si="27"/>
        <v>4407.6599999999989</v>
      </c>
      <c r="T873" s="1" t="s">
        <v>874</v>
      </c>
      <c r="U873" s="1" t="s">
        <v>878</v>
      </c>
      <c r="V873" s="5" t="s">
        <v>884</v>
      </c>
    </row>
    <row r="874" spans="1:22" x14ac:dyDescent="0.3">
      <c r="A874" s="4" t="s">
        <v>304</v>
      </c>
      <c r="B874" s="3">
        <v>45335</v>
      </c>
      <c r="C874" s="1" t="str">
        <f t="shared" si="26"/>
        <v>February</v>
      </c>
      <c r="D874" s="1" t="s">
        <v>380</v>
      </c>
      <c r="E874" s="1" t="s">
        <v>786</v>
      </c>
      <c r="F874" s="1" t="s">
        <v>802</v>
      </c>
      <c r="G874" s="1" t="s">
        <v>807</v>
      </c>
      <c r="H874" s="1" t="s">
        <v>811</v>
      </c>
      <c r="I874" s="1" t="s">
        <v>816</v>
      </c>
      <c r="J874" s="1" t="s">
        <v>818</v>
      </c>
      <c r="K874" s="1" t="s">
        <v>820</v>
      </c>
      <c r="L874" s="1" t="s">
        <v>846</v>
      </c>
      <c r="M874" s="1">
        <v>8.68</v>
      </c>
      <c r="N874" s="1">
        <v>2420.2800000000002</v>
      </c>
      <c r="O874" s="1">
        <v>19164.43</v>
      </c>
      <c r="P874" s="1">
        <v>0</v>
      </c>
      <c r="Q874" s="1">
        <v>22930.22</v>
      </c>
      <c r="R874" s="1">
        <v>15524.07</v>
      </c>
      <c r="S874" s="1">
        <f t="shared" si="27"/>
        <v>7406.1500000000015</v>
      </c>
      <c r="T874" s="1" t="s">
        <v>875</v>
      </c>
      <c r="U874" s="1" t="s">
        <v>877</v>
      </c>
      <c r="V874" s="5" t="s">
        <v>882</v>
      </c>
    </row>
    <row r="875" spans="1:22" x14ac:dyDescent="0.3">
      <c r="A875" s="4" t="s">
        <v>207</v>
      </c>
      <c r="B875" s="3">
        <v>45362</v>
      </c>
      <c r="C875" s="1" t="str">
        <f t="shared" si="26"/>
        <v>March</v>
      </c>
      <c r="D875" s="1" t="s">
        <v>483</v>
      </c>
      <c r="E875" s="1" t="s">
        <v>691</v>
      </c>
      <c r="F875" s="1" t="s">
        <v>802</v>
      </c>
      <c r="G875" s="1" t="s">
        <v>805</v>
      </c>
      <c r="H875" s="1" t="s">
        <v>809</v>
      </c>
      <c r="I875" s="1" t="s">
        <v>813</v>
      </c>
      <c r="J875" s="1" t="s">
        <v>818</v>
      </c>
      <c r="K875" s="1" t="s">
        <v>821</v>
      </c>
      <c r="L875" s="1" t="s">
        <v>831</v>
      </c>
      <c r="M875" s="1">
        <v>5.78</v>
      </c>
      <c r="N875" s="1">
        <v>1659.31</v>
      </c>
      <c r="O875" s="1">
        <v>14548.24</v>
      </c>
      <c r="P875" s="1">
        <v>0</v>
      </c>
      <c r="Q875" s="1">
        <v>11719.71</v>
      </c>
      <c r="R875" s="1">
        <v>9560.6299999999992</v>
      </c>
      <c r="S875" s="1">
        <f t="shared" si="27"/>
        <v>2159.08</v>
      </c>
      <c r="T875" s="1" t="s">
        <v>873</v>
      </c>
      <c r="U875" s="1" t="s">
        <v>879</v>
      </c>
      <c r="V875" s="5" t="s">
        <v>883</v>
      </c>
    </row>
    <row r="876" spans="1:22" x14ac:dyDescent="0.3">
      <c r="A876" s="4" t="s">
        <v>41</v>
      </c>
      <c r="B876" s="3">
        <v>45419</v>
      </c>
      <c r="C876" s="1" t="str">
        <f t="shared" si="26"/>
        <v>May</v>
      </c>
      <c r="D876" s="1" t="s">
        <v>326</v>
      </c>
      <c r="E876" s="1" t="s">
        <v>526</v>
      </c>
      <c r="F876" s="1" t="s">
        <v>803</v>
      </c>
      <c r="G876" s="1" t="s">
        <v>805</v>
      </c>
      <c r="H876" s="1" t="s">
        <v>812</v>
      </c>
      <c r="I876" s="1" t="s">
        <v>814</v>
      </c>
      <c r="J876" s="1" t="s">
        <v>818</v>
      </c>
      <c r="K876" s="1" t="s">
        <v>821</v>
      </c>
      <c r="L876" s="1" t="s">
        <v>842</v>
      </c>
      <c r="M876" s="1">
        <v>4.3600000000000003</v>
      </c>
      <c r="N876" s="1">
        <v>599.66</v>
      </c>
      <c r="O876" s="1">
        <v>2859.67</v>
      </c>
      <c r="P876" s="1">
        <v>0</v>
      </c>
      <c r="Q876" s="1">
        <v>2250.9699999999998</v>
      </c>
      <c r="R876" s="1">
        <v>2093.42</v>
      </c>
      <c r="S876" s="1">
        <f t="shared" si="27"/>
        <v>157.54999999999973</v>
      </c>
      <c r="T876" s="1" t="s">
        <v>875</v>
      </c>
      <c r="U876" s="1" t="s">
        <v>879</v>
      </c>
      <c r="V876" s="5" t="s">
        <v>884</v>
      </c>
    </row>
    <row r="877" spans="1:22" x14ac:dyDescent="0.3">
      <c r="A877" s="4" t="s">
        <v>157</v>
      </c>
      <c r="B877" s="3">
        <v>45561</v>
      </c>
      <c r="C877" s="1" t="str">
        <f t="shared" si="26"/>
        <v>September</v>
      </c>
      <c r="D877" s="1" t="s">
        <v>321</v>
      </c>
      <c r="E877" s="1" t="s">
        <v>642</v>
      </c>
      <c r="F877" s="1" t="s">
        <v>801</v>
      </c>
      <c r="G877" s="1" t="s">
        <v>806</v>
      </c>
      <c r="H877" s="1" t="s">
        <v>810</v>
      </c>
      <c r="I877" s="1" t="s">
        <v>813</v>
      </c>
      <c r="J877" s="1" t="s">
        <v>818</v>
      </c>
      <c r="K877" s="1" t="s">
        <v>820</v>
      </c>
      <c r="L877" s="1" t="s">
        <v>850</v>
      </c>
      <c r="M877" s="1">
        <v>3.19</v>
      </c>
      <c r="N877" s="1">
        <v>1643.43</v>
      </c>
      <c r="O877" s="1">
        <v>4852.21</v>
      </c>
      <c r="P877" s="1">
        <v>0</v>
      </c>
      <c r="Q877" s="1">
        <v>4676</v>
      </c>
      <c r="R877" s="1">
        <v>3894.32</v>
      </c>
      <c r="S877" s="1">
        <f t="shared" si="27"/>
        <v>781.67999999999984</v>
      </c>
      <c r="T877" s="1" t="s">
        <v>875</v>
      </c>
      <c r="U877" s="1" t="s">
        <v>880</v>
      </c>
      <c r="V877" s="5" t="s">
        <v>883</v>
      </c>
    </row>
    <row r="878" spans="1:22" x14ac:dyDescent="0.3">
      <c r="A878" s="4" t="s">
        <v>304</v>
      </c>
      <c r="B878" s="3">
        <v>45335</v>
      </c>
      <c r="C878" s="1" t="str">
        <f t="shared" si="26"/>
        <v>February</v>
      </c>
      <c r="D878" s="1" t="s">
        <v>380</v>
      </c>
      <c r="E878" s="1" t="s">
        <v>786</v>
      </c>
      <c r="F878" s="1" t="s">
        <v>802</v>
      </c>
      <c r="G878" s="1" t="s">
        <v>807</v>
      </c>
      <c r="H878" s="1" t="s">
        <v>811</v>
      </c>
      <c r="I878" s="1" t="s">
        <v>816</v>
      </c>
      <c r="J878" s="1" t="s">
        <v>818</v>
      </c>
      <c r="K878" s="1" t="s">
        <v>820</v>
      </c>
      <c r="L878" s="1" t="s">
        <v>846</v>
      </c>
      <c r="M878" s="1">
        <v>9.5500000000000007</v>
      </c>
      <c r="N878" s="1">
        <v>2455.11</v>
      </c>
      <c r="O878" s="1">
        <v>21515.96</v>
      </c>
      <c r="P878" s="1">
        <v>0</v>
      </c>
      <c r="Q878" s="1">
        <v>21582.27</v>
      </c>
      <c r="R878" s="1">
        <v>17045.669999999998</v>
      </c>
      <c r="S878" s="1">
        <f t="shared" si="27"/>
        <v>4536.6000000000022</v>
      </c>
      <c r="T878" s="1" t="s">
        <v>875</v>
      </c>
      <c r="U878" s="1" t="s">
        <v>877</v>
      </c>
      <c r="V878" s="5" t="s">
        <v>882</v>
      </c>
    </row>
    <row r="879" spans="1:22" x14ac:dyDescent="0.3">
      <c r="A879" s="4" t="s">
        <v>283</v>
      </c>
      <c r="B879" s="3">
        <v>45609</v>
      </c>
      <c r="C879" s="1" t="str">
        <f t="shared" si="26"/>
        <v>November</v>
      </c>
      <c r="D879" s="1" t="s">
        <v>473</v>
      </c>
      <c r="E879" s="1" t="s">
        <v>766</v>
      </c>
      <c r="F879" s="1" t="s">
        <v>801</v>
      </c>
      <c r="G879" s="1" t="s">
        <v>805</v>
      </c>
      <c r="H879" s="1" t="s">
        <v>812</v>
      </c>
      <c r="I879" s="1" t="s">
        <v>809</v>
      </c>
      <c r="J879" s="1" t="s">
        <v>817</v>
      </c>
      <c r="K879" s="1" t="s">
        <v>821</v>
      </c>
      <c r="L879" s="1" t="s">
        <v>871</v>
      </c>
      <c r="M879" s="1">
        <v>8.58</v>
      </c>
      <c r="N879" s="1">
        <v>1709.04</v>
      </c>
      <c r="O879" s="1">
        <v>12571.47</v>
      </c>
      <c r="P879" s="1">
        <v>0.09</v>
      </c>
      <c r="Q879" s="1">
        <v>11873.22</v>
      </c>
      <c r="R879" s="1">
        <v>8192.41</v>
      </c>
      <c r="S879" s="1">
        <f t="shared" si="27"/>
        <v>3680.8099999999995</v>
      </c>
      <c r="T879" s="1" t="s">
        <v>873</v>
      </c>
      <c r="U879" s="1" t="s">
        <v>880</v>
      </c>
      <c r="V879" s="5" t="s">
        <v>884</v>
      </c>
    </row>
    <row r="880" spans="1:22" x14ac:dyDescent="0.3">
      <c r="A880" s="4" t="s">
        <v>220</v>
      </c>
      <c r="B880" s="3">
        <v>45369</v>
      </c>
      <c r="C880" s="1" t="str">
        <f t="shared" si="26"/>
        <v>March</v>
      </c>
      <c r="D880" s="1" t="s">
        <v>400</v>
      </c>
      <c r="E880" s="1" t="s">
        <v>703</v>
      </c>
      <c r="F880" s="1" t="s">
        <v>802</v>
      </c>
      <c r="G880" s="1" t="s">
        <v>807</v>
      </c>
      <c r="H880" s="1" t="s">
        <v>810</v>
      </c>
      <c r="I880" s="1" t="s">
        <v>814</v>
      </c>
      <c r="J880" s="1" t="s">
        <v>817</v>
      </c>
      <c r="K880" s="1" t="s">
        <v>820</v>
      </c>
      <c r="L880" s="1" t="s">
        <v>852</v>
      </c>
      <c r="M880" s="1">
        <v>3.88</v>
      </c>
      <c r="N880" s="1">
        <v>398.44</v>
      </c>
      <c r="O880" s="1">
        <v>1970.44</v>
      </c>
      <c r="P880" s="1">
        <v>0.15</v>
      </c>
      <c r="Q880" s="1">
        <v>1403.58</v>
      </c>
      <c r="R880" s="1">
        <v>925.55</v>
      </c>
      <c r="S880" s="1">
        <f t="shared" si="27"/>
        <v>478.03</v>
      </c>
      <c r="T880" s="1" t="s">
        <v>874</v>
      </c>
      <c r="U880" s="1" t="s">
        <v>879</v>
      </c>
      <c r="V880" s="5" t="s">
        <v>883</v>
      </c>
    </row>
    <row r="881" spans="1:22" x14ac:dyDescent="0.3">
      <c r="A881" s="4" t="s">
        <v>276</v>
      </c>
      <c r="B881" s="3">
        <v>45491</v>
      </c>
      <c r="C881" s="1" t="str">
        <f t="shared" si="26"/>
        <v>July</v>
      </c>
      <c r="D881" s="1" t="s">
        <v>329</v>
      </c>
      <c r="E881" s="1" t="s">
        <v>759</v>
      </c>
      <c r="F881" s="1" t="s">
        <v>802</v>
      </c>
      <c r="G881" s="1" t="s">
        <v>805</v>
      </c>
      <c r="H881" s="1" t="s">
        <v>812</v>
      </c>
      <c r="I881" s="1" t="s">
        <v>816</v>
      </c>
      <c r="J881" s="1" t="s">
        <v>819</v>
      </c>
      <c r="K881" s="1" t="s">
        <v>821</v>
      </c>
      <c r="L881" s="1" t="s">
        <v>854</v>
      </c>
      <c r="M881" s="1">
        <v>6.08</v>
      </c>
      <c r="N881" s="1">
        <v>3659.55</v>
      </c>
      <c r="O881" s="1">
        <v>20569.41</v>
      </c>
      <c r="P881" s="1">
        <v>0.1</v>
      </c>
      <c r="Q881" s="1">
        <v>15922.16</v>
      </c>
      <c r="R881" s="1">
        <v>13250.47</v>
      </c>
      <c r="S881" s="1">
        <f t="shared" si="27"/>
        <v>2671.6900000000005</v>
      </c>
      <c r="T881" s="1" t="s">
        <v>875</v>
      </c>
      <c r="U881" s="1" t="s">
        <v>880</v>
      </c>
      <c r="V881" s="5" t="s">
        <v>884</v>
      </c>
    </row>
    <row r="882" spans="1:22" x14ac:dyDescent="0.3">
      <c r="A882" s="4" t="s">
        <v>221</v>
      </c>
      <c r="B882" s="3">
        <v>45584</v>
      </c>
      <c r="C882" s="1" t="str">
        <f t="shared" si="26"/>
        <v>October</v>
      </c>
      <c r="D882" s="1" t="s">
        <v>471</v>
      </c>
      <c r="E882" s="1" t="s">
        <v>704</v>
      </c>
      <c r="F882" s="1" t="s">
        <v>802</v>
      </c>
      <c r="G882" s="1" t="s">
        <v>804</v>
      </c>
      <c r="H882" s="1" t="s">
        <v>808</v>
      </c>
      <c r="I882" s="1" t="s">
        <v>813</v>
      </c>
      <c r="J882" s="1" t="s">
        <v>819</v>
      </c>
      <c r="K882" s="1" t="s">
        <v>821</v>
      </c>
      <c r="L882" s="1" t="s">
        <v>836</v>
      </c>
      <c r="M882" s="1">
        <v>11.78</v>
      </c>
      <c r="N882" s="1">
        <v>3178.25</v>
      </c>
      <c r="O882" s="1">
        <v>39285.93</v>
      </c>
      <c r="P882" s="1">
        <v>0.1</v>
      </c>
      <c r="Q882" s="1">
        <v>34225.019999999997</v>
      </c>
      <c r="R882" s="1">
        <v>22102.2</v>
      </c>
      <c r="S882" s="1">
        <f t="shared" si="27"/>
        <v>12122.819999999996</v>
      </c>
      <c r="T882" s="1" t="s">
        <v>873</v>
      </c>
      <c r="U882" s="1" t="s">
        <v>879</v>
      </c>
      <c r="V882" s="5" t="s">
        <v>883</v>
      </c>
    </row>
    <row r="883" spans="1:22" x14ac:dyDescent="0.3">
      <c r="A883" s="4" t="s">
        <v>261</v>
      </c>
      <c r="B883" s="3">
        <v>45339</v>
      </c>
      <c r="C883" s="1" t="str">
        <f t="shared" si="26"/>
        <v>February</v>
      </c>
      <c r="D883" s="1" t="s">
        <v>387</v>
      </c>
      <c r="E883" s="1" t="s">
        <v>744</v>
      </c>
      <c r="F883" s="1" t="s">
        <v>803</v>
      </c>
      <c r="G883" s="1" t="s">
        <v>806</v>
      </c>
      <c r="H883" s="1" t="s">
        <v>810</v>
      </c>
      <c r="I883" s="1" t="s">
        <v>816</v>
      </c>
      <c r="J883" s="1" t="s">
        <v>819</v>
      </c>
      <c r="K883" s="1" t="s">
        <v>820</v>
      </c>
      <c r="L883" s="1" t="s">
        <v>870</v>
      </c>
      <c r="M883" s="1">
        <v>6.79</v>
      </c>
      <c r="N883" s="1">
        <v>1282.28</v>
      </c>
      <c r="O883" s="1">
        <v>9768.48</v>
      </c>
      <c r="P883" s="1">
        <v>0.1</v>
      </c>
      <c r="Q883" s="1">
        <v>9993.94</v>
      </c>
      <c r="R883" s="1">
        <v>6212.28</v>
      </c>
      <c r="S883" s="1">
        <f t="shared" si="27"/>
        <v>3781.6600000000008</v>
      </c>
      <c r="T883" s="1" t="s">
        <v>874</v>
      </c>
      <c r="U883" s="1" t="s">
        <v>877</v>
      </c>
      <c r="V883" s="5" t="s">
        <v>883</v>
      </c>
    </row>
    <row r="884" spans="1:22" x14ac:dyDescent="0.3">
      <c r="A884" s="4" t="s">
        <v>318</v>
      </c>
      <c r="B884" s="3">
        <v>45620</v>
      </c>
      <c r="C884" s="1" t="str">
        <f t="shared" si="26"/>
        <v>November</v>
      </c>
      <c r="D884" s="1" t="s">
        <v>505</v>
      </c>
      <c r="E884" s="1" t="s">
        <v>800</v>
      </c>
      <c r="F884" s="1" t="s">
        <v>801</v>
      </c>
      <c r="G884" s="1" t="s">
        <v>806</v>
      </c>
      <c r="H884" s="1" t="s">
        <v>812</v>
      </c>
      <c r="I884" s="1" t="s">
        <v>809</v>
      </c>
      <c r="J884" s="1" t="s">
        <v>819</v>
      </c>
      <c r="K884" s="1" t="s">
        <v>822</v>
      </c>
      <c r="L884" s="1" t="s">
        <v>826</v>
      </c>
      <c r="M884" s="1">
        <v>4.7</v>
      </c>
      <c r="N884" s="1">
        <v>3106.72</v>
      </c>
      <c r="O884" s="1">
        <v>14862.69</v>
      </c>
      <c r="P884" s="1">
        <v>0</v>
      </c>
      <c r="Q884" s="1">
        <v>15195.19</v>
      </c>
      <c r="R884" s="1">
        <v>9916.8700000000008</v>
      </c>
      <c r="S884" s="1">
        <f t="shared" si="27"/>
        <v>5278.32</v>
      </c>
      <c r="T884" s="1" t="s">
        <v>876</v>
      </c>
      <c r="U884" s="1" t="s">
        <v>877</v>
      </c>
      <c r="V884" s="5" t="s">
        <v>884</v>
      </c>
    </row>
    <row r="885" spans="1:22" x14ac:dyDescent="0.3">
      <c r="A885" s="4" t="s">
        <v>299</v>
      </c>
      <c r="B885" s="3">
        <v>45611</v>
      </c>
      <c r="C885" s="1" t="str">
        <f t="shared" si="26"/>
        <v>November</v>
      </c>
      <c r="D885" s="1" t="s">
        <v>417</v>
      </c>
      <c r="E885" s="1" t="s">
        <v>781</v>
      </c>
      <c r="F885" s="1" t="s">
        <v>801</v>
      </c>
      <c r="G885" s="1" t="s">
        <v>805</v>
      </c>
      <c r="H885" s="1" t="s">
        <v>809</v>
      </c>
      <c r="I885" s="1" t="s">
        <v>809</v>
      </c>
      <c r="J885" s="1" t="s">
        <v>818</v>
      </c>
      <c r="K885" s="1" t="s">
        <v>820</v>
      </c>
      <c r="L885" s="1" t="s">
        <v>837</v>
      </c>
      <c r="M885" s="1">
        <v>8.81</v>
      </c>
      <c r="N885" s="1">
        <v>1955.37</v>
      </c>
      <c r="O885" s="1">
        <v>13100.53</v>
      </c>
      <c r="P885" s="1">
        <v>0.05</v>
      </c>
      <c r="Q885" s="1">
        <v>15209.79</v>
      </c>
      <c r="R885" s="1">
        <v>8210.6299999999992</v>
      </c>
      <c r="S885" s="1">
        <f t="shared" si="27"/>
        <v>6999.1600000000017</v>
      </c>
      <c r="T885" s="1" t="s">
        <v>873</v>
      </c>
      <c r="U885" s="1" t="s">
        <v>878</v>
      </c>
      <c r="V885" s="5" t="s">
        <v>883</v>
      </c>
    </row>
    <row r="886" spans="1:22" x14ac:dyDescent="0.3">
      <c r="A886" s="4" t="s">
        <v>212</v>
      </c>
      <c r="B886" s="3">
        <v>45479</v>
      </c>
      <c r="C886" s="1" t="str">
        <f t="shared" si="26"/>
        <v>July</v>
      </c>
      <c r="D886" s="1" t="s">
        <v>352</v>
      </c>
      <c r="E886" s="1" t="s">
        <v>695</v>
      </c>
      <c r="F886" s="1" t="s">
        <v>803</v>
      </c>
      <c r="G886" s="1" t="s">
        <v>807</v>
      </c>
      <c r="H886" s="1" t="s">
        <v>808</v>
      </c>
      <c r="I886" s="1" t="s">
        <v>814</v>
      </c>
      <c r="J886" s="1" t="s">
        <v>819</v>
      </c>
      <c r="K886" s="1" t="s">
        <v>821</v>
      </c>
      <c r="L886" s="1" t="s">
        <v>826</v>
      </c>
      <c r="M886" s="1">
        <v>4.24</v>
      </c>
      <c r="N886" s="1">
        <v>2700.05</v>
      </c>
      <c r="O886" s="1">
        <v>15635.05</v>
      </c>
      <c r="P886" s="1">
        <v>0</v>
      </c>
      <c r="Q886" s="1">
        <v>17264.47</v>
      </c>
      <c r="R886" s="1">
        <v>13782.4</v>
      </c>
      <c r="S886" s="1">
        <f t="shared" si="27"/>
        <v>3482.0700000000015</v>
      </c>
      <c r="T886" s="1" t="s">
        <v>876</v>
      </c>
      <c r="U886" s="1" t="s">
        <v>881</v>
      </c>
      <c r="V886" s="5" t="s">
        <v>884</v>
      </c>
    </row>
    <row r="887" spans="1:22" x14ac:dyDescent="0.3">
      <c r="A887" s="4" t="s">
        <v>297</v>
      </c>
      <c r="B887" s="3">
        <v>45535</v>
      </c>
      <c r="C887" s="1" t="str">
        <f t="shared" si="26"/>
        <v>August</v>
      </c>
      <c r="D887" s="1" t="s">
        <v>341</v>
      </c>
      <c r="E887" s="1" t="s">
        <v>779</v>
      </c>
      <c r="F887" s="1" t="s">
        <v>801</v>
      </c>
      <c r="G887" s="1" t="s">
        <v>807</v>
      </c>
      <c r="H887" s="1" t="s">
        <v>809</v>
      </c>
      <c r="I887" s="1" t="s">
        <v>813</v>
      </c>
      <c r="J887" s="1" t="s">
        <v>818</v>
      </c>
      <c r="K887" s="1" t="s">
        <v>822</v>
      </c>
      <c r="L887" s="1" t="s">
        <v>840</v>
      </c>
      <c r="M887" s="1">
        <v>2.71</v>
      </c>
      <c r="N887" s="1">
        <v>2855.41</v>
      </c>
      <c r="O887" s="1">
        <v>9576.82</v>
      </c>
      <c r="P887" s="1">
        <v>0.1</v>
      </c>
      <c r="Q887" s="1">
        <v>7617.84</v>
      </c>
      <c r="R887" s="1">
        <v>5482.89</v>
      </c>
      <c r="S887" s="1">
        <f t="shared" si="27"/>
        <v>2134.9499999999998</v>
      </c>
      <c r="T887" s="1" t="s">
        <v>873</v>
      </c>
      <c r="U887" s="1" t="s">
        <v>878</v>
      </c>
      <c r="V887" s="5" t="s">
        <v>882</v>
      </c>
    </row>
    <row r="888" spans="1:22" x14ac:dyDescent="0.3">
      <c r="A888" s="4" t="s">
        <v>93</v>
      </c>
      <c r="B888" s="3">
        <v>45557</v>
      </c>
      <c r="C888" s="1" t="str">
        <f t="shared" si="26"/>
        <v>September</v>
      </c>
      <c r="D888" s="1" t="s">
        <v>382</v>
      </c>
      <c r="E888" s="1" t="s">
        <v>578</v>
      </c>
      <c r="F888" s="1" t="s">
        <v>803</v>
      </c>
      <c r="G888" s="1" t="s">
        <v>804</v>
      </c>
      <c r="H888" s="1" t="s">
        <v>812</v>
      </c>
      <c r="I888" s="1" t="s">
        <v>809</v>
      </c>
      <c r="J888" s="1" t="s">
        <v>819</v>
      </c>
      <c r="K888" s="1" t="s">
        <v>821</v>
      </c>
      <c r="L888" s="1" t="s">
        <v>861</v>
      </c>
      <c r="M888" s="1">
        <v>7.66</v>
      </c>
      <c r="N888" s="1">
        <v>1643.24</v>
      </c>
      <c r="O888" s="1">
        <v>10212.85</v>
      </c>
      <c r="P888" s="1">
        <v>0.05</v>
      </c>
      <c r="Q888" s="1">
        <v>9844.6299999999992</v>
      </c>
      <c r="R888" s="1">
        <v>6426.64</v>
      </c>
      <c r="S888" s="1">
        <f t="shared" si="27"/>
        <v>3417.9899999999989</v>
      </c>
      <c r="T888" s="1" t="s">
        <v>874</v>
      </c>
      <c r="U888" s="1" t="s">
        <v>878</v>
      </c>
      <c r="V888" s="5" t="s">
        <v>884</v>
      </c>
    </row>
    <row r="889" spans="1:22" x14ac:dyDescent="0.3">
      <c r="A889" s="4" t="s">
        <v>93</v>
      </c>
      <c r="B889" s="3">
        <v>45557</v>
      </c>
      <c r="C889" s="1" t="str">
        <f t="shared" si="26"/>
        <v>September</v>
      </c>
      <c r="D889" s="1" t="s">
        <v>382</v>
      </c>
      <c r="E889" s="1" t="s">
        <v>578</v>
      </c>
      <c r="F889" s="1" t="s">
        <v>803</v>
      </c>
      <c r="G889" s="1" t="s">
        <v>804</v>
      </c>
      <c r="H889" s="1" t="s">
        <v>812</v>
      </c>
      <c r="I889" s="1" t="s">
        <v>809</v>
      </c>
      <c r="J889" s="1" t="s">
        <v>819</v>
      </c>
      <c r="K889" s="1" t="s">
        <v>821</v>
      </c>
      <c r="L889" s="1" t="s">
        <v>861</v>
      </c>
      <c r="M889" s="1">
        <v>6.66</v>
      </c>
      <c r="N889" s="1">
        <v>1902.62</v>
      </c>
      <c r="O889" s="1">
        <v>11334.25</v>
      </c>
      <c r="P889" s="1">
        <v>0.05</v>
      </c>
      <c r="Q889" s="1">
        <v>11260.1</v>
      </c>
      <c r="R889" s="1">
        <v>6283.33</v>
      </c>
      <c r="S889" s="1">
        <f t="shared" si="27"/>
        <v>4976.7700000000004</v>
      </c>
      <c r="T889" s="1" t="s">
        <v>874</v>
      </c>
      <c r="U889" s="1" t="s">
        <v>878</v>
      </c>
      <c r="V889" s="5" t="s">
        <v>884</v>
      </c>
    </row>
    <row r="890" spans="1:22" x14ac:dyDescent="0.3">
      <c r="A890" s="4" t="s">
        <v>60</v>
      </c>
      <c r="B890" s="3">
        <v>45522</v>
      </c>
      <c r="C890" s="1" t="str">
        <f t="shared" si="26"/>
        <v>August</v>
      </c>
      <c r="D890" s="1" t="s">
        <v>434</v>
      </c>
      <c r="E890" s="1" t="s">
        <v>545</v>
      </c>
      <c r="F890" s="1" t="s">
        <v>803</v>
      </c>
      <c r="G890" s="1" t="s">
        <v>807</v>
      </c>
      <c r="H890" s="1" t="s">
        <v>812</v>
      </c>
      <c r="I890" s="1" t="s">
        <v>813</v>
      </c>
      <c r="J890" s="1" t="s">
        <v>818</v>
      </c>
      <c r="K890" s="1" t="s">
        <v>821</v>
      </c>
      <c r="L890" s="1" t="s">
        <v>842</v>
      </c>
      <c r="M890" s="1">
        <v>6.64</v>
      </c>
      <c r="N890" s="1">
        <v>1044.8800000000001</v>
      </c>
      <c r="O890" s="1">
        <v>6357.32</v>
      </c>
      <c r="P890" s="1">
        <v>0.05</v>
      </c>
      <c r="Q890" s="1">
        <v>6667.51</v>
      </c>
      <c r="R890" s="1">
        <v>4420.41</v>
      </c>
      <c r="S890" s="1">
        <f t="shared" si="27"/>
        <v>2247.1000000000004</v>
      </c>
      <c r="T890" s="1" t="s">
        <v>874</v>
      </c>
      <c r="U890" s="1" t="s">
        <v>877</v>
      </c>
      <c r="V890" s="5" t="s">
        <v>883</v>
      </c>
    </row>
    <row r="891" spans="1:22" x14ac:dyDescent="0.3">
      <c r="A891" s="4" t="s">
        <v>143</v>
      </c>
      <c r="B891" s="3">
        <v>45323</v>
      </c>
      <c r="C891" s="1" t="str">
        <f t="shared" si="26"/>
        <v>February</v>
      </c>
      <c r="D891" s="1" t="s">
        <v>469</v>
      </c>
      <c r="E891" s="1" t="s">
        <v>628</v>
      </c>
      <c r="F891" s="1" t="s">
        <v>803</v>
      </c>
      <c r="G891" s="1" t="s">
        <v>807</v>
      </c>
      <c r="H891" s="1" t="s">
        <v>808</v>
      </c>
      <c r="I891" s="1" t="s">
        <v>816</v>
      </c>
      <c r="J891" s="1" t="s">
        <v>817</v>
      </c>
      <c r="K891" s="1" t="s">
        <v>822</v>
      </c>
      <c r="L891" s="1" t="s">
        <v>867</v>
      </c>
      <c r="M891" s="1">
        <v>9.9600000000000009</v>
      </c>
      <c r="N891" s="1">
        <v>2519.27</v>
      </c>
      <c r="O891" s="1">
        <v>27765.34</v>
      </c>
      <c r="P891" s="1">
        <v>0.1</v>
      </c>
      <c r="Q891" s="1">
        <v>25140.42</v>
      </c>
      <c r="R891" s="1">
        <v>23833.77</v>
      </c>
      <c r="S891" s="1">
        <f t="shared" si="27"/>
        <v>1306.6499999999978</v>
      </c>
      <c r="T891" s="1" t="s">
        <v>873</v>
      </c>
      <c r="U891" s="1" t="s">
        <v>881</v>
      </c>
      <c r="V891" s="5" t="s">
        <v>882</v>
      </c>
    </row>
    <row r="892" spans="1:22" x14ac:dyDescent="0.3">
      <c r="A892" s="4" t="s">
        <v>308</v>
      </c>
      <c r="B892" s="3">
        <v>45360</v>
      </c>
      <c r="C892" s="1" t="str">
        <f t="shared" si="26"/>
        <v>March</v>
      </c>
      <c r="D892" s="1" t="s">
        <v>381</v>
      </c>
      <c r="E892" s="1" t="s">
        <v>790</v>
      </c>
      <c r="F892" s="1" t="s">
        <v>803</v>
      </c>
      <c r="G892" s="1" t="s">
        <v>805</v>
      </c>
      <c r="H892" s="1" t="s">
        <v>810</v>
      </c>
      <c r="I892" s="1" t="s">
        <v>816</v>
      </c>
      <c r="J892" s="1" t="s">
        <v>818</v>
      </c>
      <c r="K892" s="1" t="s">
        <v>822</v>
      </c>
      <c r="L892" s="1" t="s">
        <v>849</v>
      </c>
      <c r="M892" s="1">
        <v>5.28</v>
      </c>
      <c r="N892" s="1">
        <v>2837.01</v>
      </c>
      <c r="O892" s="1">
        <v>17634.580000000002</v>
      </c>
      <c r="P892" s="1">
        <v>0</v>
      </c>
      <c r="Q892" s="1">
        <v>14296.19</v>
      </c>
      <c r="R892" s="1">
        <v>12665.46</v>
      </c>
      <c r="S892" s="1">
        <f t="shared" si="27"/>
        <v>1630.7300000000014</v>
      </c>
      <c r="T892" s="1" t="s">
        <v>875</v>
      </c>
      <c r="U892" s="1" t="s">
        <v>877</v>
      </c>
      <c r="V892" s="5" t="s">
        <v>884</v>
      </c>
    </row>
    <row r="893" spans="1:22" x14ac:dyDescent="0.3">
      <c r="A893" s="4" t="s">
        <v>281</v>
      </c>
      <c r="B893" s="3">
        <v>45619</v>
      </c>
      <c r="C893" s="1" t="str">
        <f t="shared" si="26"/>
        <v>November</v>
      </c>
      <c r="D893" s="1" t="s">
        <v>498</v>
      </c>
      <c r="E893" s="1" t="s">
        <v>764</v>
      </c>
      <c r="F893" s="1" t="s">
        <v>801</v>
      </c>
      <c r="G893" s="1" t="s">
        <v>806</v>
      </c>
      <c r="H893" s="1" t="s">
        <v>808</v>
      </c>
      <c r="I893" s="1" t="s">
        <v>816</v>
      </c>
      <c r="J893" s="1" t="s">
        <v>817</v>
      </c>
      <c r="K893" s="1" t="s">
        <v>821</v>
      </c>
      <c r="L893" s="1" t="s">
        <v>836</v>
      </c>
      <c r="M893" s="1">
        <v>7.57</v>
      </c>
      <c r="N893" s="1">
        <v>3567.82</v>
      </c>
      <c r="O893" s="1">
        <v>27260.5</v>
      </c>
      <c r="P893" s="1">
        <v>0.1</v>
      </c>
      <c r="Q893" s="1">
        <v>25558.9</v>
      </c>
      <c r="R893" s="1">
        <v>20459.95</v>
      </c>
      <c r="S893" s="1">
        <f t="shared" si="27"/>
        <v>5098.9500000000007</v>
      </c>
      <c r="T893" s="1" t="s">
        <v>875</v>
      </c>
      <c r="U893" s="1" t="s">
        <v>880</v>
      </c>
      <c r="V893" s="5" t="s">
        <v>883</v>
      </c>
    </row>
    <row r="894" spans="1:22" x14ac:dyDescent="0.3">
      <c r="A894" s="4" t="s">
        <v>207</v>
      </c>
      <c r="B894" s="3">
        <v>45362</v>
      </c>
      <c r="C894" s="1" t="str">
        <f t="shared" si="26"/>
        <v>March</v>
      </c>
      <c r="D894" s="1" t="s">
        <v>483</v>
      </c>
      <c r="E894" s="1" t="s">
        <v>691</v>
      </c>
      <c r="F894" s="1" t="s">
        <v>802</v>
      </c>
      <c r="G894" s="1" t="s">
        <v>805</v>
      </c>
      <c r="H894" s="1" t="s">
        <v>809</v>
      </c>
      <c r="I894" s="1" t="s">
        <v>813</v>
      </c>
      <c r="J894" s="1" t="s">
        <v>818</v>
      </c>
      <c r="K894" s="1" t="s">
        <v>821</v>
      </c>
      <c r="L894" s="1" t="s">
        <v>831</v>
      </c>
      <c r="M894" s="1">
        <v>5.63</v>
      </c>
      <c r="N894" s="1">
        <v>2373.35</v>
      </c>
      <c r="O894" s="1">
        <v>13236.38</v>
      </c>
      <c r="P894" s="1">
        <v>0</v>
      </c>
      <c r="Q894" s="1">
        <v>13874.33</v>
      </c>
      <c r="R894" s="1">
        <v>10715.47</v>
      </c>
      <c r="S894" s="1">
        <f t="shared" si="27"/>
        <v>3158.8600000000006</v>
      </c>
      <c r="T894" s="1" t="s">
        <v>873</v>
      </c>
      <c r="U894" s="1" t="s">
        <v>879</v>
      </c>
      <c r="V894" s="5" t="s">
        <v>883</v>
      </c>
    </row>
    <row r="895" spans="1:22" x14ac:dyDescent="0.3">
      <c r="A895" s="4" t="s">
        <v>66</v>
      </c>
      <c r="B895" s="3">
        <v>45374</v>
      </c>
      <c r="C895" s="1" t="str">
        <f t="shared" si="26"/>
        <v>March</v>
      </c>
      <c r="D895" s="1" t="s">
        <v>334</v>
      </c>
      <c r="E895" s="1" t="s">
        <v>551</v>
      </c>
      <c r="F895" s="1" t="s">
        <v>801</v>
      </c>
      <c r="G895" s="1" t="s">
        <v>805</v>
      </c>
      <c r="H895" s="1" t="s">
        <v>811</v>
      </c>
      <c r="I895" s="1" t="s">
        <v>813</v>
      </c>
      <c r="J895" s="1" t="s">
        <v>818</v>
      </c>
      <c r="K895" s="1" t="s">
        <v>820</v>
      </c>
      <c r="L895" s="1" t="s">
        <v>829</v>
      </c>
      <c r="M895" s="1">
        <v>4</v>
      </c>
      <c r="N895" s="1">
        <v>1762.4</v>
      </c>
      <c r="O895" s="1">
        <v>7169.27</v>
      </c>
      <c r="P895" s="1">
        <v>0.16</v>
      </c>
      <c r="Q895" s="1">
        <v>6574.52</v>
      </c>
      <c r="R895" s="1">
        <v>4830.7700000000004</v>
      </c>
      <c r="S895" s="1">
        <f t="shared" si="27"/>
        <v>1743.75</v>
      </c>
      <c r="T895" s="1" t="s">
        <v>876</v>
      </c>
      <c r="U895" s="1" t="s">
        <v>880</v>
      </c>
      <c r="V895" s="5" t="s">
        <v>884</v>
      </c>
    </row>
    <row r="896" spans="1:22" x14ac:dyDescent="0.3">
      <c r="A896" s="4" t="s">
        <v>221</v>
      </c>
      <c r="B896" s="3">
        <v>45584</v>
      </c>
      <c r="C896" s="1" t="str">
        <f t="shared" si="26"/>
        <v>October</v>
      </c>
      <c r="D896" s="1" t="s">
        <v>471</v>
      </c>
      <c r="E896" s="1" t="s">
        <v>704</v>
      </c>
      <c r="F896" s="1" t="s">
        <v>802</v>
      </c>
      <c r="G896" s="1" t="s">
        <v>804</v>
      </c>
      <c r="H896" s="1" t="s">
        <v>808</v>
      </c>
      <c r="I896" s="1" t="s">
        <v>813</v>
      </c>
      <c r="J896" s="1" t="s">
        <v>819</v>
      </c>
      <c r="K896" s="1" t="s">
        <v>821</v>
      </c>
      <c r="L896" s="1" t="s">
        <v>836</v>
      </c>
      <c r="M896" s="1">
        <v>11.92</v>
      </c>
      <c r="N896" s="1">
        <v>3385.45</v>
      </c>
      <c r="O896" s="1">
        <v>35892.36</v>
      </c>
      <c r="P896" s="1">
        <v>0.1</v>
      </c>
      <c r="Q896" s="1">
        <v>36619.300000000003</v>
      </c>
      <c r="R896" s="1">
        <v>20180.939999999999</v>
      </c>
      <c r="S896" s="1">
        <f t="shared" si="27"/>
        <v>16438.360000000004</v>
      </c>
      <c r="T896" s="1" t="s">
        <v>873</v>
      </c>
      <c r="U896" s="1" t="s">
        <v>879</v>
      </c>
      <c r="V896" s="5" t="s">
        <v>883</v>
      </c>
    </row>
    <row r="897" spans="1:22" x14ac:dyDescent="0.3">
      <c r="A897" s="4" t="s">
        <v>318</v>
      </c>
      <c r="B897" s="3">
        <v>45620</v>
      </c>
      <c r="C897" s="1" t="str">
        <f t="shared" si="26"/>
        <v>November</v>
      </c>
      <c r="D897" s="1" t="s">
        <v>505</v>
      </c>
      <c r="E897" s="1" t="s">
        <v>800</v>
      </c>
      <c r="F897" s="1" t="s">
        <v>801</v>
      </c>
      <c r="G897" s="1" t="s">
        <v>806</v>
      </c>
      <c r="H897" s="1" t="s">
        <v>812</v>
      </c>
      <c r="I897" s="1" t="s">
        <v>809</v>
      </c>
      <c r="J897" s="1" t="s">
        <v>819</v>
      </c>
      <c r="K897" s="1" t="s">
        <v>822</v>
      </c>
      <c r="L897" s="1" t="s">
        <v>826</v>
      </c>
      <c r="M897" s="1">
        <v>4.8099999999999996</v>
      </c>
      <c r="N897" s="1">
        <v>3020.92</v>
      </c>
      <c r="O897" s="1">
        <v>13390.21</v>
      </c>
      <c r="P897" s="1">
        <v>0</v>
      </c>
      <c r="Q897" s="1">
        <v>15293.07</v>
      </c>
      <c r="R897" s="1">
        <v>9564.4</v>
      </c>
      <c r="S897" s="1">
        <f t="shared" si="27"/>
        <v>5728.67</v>
      </c>
      <c r="T897" s="1" t="s">
        <v>876</v>
      </c>
      <c r="U897" s="1" t="s">
        <v>877</v>
      </c>
      <c r="V897" s="5" t="s">
        <v>884</v>
      </c>
    </row>
    <row r="898" spans="1:22" x14ac:dyDescent="0.3">
      <c r="A898" s="4" t="s">
        <v>217</v>
      </c>
      <c r="B898" s="3">
        <v>45588</v>
      </c>
      <c r="C898" s="1" t="str">
        <f t="shared" ref="C898:C961" si="28">TEXT(B898,"MMMM")</f>
        <v>October</v>
      </c>
      <c r="D898" s="1" t="s">
        <v>425</v>
      </c>
      <c r="E898" s="1" t="s">
        <v>700</v>
      </c>
      <c r="F898" s="1" t="s">
        <v>802</v>
      </c>
      <c r="G898" s="1" t="s">
        <v>806</v>
      </c>
      <c r="H898" s="1" t="s">
        <v>810</v>
      </c>
      <c r="I898" s="1" t="s">
        <v>815</v>
      </c>
      <c r="J898" s="1" t="s">
        <v>819</v>
      </c>
      <c r="K898" s="1" t="s">
        <v>822</v>
      </c>
      <c r="L898" s="1" t="s">
        <v>863</v>
      </c>
      <c r="M898" s="1">
        <v>5.47</v>
      </c>
      <c r="N898" s="1">
        <v>1212.8599999999999</v>
      </c>
      <c r="O898" s="1">
        <v>6736.27</v>
      </c>
      <c r="P898" s="1">
        <v>0.05</v>
      </c>
      <c r="Q898" s="1">
        <v>6643.9</v>
      </c>
      <c r="R898" s="1">
        <v>4515.6099999999997</v>
      </c>
      <c r="S898" s="1">
        <f t="shared" ref="S898:S961" si="29">Q898-R898</f>
        <v>2128.29</v>
      </c>
      <c r="T898" s="1" t="s">
        <v>874</v>
      </c>
      <c r="U898" s="1" t="s">
        <v>879</v>
      </c>
      <c r="V898" s="5" t="s">
        <v>883</v>
      </c>
    </row>
    <row r="899" spans="1:22" x14ac:dyDescent="0.3">
      <c r="A899" s="4" t="s">
        <v>29</v>
      </c>
      <c r="B899" s="3">
        <v>45369</v>
      </c>
      <c r="C899" s="1" t="str">
        <f t="shared" si="28"/>
        <v>March</v>
      </c>
      <c r="D899" s="1" t="s">
        <v>400</v>
      </c>
      <c r="E899" s="1" t="s">
        <v>514</v>
      </c>
      <c r="F899" s="1" t="s">
        <v>801</v>
      </c>
      <c r="G899" s="1" t="s">
        <v>807</v>
      </c>
      <c r="H899" s="1" t="s">
        <v>809</v>
      </c>
      <c r="I899" s="1" t="s">
        <v>813</v>
      </c>
      <c r="J899" s="1" t="s">
        <v>819</v>
      </c>
      <c r="K899" s="1" t="s">
        <v>821</v>
      </c>
      <c r="L899" s="1" t="s">
        <v>831</v>
      </c>
      <c r="M899" s="1">
        <v>9.2799999999999994</v>
      </c>
      <c r="N899" s="1">
        <v>1147.82</v>
      </c>
      <c r="O899" s="1">
        <v>12296.17</v>
      </c>
      <c r="P899" s="1">
        <v>0.17</v>
      </c>
      <c r="Q899" s="1">
        <v>9265.83</v>
      </c>
      <c r="R899" s="1">
        <v>8528.99</v>
      </c>
      <c r="S899" s="1">
        <f t="shared" si="29"/>
        <v>736.84000000000015</v>
      </c>
      <c r="T899" s="1" t="s">
        <v>874</v>
      </c>
      <c r="U899" s="1" t="s">
        <v>880</v>
      </c>
      <c r="V899" s="5" t="s">
        <v>883</v>
      </c>
    </row>
    <row r="900" spans="1:22" x14ac:dyDescent="0.3">
      <c r="A900" s="4" t="s">
        <v>218</v>
      </c>
      <c r="B900" s="3">
        <v>45585</v>
      </c>
      <c r="C900" s="1" t="str">
        <f t="shared" si="28"/>
        <v>October</v>
      </c>
      <c r="D900" s="1" t="s">
        <v>364</v>
      </c>
      <c r="E900" s="1" t="s">
        <v>701</v>
      </c>
      <c r="F900" s="1" t="s">
        <v>803</v>
      </c>
      <c r="G900" s="1" t="s">
        <v>805</v>
      </c>
      <c r="H900" s="1" t="s">
        <v>808</v>
      </c>
      <c r="I900" s="1" t="s">
        <v>809</v>
      </c>
      <c r="J900" s="1" t="s">
        <v>819</v>
      </c>
      <c r="K900" s="1" t="s">
        <v>822</v>
      </c>
      <c r="L900" s="1" t="s">
        <v>829</v>
      </c>
      <c r="M900" s="1">
        <v>9.36</v>
      </c>
      <c r="N900" s="1">
        <v>3081.86</v>
      </c>
      <c r="O900" s="1">
        <v>35887.879999999997</v>
      </c>
      <c r="P900" s="1">
        <v>0</v>
      </c>
      <c r="Q900" s="1">
        <v>30200.76</v>
      </c>
      <c r="R900" s="1">
        <v>26932.2</v>
      </c>
      <c r="S900" s="1">
        <f t="shared" si="29"/>
        <v>3268.5599999999977</v>
      </c>
      <c r="T900" s="1" t="s">
        <v>875</v>
      </c>
      <c r="U900" s="1" t="s">
        <v>877</v>
      </c>
      <c r="V900" s="5" t="s">
        <v>884</v>
      </c>
    </row>
    <row r="901" spans="1:22" x14ac:dyDescent="0.3">
      <c r="A901" s="4" t="s">
        <v>255</v>
      </c>
      <c r="B901" s="3">
        <v>45564</v>
      </c>
      <c r="C901" s="1" t="str">
        <f t="shared" si="28"/>
        <v>September</v>
      </c>
      <c r="D901" s="1" t="s">
        <v>472</v>
      </c>
      <c r="E901" s="1" t="s">
        <v>738</v>
      </c>
      <c r="F901" s="1" t="s">
        <v>801</v>
      </c>
      <c r="G901" s="1" t="s">
        <v>807</v>
      </c>
      <c r="H901" s="1" t="s">
        <v>810</v>
      </c>
      <c r="I901" s="1" t="s">
        <v>813</v>
      </c>
      <c r="J901" s="1" t="s">
        <v>818</v>
      </c>
      <c r="K901" s="1" t="s">
        <v>821</v>
      </c>
      <c r="L901" s="1" t="s">
        <v>861</v>
      </c>
      <c r="M901" s="1">
        <v>7.74</v>
      </c>
      <c r="N901" s="1">
        <v>3689.42</v>
      </c>
      <c r="O901" s="1">
        <v>20643.55</v>
      </c>
      <c r="P901" s="1">
        <v>0.09</v>
      </c>
      <c r="Q901" s="1">
        <v>21302.33</v>
      </c>
      <c r="R901" s="1">
        <v>10683.6</v>
      </c>
      <c r="S901" s="1">
        <f t="shared" si="29"/>
        <v>10618.730000000001</v>
      </c>
      <c r="T901" s="1" t="s">
        <v>873</v>
      </c>
      <c r="U901" s="1" t="s">
        <v>878</v>
      </c>
      <c r="V901" s="5" t="s">
        <v>882</v>
      </c>
    </row>
    <row r="902" spans="1:22" x14ac:dyDescent="0.3">
      <c r="A902" s="4" t="s">
        <v>198</v>
      </c>
      <c r="B902" s="3">
        <v>45499</v>
      </c>
      <c r="C902" s="1" t="str">
        <f t="shared" si="28"/>
        <v>July</v>
      </c>
      <c r="D902" s="1" t="s">
        <v>480</v>
      </c>
      <c r="E902" s="1" t="s">
        <v>682</v>
      </c>
      <c r="F902" s="1" t="s">
        <v>803</v>
      </c>
      <c r="G902" s="1" t="s">
        <v>804</v>
      </c>
      <c r="H902" s="1" t="s">
        <v>809</v>
      </c>
      <c r="I902" s="1" t="s">
        <v>815</v>
      </c>
      <c r="J902" s="1" t="s">
        <v>819</v>
      </c>
      <c r="K902" s="1" t="s">
        <v>820</v>
      </c>
      <c r="L902" s="1" t="s">
        <v>866</v>
      </c>
      <c r="M902" s="1">
        <v>3.86</v>
      </c>
      <c r="N902" s="1">
        <v>767.15</v>
      </c>
      <c r="O902" s="1">
        <v>2885.44</v>
      </c>
      <c r="P902" s="1">
        <v>0.08</v>
      </c>
      <c r="Q902" s="1">
        <v>2945.28</v>
      </c>
      <c r="R902" s="1">
        <v>1888.93</v>
      </c>
      <c r="S902" s="1">
        <f t="shared" si="29"/>
        <v>1056.3500000000001</v>
      </c>
      <c r="T902" s="1" t="s">
        <v>874</v>
      </c>
      <c r="U902" s="1" t="s">
        <v>878</v>
      </c>
      <c r="V902" s="5" t="s">
        <v>882</v>
      </c>
    </row>
    <row r="903" spans="1:22" x14ac:dyDescent="0.3">
      <c r="A903" s="4" t="s">
        <v>104</v>
      </c>
      <c r="B903" s="3">
        <v>45588</v>
      </c>
      <c r="C903" s="1" t="str">
        <f t="shared" si="28"/>
        <v>October</v>
      </c>
      <c r="D903" s="1" t="s">
        <v>425</v>
      </c>
      <c r="E903" s="1" t="s">
        <v>589</v>
      </c>
      <c r="F903" s="1" t="s">
        <v>803</v>
      </c>
      <c r="G903" s="1" t="s">
        <v>804</v>
      </c>
      <c r="H903" s="1" t="s">
        <v>808</v>
      </c>
      <c r="I903" s="1" t="s">
        <v>809</v>
      </c>
      <c r="J903" s="1" t="s">
        <v>819</v>
      </c>
      <c r="K903" s="1" t="s">
        <v>820</v>
      </c>
      <c r="L903" s="1" t="s">
        <v>829</v>
      </c>
      <c r="M903" s="1">
        <v>9.58</v>
      </c>
      <c r="N903" s="1">
        <v>3425.45</v>
      </c>
      <c r="O903" s="1">
        <v>34823.040000000001</v>
      </c>
      <c r="P903" s="1">
        <v>0.15</v>
      </c>
      <c r="Q903" s="1">
        <v>28231.200000000001</v>
      </c>
      <c r="R903" s="1">
        <v>16896.75</v>
      </c>
      <c r="S903" s="1">
        <f t="shared" si="29"/>
        <v>11334.45</v>
      </c>
      <c r="T903" s="1" t="s">
        <v>875</v>
      </c>
      <c r="U903" s="1" t="s">
        <v>877</v>
      </c>
      <c r="V903" s="5" t="s">
        <v>882</v>
      </c>
    </row>
    <row r="904" spans="1:22" x14ac:dyDescent="0.3">
      <c r="A904" s="4" t="s">
        <v>205</v>
      </c>
      <c r="B904" s="3">
        <v>45516</v>
      </c>
      <c r="C904" s="1" t="str">
        <f t="shared" si="28"/>
        <v>August</v>
      </c>
      <c r="D904" s="1" t="s">
        <v>482</v>
      </c>
      <c r="E904" s="1" t="s">
        <v>689</v>
      </c>
      <c r="F904" s="1" t="s">
        <v>801</v>
      </c>
      <c r="G904" s="1" t="s">
        <v>807</v>
      </c>
      <c r="H904" s="1" t="s">
        <v>809</v>
      </c>
      <c r="I904" s="1" t="s">
        <v>816</v>
      </c>
      <c r="J904" s="1" t="s">
        <v>818</v>
      </c>
      <c r="K904" s="1" t="s">
        <v>821</v>
      </c>
      <c r="L904" s="1" t="s">
        <v>836</v>
      </c>
      <c r="M904" s="1">
        <v>10.66</v>
      </c>
      <c r="N904" s="1">
        <v>2888.7</v>
      </c>
      <c r="O904" s="1">
        <v>36327.81</v>
      </c>
      <c r="P904" s="1">
        <v>0.05</v>
      </c>
      <c r="Q904" s="1">
        <v>36411.129999999997</v>
      </c>
      <c r="R904" s="1">
        <v>28949.63</v>
      </c>
      <c r="S904" s="1">
        <f t="shared" si="29"/>
        <v>7461.4999999999964</v>
      </c>
      <c r="T904" s="1" t="s">
        <v>875</v>
      </c>
      <c r="U904" s="1" t="s">
        <v>878</v>
      </c>
      <c r="V904" s="5" t="s">
        <v>882</v>
      </c>
    </row>
    <row r="905" spans="1:22" x14ac:dyDescent="0.3">
      <c r="A905" s="4" t="s">
        <v>164</v>
      </c>
      <c r="B905" s="3">
        <v>45585</v>
      </c>
      <c r="C905" s="1" t="str">
        <f t="shared" si="28"/>
        <v>October</v>
      </c>
      <c r="D905" s="1" t="s">
        <v>471</v>
      </c>
      <c r="E905" s="1" t="s">
        <v>649</v>
      </c>
      <c r="F905" s="1" t="s">
        <v>802</v>
      </c>
      <c r="G905" s="1" t="s">
        <v>805</v>
      </c>
      <c r="H905" s="1" t="s">
        <v>808</v>
      </c>
      <c r="I905" s="1" t="s">
        <v>814</v>
      </c>
      <c r="J905" s="1" t="s">
        <v>818</v>
      </c>
      <c r="K905" s="1" t="s">
        <v>820</v>
      </c>
      <c r="L905" s="1" t="s">
        <v>832</v>
      </c>
      <c r="M905" s="1">
        <v>12.7</v>
      </c>
      <c r="N905" s="1">
        <v>1346.03</v>
      </c>
      <c r="O905" s="1">
        <v>18190.05</v>
      </c>
      <c r="P905" s="1">
        <v>0</v>
      </c>
      <c r="Q905" s="1">
        <v>19404.3</v>
      </c>
      <c r="R905" s="1">
        <v>14781.38</v>
      </c>
      <c r="S905" s="1">
        <f t="shared" si="29"/>
        <v>4622.92</v>
      </c>
      <c r="T905" s="1" t="s">
        <v>876</v>
      </c>
      <c r="U905" s="1" t="s">
        <v>879</v>
      </c>
      <c r="V905" s="5" t="s">
        <v>884</v>
      </c>
    </row>
    <row r="906" spans="1:22" x14ac:dyDescent="0.3">
      <c r="A906" s="4" t="s">
        <v>203</v>
      </c>
      <c r="B906" s="3">
        <v>45545</v>
      </c>
      <c r="C906" s="1" t="str">
        <f t="shared" si="28"/>
        <v>September</v>
      </c>
      <c r="D906" s="1" t="s">
        <v>475</v>
      </c>
      <c r="E906" s="1" t="s">
        <v>687</v>
      </c>
      <c r="F906" s="1" t="s">
        <v>803</v>
      </c>
      <c r="G906" s="1" t="s">
        <v>806</v>
      </c>
      <c r="H906" s="1" t="s">
        <v>810</v>
      </c>
      <c r="I906" s="1" t="s">
        <v>813</v>
      </c>
      <c r="J906" s="1" t="s">
        <v>819</v>
      </c>
      <c r="K906" s="1" t="s">
        <v>821</v>
      </c>
      <c r="L906" s="1" t="s">
        <v>832</v>
      </c>
      <c r="M906" s="1">
        <v>8.5399999999999991</v>
      </c>
      <c r="N906" s="1">
        <v>2521.14</v>
      </c>
      <c r="O906" s="1">
        <v>19853.23</v>
      </c>
      <c r="P906" s="1">
        <v>0.09</v>
      </c>
      <c r="Q906" s="1">
        <v>21091.26</v>
      </c>
      <c r="R906" s="1">
        <v>14219.37</v>
      </c>
      <c r="S906" s="1">
        <f t="shared" si="29"/>
        <v>6871.8899999999976</v>
      </c>
      <c r="T906" s="1" t="s">
        <v>876</v>
      </c>
      <c r="U906" s="1" t="s">
        <v>877</v>
      </c>
      <c r="V906" s="5" t="s">
        <v>884</v>
      </c>
    </row>
    <row r="907" spans="1:22" x14ac:dyDescent="0.3">
      <c r="A907" s="4" t="s">
        <v>44</v>
      </c>
      <c r="B907" s="3">
        <v>45375</v>
      </c>
      <c r="C907" s="1" t="str">
        <f t="shared" si="28"/>
        <v>March</v>
      </c>
      <c r="D907" s="1" t="s">
        <v>431</v>
      </c>
      <c r="E907" s="1" t="s">
        <v>529</v>
      </c>
      <c r="F907" s="1" t="s">
        <v>801</v>
      </c>
      <c r="G907" s="1" t="s">
        <v>805</v>
      </c>
      <c r="H907" s="1" t="s">
        <v>810</v>
      </c>
      <c r="I907" s="1" t="s">
        <v>815</v>
      </c>
      <c r="J907" s="1" t="s">
        <v>819</v>
      </c>
      <c r="K907" s="1" t="s">
        <v>820</v>
      </c>
      <c r="L907" s="1" t="s">
        <v>843</v>
      </c>
      <c r="M907" s="1">
        <v>4.0599999999999996</v>
      </c>
      <c r="N907" s="1">
        <v>912.99</v>
      </c>
      <c r="O907" s="1">
        <v>3445.41</v>
      </c>
      <c r="P907" s="1">
        <v>0.15</v>
      </c>
      <c r="Q907" s="1">
        <v>2622.87</v>
      </c>
      <c r="R907" s="1">
        <v>2296.52</v>
      </c>
      <c r="S907" s="1">
        <f t="shared" si="29"/>
        <v>326.34999999999991</v>
      </c>
      <c r="T907" s="1" t="s">
        <v>874</v>
      </c>
      <c r="U907" s="1" t="s">
        <v>877</v>
      </c>
      <c r="V907" s="5" t="s">
        <v>884</v>
      </c>
    </row>
    <row r="908" spans="1:22" x14ac:dyDescent="0.3">
      <c r="A908" s="4" t="s">
        <v>222</v>
      </c>
      <c r="B908" s="3">
        <v>45511</v>
      </c>
      <c r="C908" s="1" t="str">
        <f t="shared" si="28"/>
        <v>August</v>
      </c>
      <c r="D908" s="1" t="s">
        <v>482</v>
      </c>
      <c r="E908" s="1" t="s">
        <v>705</v>
      </c>
      <c r="F908" s="1" t="s">
        <v>801</v>
      </c>
      <c r="G908" s="1" t="s">
        <v>804</v>
      </c>
      <c r="H908" s="1" t="s">
        <v>810</v>
      </c>
      <c r="I908" s="1" t="s">
        <v>815</v>
      </c>
      <c r="J908" s="1" t="s">
        <v>817</v>
      </c>
      <c r="K908" s="1" t="s">
        <v>821</v>
      </c>
      <c r="L908" s="1" t="s">
        <v>856</v>
      </c>
      <c r="M908" s="1">
        <v>1.81</v>
      </c>
      <c r="N908" s="1">
        <v>2891.56</v>
      </c>
      <c r="O908" s="1">
        <v>5523.17</v>
      </c>
      <c r="P908" s="1">
        <v>0.1</v>
      </c>
      <c r="Q908" s="1">
        <v>5460.63</v>
      </c>
      <c r="R908" s="1">
        <v>4875.01</v>
      </c>
      <c r="S908" s="1">
        <f t="shared" si="29"/>
        <v>585.61999999999989</v>
      </c>
      <c r="T908" s="1" t="s">
        <v>875</v>
      </c>
      <c r="U908" s="1" t="s">
        <v>877</v>
      </c>
      <c r="V908" s="5" t="s">
        <v>884</v>
      </c>
    </row>
    <row r="909" spans="1:22" x14ac:dyDescent="0.3">
      <c r="A909" s="4" t="s">
        <v>182</v>
      </c>
      <c r="B909" s="3">
        <v>45433</v>
      </c>
      <c r="C909" s="1" t="str">
        <f t="shared" si="28"/>
        <v>May</v>
      </c>
      <c r="D909" s="1" t="s">
        <v>477</v>
      </c>
      <c r="E909" s="1" t="s">
        <v>666</v>
      </c>
      <c r="F909" s="1" t="s">
        <v>801</v>
      </c>
      <c r="G909" s="1" t="s">
        <v>806</v>
      </c>
      <c r="H909" s="1" t="s">
        <v>811</v>
      </c>
      <c r="I909" s="1" t="s">
        <v>814</v>
      </c>
      <c r="J909" s="1" t="s">
        <v>819</v>
      </c>
      <c r="K909" s="1" t="s">
        <v>820</v>
      </c>
      <c r="L909" s="1" t="s">
        <v>865</v>
      </c>
      <c r="M909" s="1">
        <v>1.03</v>
      </c>
      <c r="N909" s="1">
        <v>1255.98</v>
      </c>
      <c r="O909" s="1">
        <v>1231.47</v>
      </c>
      <c r="P909" s="1">
        <v>0</v>
      </c>
      <c r="Q909" s="1">
        <v>1185.23</v>
      </c>
      <c r="R909" s="1">
        <v>917.7</v>
      </c>
      <c r="S909" s="1">
        <f t="shared" si="29"/>
        <v>267.52999999999997</v>
      </c>
      <c r="T909" s="1" t="s">
        <v>875</v>
      </c>
      <c r="U909" s="1" t="s">
        <v>878</v>
      </c>
      <c r="V909" s="5" t="s">
        <v>883</v>
      </c>
    </row>
    <row r="910" spans="1:22" x14ac:dyDescent="0.3">
      <c r="A910" s="4" t="s">
        <v>41</v>
      </c>
      <c r="B910" s="3">
        <v>45419</v>
      </c>
      <c r="C910" s="1" t="str">
        <f t="shared" si="28"/>
        <v>May</v>
      </c>
      <c r="D910" s="1" t="s">
        <v>326</v>
      </c>
      <c r="E910" s="1" t="s">
        <v>526</v>
      </c>
      <c r="F910" s="1" t="s">
        <v>803</v>
      </c>
      <c r="G910" s="1" t="s">
        <v>805</v>
      </c>
      <c r="H910" s="1" t="s">
        <v>812</v>
      </c>
      <c r="I910" s="1" t="s">
        <v>814</v>
      </c>
      <c r="J910" s="1" t="s">
        <v>818</v>
      </c>
      <c r="K910" s="1" t="s">
        <v>821</v>
      </c>
      <c r="L910" s="1" t="s">
        <v>842</v>
      </c>
      <c r="M910" s="1">
        <v>4.1900000000000004</v>
      </c>
      <c r="N910" s="1">
        <v>561.07000000000005</v>
      </c>
      <c r="O910" s="1">
        <v>2948.24</v>
      </c>
      <c r="P910" s="1">
        <v>0</v>
      </c>
      <c r="Q910" s="1">
        <v>3018.71</v>
      </c>
      <c r="R910" s="1">
        <v>1771.03</v>
      </c>
      <c r="S910" s="1">
        <f t="shared" si="29"/>
        <v>1247.68</v>
      </c>
      <c r="T910" s="1" t="s">
        <v>875</v>
      </c>
      <c r="U910" s="1" t="s">
        <v>879</v>
      </c>
      <c r="V910" s="5" t="s">
        <v>884</v>
      </c>
    </row>
    <row r="911" spans="1:22" x14ac:dyDescent="0.3">
      <c r="A911" s="4" t="s">
        <v>267</v>
      </c>
      <c r="B911" s="3">
        <v>45379</v>
      </c>
      <c r="C911" s="1" t="str">
        <f t="shared" si="28"/>
        <v>March</v>
      </c>
      <c r="D911" s="1" t="s">
        <v>431</v>
      </c>
      <c r="E911" s="1" t="s">
        <v>750</v>
      </c>
      <c r="F911" s="1" t="s">
        <v>803</v>
      </c>
      <c r="G911" s="1" t="s">
        <v>807</v>
      </c>
      <c r="H911" s="1" t="s">
        <v>808</v>
      </c>
      <c r="I911" s="1" t="s">
        <v>809</v>
      </c>
      <c r="J911" s="1" t="s">
        <v>817</v>
      </c>
      <c r="K911" s="1" t="s">
        <v>821</v>
      </c>
      <c r="L911" s="1" t="s">
        <v>870</v>
      </c>
      <c r="M911" s="1">
        <v>4.8899999999999997</v>
      </c>
      <c r="N911" s="1">
        <v>3209.12</v>
      </c>
      <c r="O911" s="1">
        <v>18839.66</v>
      </c>
      <c r="P911" s="1">
        <v>0.16</v>
      </c>
      <c r="Q911" s="1">
        <v>14143.6</v>
      </c>
      <c r="R911" s="1">
        <v>9861.76</v>
      </c>
      <c r="S911" s="1">
        <f t="shared" si="29"/>
        <v>4281.84</v>
      </c>
      <c r="T911" s="1" t="s">
        <v>875</v>
      </c>
      <c r="U911" s="1" t="s">
        <v>880</v>
      </c>
      <c r="V911" s="5" t="s">
        <v>882</v>
      </c>
    </row>
    <row r="912" spans="1:22" x14ac:dyDescent="0.3">
      <c r="A912" s="4" t="s">
        <v>296</v>
      </c>
      <c r="B912" s="3">
        <v>45381</v>
      </c>
      <c r="C912" s="1" t="str">
        <f t="shared" si="28"/>
        <v>March</v>
      </c>
      <c r="D912" s="1" t="s">
        <v>502</v>
      </c>
      <c r="E912" s="1" t="s">
        <v>778</v>
      </c>
      <c r="F912" s="1" t="s">
        <v>803</v>
      </c>
      <c r="G912" s="1" t="s">
        <v>807</v>
      </c>
      <c r="H912" s="1" t="s">
        <v>809</v>
      </c>
      <c r="I912" s="1" t="s">
        <v>813</v>
      </c>
      <c r="J912" s="1" t="s">
        <v>819</v>
      </c>
      <c r="K912" s="1" t="s">
        <v>822</v>
      </c>
      <c r="L912" s="1" t="s">
        <v>826</v>
      </c>
      <c r="M912" s="1">
        <v>5.44</v>
      </c>
      <c r="N912" s="1">
        <v>1549.32</v>
      </c>
      <c r="O912" s="1">
        <v>10248.61</v>
      </c>
      <c r="P912" s="1">
        <v>0</v>
      </c>
      <c r="Q912" s="1">
        <v>10841.35</v>
      </c>
      <c r="R912" s="1">
        <v>7981.44</v>
      </c>
      <c r="S912" s="1">
        <f t="shared" si="29"/>
        <v>2859.9100000000008</v>
      </c>
      <c r="T912" s="1" t="s">
        <v>876</v>
      </c>
      <c r="U912" s="1" t="s">
        <v>879</v>
      </c>
      <c r="V912" s="5" t="s">
        <v>884</v>
      </c>
    </row>
    <row r="913" spans="1:22" x14ac:dyDescent="0.3">
      <c r="A913" s="4" t="s">
        <v>293</v>
      </c>
      <c r="B913" s="3">
        <v>45460</v>
      </c>
      <c r="C913" s="1" t="str">
        <f t="shared" si="28"/>
        <v>June</v>
      </c>
      <c r="D913" s="1" t="s">
        <v>407</v>
      </c>
      <c r="E913" s="1" t="s">
        <v>775</v>
      </c>
      <c r="F913" s="1" t="s">
        <v>801</v>
      </c>
      <c r="G913" s="1" t="s">
        <v>805</v>
      </c>
      <c r="H913" s="1" t="s">
        <v>810</v>
      </c>
      <c r="I913" s="1" t="s">
        <v>815</v>
      </c>
      <c r="J913" s="1" t="s">
        <v>818</v>
      </c>
      <c r="K913" s="1" t="s">
        <v>820</v>
      </c>
      <c r="L913" s="1" t="s">
        <v>866</v>
      </c>
      <c r="M913" s="1">
        <v>5.21</v>
      </c>
      <c r="N913" s="1">
        <v>635.69000000000005</v>
      </c>
      <c r="O913" s="1">
        <v>3166.62</v>
      </c>
      <c r="P913" s="1">
        <v>0.14000000000000001</v>
      </c>
      <c r="Q913" s="1">
        <v>2388.41</v>
      </c>
      <c r="R913" s="1">
        <v>1926.26</v>
      </c>
      <c r="S913" s="1">
        <f t="shared" si="29"/>
        <v>462.14999999999986</v>
      </c>
      <c r="T913" s="1" t="s">
        <v>873</v>
      </c>
      <c r="U913" s="1" t="s">
        <v>880</v>
      </c>
      <c r="V913" s="5" t="s">
        <v>884</v>
      </c>
    </row>
    <row r="914" spans="1:22" x14ac:dyDescent="0.3">
      <c r="A914" s="4" t="s">
        <v>220</v>
      </c>
      <c r="B914" s="3">
        <v>45369</v>
      </c>
      <c r="C914" s="1" t="str">
        <f t="shared" si="28"/>
        <v>March</v>
      </c>
      <c r="D914" s="1" t="s">
        <v>400</v>
      </c>
      <c r="E914" s="1" t="s">
        <v>703</v>
      </c>
      <c r="F914" s="1" t="s">
        <v>802</v>
      </c>
      <c r="G914" s="1" t="s">
        <v>807</v>
      </c>
      <c r="H914" s="1" t="s">
        <v>810</v>
      </c>
      <c r="I914" s="1" t="s">
        <v>814</v>
      </c>
      <c r="J914" s="1" t="s">
        <v>817</v>
      </c>
      <c r="K914" s="1" t="s">
        <v>820</v>
      </c>
      <c r="L914" s="1" t="s">
        <v>852</v>
      </c>
      <c r="M914" s="1">
        <v>4</v>
      </c>
      <c r="N914" s="1">
        <v>413.92</v>
      </c>
      <c r="O914" s="1">
        <v>1873.17</v>
      </c>
      <c r="P914" s="1">
        <v>0.16</v>
      </c>
      <c r="Q914" s="1">
        <v>1486.5</v>
      </c>
      <c r="R914" s="1">
        <v>874.05</v>
      </c>
      <c r="S914" s="1">
        <f t="shared" si="29"/>
        <v>612.45000000000005</v>
      </c>
      <c r="T914" s="1" t="s">
        <v>874</v>
      </c>
      <c r="U914" s="1" t="s">
        <v>879</v>
      </c>
      <c r="V914" s="5" t="s">
        <v>883</v>
      </c>
    </row>
    <row r="915" spans="1:22" x14ac:dyDescent="0.3">
      <c r="A915" s="4" t="s">
        <v>113</v>
      </c>
      <c r="B915" s="3">
        <v>45470</v>
      </c>
      <c r="C915" s="1" t="str">
        <f t="shared" si="28"/>
        <v>June</v>
      </c>
      <c r="D915" s="1" t="s">
        <v>403</v>
      </c>
      <c r="E915" s="1" t="s">
        <v>598</v>
      </c>
      <c r="F915" s="1" t="s">
        <v>802</v>
      </c>
      <c r="G915" s="1" t="s">
        <v>807</v>
      </c>
      <c r="H915" s="1" t="s">
        <v>808</v>
      </c>
      <c r="I915" s="1" t="s">
        <v>813</v>
      </c>
      <c r="J915" s="1" t="s">
        <v>819</v>
      </c>
      <c r="K915" s="1" t="s">
        <v>820</v>
      </c>
      <c r="L915" s="1" t="s">
        <v>845</v>
      </c>
      <c r="M915" s="1">
        <v>2</v>
      </c>
      <c r="N915" s="1">
        <v>1868.1</v>
      </c>
      <c r="O915" s="1">
        <v>4008.08</v>
      </c>
      <c r="P915" s="1">
        <v>0.05</v>
      </c>
      <c r="Q915" s="1">
        <v>4180.46</v>
      </c>
      <c r="R915" s="1">
        <v>3211.29</v>
      </c>
      <c r="S915" s="1">
        <f t="shared" si="29"/>
        <v>969.17000000000007</v>
      </c>
      <c r="T915" s="1" t="s">
        <v>875</v>
      </c>
      <c r="U915" s="1" t="s">
        <v>878</v>
      </c>
      <c r="V915" s="5" t="s">
        <v>882</v>
      </c>
    </row>
    <row r="916" spans="1:22" x14ac:dyDescent="0.3">
      <c r="A916" s="4" t="s">
        <v>292</v>
      </c>
      <c r="B916" s="3">
        <v>45550</v>
      </c>
      <c r="C916" s="1" t="str">
        <f t="shared" si="28"/>
        <v>September</v>
      </c>
      <c r="D916" s="1" t="s">
        <v>398</v>
      </c>
      <c r="E916" s="1" t="s">
        <v>774</v>
      </c>
      <c r="F916" s="1" t="s">
        <v>801</v>
      </c>
      <c r="G916" s="1" t="s">
        <v>805</v>
      </c>
      <c r="H916" s="1" t="s">
        <v>808</v>
      </c>
      <c r="I916" s="1" t="s">
        <v>814</v>
      </c>
      <c r="J916" s="1" t="s">
        <v>819</v>
      </c>
      <c r="K916" s="1" t="s">
        <v>820</v>
      </c>
      <c r="L916" s="1" t="s">
        <v>864</v>
      </c>
      <c r="M916" s="1">
        <v>6.9</v>
      </c>
      <c r="N916" s="1">
        <v>1698.33</v>
      </c>
      <c r="O916" s="1">
        <v>10755.06</v>
      </c>
      <c r="P916" s="1">
        <v>0.1</v>
      </c>
      <c r="Q916" s="1">
        <v>9143.85</v>
      </c>
      <c r="R916" s="1">
        <v>7668.8</v>
      </c>
      <c r="S916" s="1">
        <f t="shared" si="29"/>
        <v>1475.0500000000002</v>
      </c>
      <c r="T916" s="1" t="s">
        <v>876</v>
      </c>
      <c r="U916" s="1" t="s">
        <v>879</v>
      </c>
      <c r="V916" s="5" t="s">
        <v>883</v>
      </c>
    </row>
    <row r="917" spans="1:22" x14ac:dyDescent="0.3">
      <c r="A917" s="4" t="s">
        <v>267</v>
      </c>
      <c r="B917" s="3">
        <v>45379</v>
      </c>
      <c r="C917" s="1" t="str">
        <f t="shared" si="28"/>
        <v>March</v>
      </c>
      <c r="D917" s="1" t="s">
        <v>431</v>
      </c>
      <c r="E917" s="1" t="s">
        <v>750</v>
      </c>
      <c r="F917" s="1" t="s">
        <v>803</v>
      </c>
      <c r="G917" s="1" t="s">
        <v>807</v>
      </c>
      <c r="H917" s="1" t="s">
        <v>808</v>
      </c>
      <c r="I917" s="1" t="s">
        <v>809</v>
      </c>
      <c r="J917" s="1" t="s">
        <v>817</v>
      </c>
      <c r="K917" s="1" t="s">
        <v>821</v>
      </c>
      <c r="L917" s="1" t="s">
        <v>870</v>
      </c>
      <c r="M917" s="1">
        <v>5.17</v>
      </c>
      <c r="N917" s="1">
        <v>3512.75</v>
      </c>
      <c r="O917" s="1">
        <v>17483.45</v>
      </c>
      <c r="P917" s="1">
        <v>0.16</v>
      </c>
      <c r="Q917" s="1">
        <v>13432.21</v>
      </c>
      <c r="R917" s="1">
        <v>9729.4699999999993</v>
      </c>
      <c r="S917" s="1">
        <f t="shared" si="29"/>
        <v>3702.74</v>
      </c>
      <c r="T917" s="1" t="s">
        <v>875</v>
      </c>
      <c r="U917" s="1" t="s">
        <v>880</v>
      </c>
      <c r="V917" s="5" t="s">
        <v>882</v>
      </c>
    </row>
    <row r="918" spans="1:22" x14ac:dyDescent="0.3">
      <c r="A918" s="4" t="s">
        <v>148</v>
      </c>
      <c r="B918" s="3">
        <v>45453</v>
      </c>
      <c r="C918" s="1" t="str">
        <f t="shared" si="28"/>
        <v>June</v>
      </c>
      <c r="D918" s="1" t="s">
        <v>395</v>
      </c>
      <c r="E918" s="1" t="s">
        <v>633</v>
      </c>
      <c r="F918" s="1" t="s">
        <v>802</v>
      </c>
      <c r="G918" s="1" t="s">
        <v>805</v>
      </c>
      <c r="H918" s="1" t="s">
        <v>808</v>
      </c>
      <c r="I918" s="1" t="s">
        <v>814</v>
      </c>
      <c r="J918" s="1" t="s">
        <v>817</v>
      </c>
      <c r="K918" s="1" t="s">
        <v>822</v>
      </c>
      <c r="L918" s="1" t="s">
        <v>857</v>
      </c>
      <c r="M918" s="1">
        <v>0.97</v>
      </c>
      <c r="N918" s="1">
        <v>1578.08</v>
      </c>
      <c r="O918" s="1">
        <v>1458.42</v>
      </c>
      <c r="P918" s="1">
        <v>0</v>
      </c>
      <c r="Q918" s="1">
        <v>1418.61</v>
      </c>
      <c r="R918" s="1">
        <v>824.66</v>
      </c>
      <c r="S918" s="1">
        <f t="shared" si="29"/>
        <v>593.94999999999993</v>
      </c>
      <c r="T918" s="1" t="s">
        <v>874</v>
      </c>
      <c r="U918" s="1" t="s">
        <v>878</v>
      </c>
      <c r="V918" s="5" t="s">
        <v>882</v>
      </c>
    </row>
    <row r="919" spans="1:22" x14ac:dyDescent="0.3">
      <c r="A919" s="4" t="s">
        <v>206</v>
      </c>
      <c r="B919" s="3">
        <v>45569</v>
      </c>
      <c r="C919" s="1" t="str">
        <f t="shared" si="28"/>
        <v>October</v>
      </c>
      <c r="D919" s="1" t="s">
        <v>330</v>
      </c>
      <c r="E919" s="1" t="s">
        <v>690</v>
      </c>
      <c r="F919" s="1" t="s">
        <v>803</v>
      </c>
      <c r="G919" s="1" t="s">
        <v>807</v>
      </c>
      <c r="H919" s="1" t="s">
        <v>808</v>
      </c>
      <c r="I919" s="1" t="s">
        <v>815</v>
      </c>
      <c r="J919" s="1" t="s">
        <v>818</v>
      </c>
      <c r="K919" s="1" t="s">
        <v>821</v>
      </c>
      <c r="L919" s="1" t="s">
        <v>858</v>
      </c>
      <c r="M919" s="1">
        <v>8.89</v>
      </c>
      <c r="N919" s="1">
        <v>1795.82</v>
      </c>
      <c r="O919" s="1">
        <v>14812.89</v>
      </c>
      <c r="P919" s="1">
        <v>0.05</v>
      </c>
      <c r="Q919" s="1">
        <v>17404.419999999998</v>
      </c>
      <c r="R919" s="1">
        <v>12660.36</v>
      </c>
      <c r="S919" s="1">
        <f t="shared" si="29"/>
        <v>4744.0599999999977</v>
      </c>
      <c r="T919" s="1" t="s">
        <v>874</v>
      </c>
      <c r="U919" s="1" t="s">
        <v>878</v>
      </c>
      <c r="V919" s="5" t="s">
        <v>883</v>
      </c>
    </row>
    <row r="920" spans="1:22" x14ac:dyDescent="0.3">
      <c r="A920" s="4" t="s">
        <v>118</v>
      </c>
      <c r="B920" s="3">
        <v>45344</v>
      </c>
      <c r="C920" s="1" t="str">
        <f t="shared" si="28"/>
        <v>February</v>
      </c>
      <c r="D920" s="1" t="s">
        <v>465</v>
      </c>
      <c r="E920" s="1" t="s">
        <v>603</v>
      </c>
      <c r="F920" s="1" t="s">
        <v>801</v>
      </c>
      <c r="G920" s="1" t="s">
        <v>807</v>
      </c>
      <c r="H920" s="1" t="s">
        <v>811</v>
      </c>
      <c r="I920" s="1" t="s">
        <v>815</v>
      </c>
      <c r="J920" s="1" t="s">
        <v>817</v>
      </c>
      <c r="K920" s="1" t="s">
        <v>820</v>
      </c>
      <c r="L920" s="1" t="s">
        <v>862</v>
      </c>
      <c r="M920" s="1">
        <v>10.17</v>
      </c>
      <c r="N920" s="1">
        <v>675.81</v>
      </c>
      <c r="O920" s="1">
        <v>7517.94</v>
      </c>
      <c r="P920" s="1">
        <v>0.15</v>
      </c>
      <c r="Q920" s="1">
        <v>6807.39</v>
      </c>
      <c r="R920" s="1">
        <v>3886.34</v>
      </c>
      <c r="S920" s="1">
        <f t="shared" si="29"/>
        <v>2921.05</v>
      </c>
      <c r="T920" s="1" t="s">
        <v>876</v>
      </c>
      <c r="U920" s="1" t="s">
        <v>879</v>
      </c>
      <c r="V920" s="5" t="s">
        <v>882</v>
      </c>
    </row>
    <row r="921" spans="1:22" x14ac:dyDescent="0.3">
      <c r="A921" s="4" t="s">
        <v>205</v>
      </c>
      <c r="B921" s="3">
        <v>45516</v>
      </c>
      <c r="C921" s="1" t="str">
        <f t="shared" si="28"/>
        <v>August</v>
      </c>
      <c r="D921" s="1" t="s">
        <v>482</v>
      </c>
      <c r="E921" s="1" t="s">
        <v>689</v>
      </c>
      <c r="F921" s="1" t="s">
        <v>801</v>
      </c>
      <c r="G921" s="1" t="s">
        <v>807</v>
      </c>
      <c r="H921" s="1" t="s">
        <v>809</v>
      </c>
      <c r="I921" s="1" t="s">
        <v>816</v>
      </c>
      <c r="J921" s="1" t="s">
        <v>818</v>
      </c>
      <c r="K921" s="1" t="s">
        <v>821</v>
      </c>
      <c r="L921" s="1" t="s">
        <v>836</v>
      </c>
      <c r="M921" s="1">
        <v>10.17</v>
      </c>
      <c r="N921" s="1">
        <v>3258.08</v>
      </c>
      <c r="O921" s="1">
        <v>40456.89</v>
      </c>
      <c r="P921" s="1">
        <v>0.05</v>
      </c>
      <c r="Q921" s="1">
        <v>42496.6</v>
      </c>
      <c r="R921" s="1">
        <v>28815.43</v>
      </c>
      <c r="S921" s="1">
        <f t="shared" si="29"/>
        <v>13681.169999999998</v>
      </c>
      <c r="T921" s="1" t="s">
        <v>875</v>
      </c>
      <c r="U921" s="1" t="s">
        <v>878</v>
      </c>
      <c r="V921" s="5" t="s">
        <v>882</v>
      </c>
    </row>
    <row r="922" spans="1:22" x14ac:dyDescent="0.3">
      <c r="A922" s="4" t="s">
        <v>248</v>
      </c>
      <c r="B922" s="3">
        <v>45603</v>
      </c>
      <c r="C922" s="1" t="str">
        <f t="shared" si="28"/>
        <v>November</v>
      </c>
      <c r="D922" s="1" t="s">
        <v>490</v>
      </c>
      <c r="E922" s="1" t="s">
        <v>731</v>
      </c>
      <c r="F922" s="1" t="s">
        <v>802</v>
      </c>
      <c r="G922" s="1" t="s">
        <v>806</v>
      </c>
      <c r="H922" s="1" t="s">
        <v>808</v>
      </c>
      <c r="I922" s="1" t="s">
        <v>815</v>
      </c>
      <c r="J922" s="1" t="s">
        <v>817</v>
      </c>
      <c r="K922" s="1" t="s">
        <v>821</v>
      </c>
      <c r="L922" s="1" t="s">
        <v>833</v>
      </c>
      <c r="M922" s="1">
        <v>4.55</v>
      </c>
      <c r="N922" s="1">
        <v>1629.9</v>
      </c>
      <c r="O922" s="1">
        <v>7186.19</v>
      </c>
      <c r="P922" s="1">
        <v>0.16</v>
      </c>
      <c r="Q922" s="1">
        <v>6328.38</v>
      </c>
      <c r="R922" s="1">
        <v>5307.48</v>
      </c>
      <c r="S922" s="1">
        <f t="shared" si="29"/>
        <v>1020.9000000000005</v>
      </c>
      <c r="T922" s="1" t="s">
        <v>874</v>
      </c>
      <c r="U922" s="1" t="s">
        <v>877</v>
      </c>
      <c r="V922" s="5" t="s">
        <v>882</v>
      </c>
    </row>
    <row r="923" spans="1:22" x14ac:dyDescent="0.3">
      <c r="A923" s="4" t="s">
        <v>111</v>
      </c>
      <c r="B923" s="3">
        <v>45425</v>
      </c>
      <c r="C923" s="1" t="str">
        <f t="shared" si="28"/>
        <v>May</v>
      </c>
      <c r="D923" s="1" t="s">
        <v>354</v>
      </c>
      <c r="E923" s="1" t="s">
        <v>596</v>
      </c>
      <c r="F923" s="1" t="s">
        <v>801</v>
      </c>
      <c r="G923" s="1" t="s">
        <v>805</v>
      </c>
      <c r="H923" s="1" t="s">
        <v>812</v>
      </c>
      <c r="I923" s="1" t="s">
        <v>814</v>
      </c>
      <c r="J923" s="1" t="s">
        <v>818</v>
      </c>
      <c r="K923" s="1" t="s">
        <v>820</v>
      </c>
      <c r="L923" s="1" t="s">
        <v>858</v>
      </c>
      <c r="M923" s="1">
        <v>4.9800000000000004</v>
      </c>
      <c r="N923" s="1">
        <v>1262.81</v>
      </c>
      <c r="O923" s="1">
        <v>8005.9</v>
      </c>
      <c r="P923" s="1">
        <v>0.09</v>
      </c>
      <c r="Q923" s="1">
        <v>6053.22</v>
      </c>
      <c r="R923" s="1">
        <v>4124.63</v>
      </c>
      <c r="S923" s="1">
        <f t="shared" si="29"/>
        <v>1928.5900000000001</v>
      </c>
      <c r="T923" s="1" t="s">
        <v>876</v>
      </c>
      <c r="U923" s="1" t="s">
        <v>878</v>
      </c>
      <c r="V923" s="5" t="s">
        <v>883</v>
      </c>
    </row>
    <row r="924" spans="1:22" x14ac:dyDescent="0.3">
      <c r="A924" s="4" t="s">
        <v>164</v>
      </c>
      <c r="B924" s="3">
        <v>45585</v>
      </c>
      <c r="C924" s="1" t="str">
        <f t="shared" si="28"/>
        <v>October</v>
      </c>
      <c r="D924" s="1" t="s">
        <v>471</v>
      </c>
      <c r="E924" s="1" t="s">
        <v>649</v>
      </c>
      <c r="F924" s="1" t="s">
        <v>802</v>
      </c>
      <c r="G924" s="1" t="s">
        <v>805</v>
      </c>
      <c r="H924" s="1" t="s">
        <v>808</v>
      </c>
      <c r="I924" s="1" t="s">
        <v>814</v>
      </c>
      <c r="J924" s="1" t="s">
        <v>818</v>
      </c>
      <c r="K924" s="1" t="s">
        <v>820</v>
      </c>
      <c r="L924" s="1" t="s">
        <v>832</v>
      </c>
      <c r="M924" s="1">
        <v>11.05</v>
      </c>
      <c r="N924" s="1">
        <v>1590.88</v>
      </c>
      <c r="O924" s="1">
        <v>17268.53</v>
      </c>
      <c r="P924" s="1">
        <v>0</v>
      </c>
      <c r="Q924" s="1">
        <v>15755.08</v>
      </c>
      <c r="R924" s="1">
        <v>15959.64</v>
      </c>
      <c r="S924" s="1">
        <f t="shared" si="29"/>
        <v>-204.55999999999949</v>
      </c>
      <c r="T924" s="1" t="s">
        <v>876</v>
      </c>
      <c r="U924" s="1" t="s">
        <v>879</v>
      </c>
      <c r="V924" s="5" t="s">
        <v>884</v>
      </c>
    </row>
    <row r="925" spans="1:22" x14ac:dyDescent="0.3">
      <c r="A925" s="4" t="s">
        <v>207</v>
      </c>
      <c r="B925" s="3">
        <v>45362</v>
      </c>
      <c r="C925" s="1" t="str">
        <f t="shared" si="28"/>
        <v>March</v>
      </c>
      <c r="D925" s="1" t="s">
        <v>483</v>
      </c>
      <c r="E925" s="1" t="s">
        <v>691</v>
      </c>
      <c r="F925" s="1" t="s">
        <v>802</v>
      </c>
      <c r="G925" s="1" t="s">
        <v>805</v>
      </c>
      <c r="H925" s="1" t="s">
        <v>809</v>
      </c>
      <c r="I925" s="1" t="s">
        <v>813</v>
      </c>
      <c r="J925" s="1" t="s">
        <v>818</v>
      </c>
      <c r="K925" s="1" t="s">
        <v>821</v>
      </c>
      <c r="L925" s="1" t="s">
        <v>831</v>
      </c>
      <c r="M925" s="1">
        <v>5.16</v>
      </c>
      <c r="N925" s="1">
        <v>1928.81</v>
      </c>
      <c r="O925" s="1">
        <v>11476.45</v>
      </c>
      <c r="P925" s="1">
        <v>0</v>
      </c>
      <c r="Q925" s="1">
        <v>14502.81</v>
      </c>
      <c r="R925" s="1">
        <v>8364.64</v>
      </c>
      <c r="S925" s="1">
        <f t="shared" si="29"/>
        <v>6138.17</v>
      </c>
      <c r="T925" s="1" t="s">
        <v>873</v>
      </c>
      <c r="U925" s="1" t="s">
        <v>879</v>
      </c>
      <c r="V925" s="5" t="s">
        <v>883</v>
      </c>
    </row>
    <row r="926" spans="1:22" x14ac:dyDescent="0.3">
      <c r="A926" s="4" t="s">
        <v>181</v>
      </c>
      <c r="B926" s="3">
        <v>45552</v>
      </c>
      <c r="C926" s="1" t="str">
        <f t="shared" si="28"/>
        <v>September</v>
      </c>
      <c r="D926" s="1" t="s">
        <v>398</v>
      </c>
      <c r="E926" s="1" t="s">
        <v>665</v>
      </c>
      <c r="F926" s="1" t="s">
        <v>801</v>
      </c>
      <c r="G926" s="1" t="s">
        <v>805</v>
      </c>
      <c r="H926" s="1" t="s">
        <v>809</v>
      </c>
      <c r="I926" s="1" t="s">
        <v>809</v>
      </c>
      <c r="J926" s="1" t="s">
        <v>818</v>
      </c>
      <c r="K926" s="1" t="s">
        <v>821</v>
      </c>
      <c r="L926" s="1" t="s">
        <v>827</v>
      </c>
      <c r="M926" s="1">
        <v>0.99</v>
      </c>
      <c r="N926" s="1">
        <v>612.54999999999995</v>
      </c>
      <c r="O926" s="1">
        <v>761.08</v>
      </c>
      <c r="P926" s="1">
        <v>0.05</v>
      </c>
      <c r="Q926" s="1">
        <v>638.02</v>
      </c>
      <c r="R926" s="1">
        <v>558.82000000000005</v>
      </c>
      <c r="S926" s="1">
        <f t="shared" si="29"/>
        <v>79.199999999999932</v>
      </c>
      <c r="T926" s="1" t="s">
        <v>875</v>
      </c>
      <c r="U926" s="1" t="s">
        <v>880</v>
      </c>
      <c r="V926" s="5" t="s">
        <v>884</v>
      </c>
    </row>
    <row r="927" spans="1:22" x14ac:dyDescent="0.3">
      <c r="A927" s="4" t="s">
        <v>62</v>
      </c>
      <c r="B927" s="3">
        <v>45453</v>
      </c>
      <c r="C927" s="1" t="str">
        <f t="shared" si="28"/>
        <v>June</v>
      </c>
      <c r="D927" s="1" t="s">
        <v>449</v>
      </c>
      <c r="E927" s="1" t="s">
        <v>547</v>
      </c>
      <c r="F927" s="1" t="s">
        <v>803</v>
      </c>
      <c r="G927" s="1" t="s">
        <v>804</v>
      </c>
      <c r="H927" s="1" t="s">
        <v>812</v>
      </c>
      <c r="I927" s="1" t="s">
        <v>815</v>
      </c>
      <c r="J927" s="1" t="s">
        <v>819</v>
      </c>
      <c r="K927" s="1" t="s">
        <v>820</v>
      </c>
      <c r="L927" s="1" t="s">
        <v>832</v>
      </c>
      <c r="M927" s="1">
        <v>5.61</v>
      </c>
      <c r="N927" s="1">
        <v>328.13</v>
      </c>
      <c r="O927" s="1">
        <v>2370.6799999999998</v>
      </c>
      <c r="P927" s="1">
        <v>0.12</v>
      </c>
      <c r="Q927" s="1">
        <v>2215.44</v>
      </c>
      <c r="R927" s="1">
        <v>1643.19</v>
      </c>
      <c r="S927" s="1">
        <f t="shared" si="29"/>
        <v>572.25</v>
      </c>
      <c r="T927" s="1" t="s">
        <v>873</v>
      </c>
      <c r="U927" s="1" t="s">
        <v>881</v>
      </c>
      <c r="V927" s="5" t="s">
        <v>882</v>
      </c>
    </row>
    <row r="928" spans="1:22" x14ac:dyDescent="0.3">
      <c r="A928" s="4" t="s">
        <v>58</v>
      </c>
      <c r="B928" s="3">
        <v>45615</v>
      </c>
      <c r="C928" s="1" t="str">
        <f t="shared" si="28"/>
        <v>November</v>
      </c>
      <c r="D928" s="1" t="s">
        <v>448</v>
      </c>
      <c r="E928" s="1" t="s">
        <v>543</v>
      </c>
      <c r="F928" s="1" t="s">
        <v>802</v>
      </c>
      <c r="G928" s="1" t="s">
        <v>806</v>
      </c>
      <c r="H928" s="1" t="s">
        <v>809</v>
      </c>
      <c r="I928" s="1" t="s">
        <v>816</v>
      </c>
      <c r="J928" s="1" t="s">
        <v>817</v>
      </c>
      <c r="K928" s="1" t="s">
        <v>822</v>
      </c>
      <c r="L928" s="1" t="s">
        <v>849</v>
      </c>
      <c r="M928" s="1">
        <v>4.24</v>
      </c>
      <c r="N928" s="1">
        <v>642.28</v>
      </c>
      <c r="O928" s="1">
        <v>2595.12</v>
      </c>
      <c r="P928" s="1">
        <v>0.05</v>
      </c>
      <c r="Q928" s="1">
        <v>2132.0300000000002</v>
      </c>
      <c r="R928" s="1">
        <v>1614.63</v>
      </c>
      <c r="S928" s="1">
        <f t="shared" si="29"/>
        <v>517.40000000000009</v>
      </c>
      <c r="T928" s="1" t="s">
        <v>876</v>
      </c>
      <c r="U928" s="1" t="s">
        <v>880</v>
      </c>
      <c r="V928" s="5" t="s">
        <v>883</v>
      </c>
    </row>
    <row r="929" spans="1:22" x14ac:dyDescent="0.3">
      <c r="A929" s="4" t="s">
        <v>170</v>
      </c>
      <c r="B929" s="3">
        <v>45532</v>
      </c>
      <c r="C929" s="1" t="str">
        <f t="shared" si="28"/>
        <v>August</v>
      </c>
      <c r="D929" s="1" t="s">
        <v>361</v>
      </c>
      <c r="E929" s="1" t="s">
        <v>655</v>
      </c>
      <c r="F929" s="1" t="s">
        <v>802</v>
      </c>
      <c r="G929" s="1" t="s">
        <v>805</v>
      </c>
      <c r="H929" s="1" t="s">
        <v>808</v>
      </c>
      <c r="I929" s="1" t="s">
        <v>816</v>
      </c>
      <c r="J929" s="1" t="s">
        <v>817</v>
      </c>
      <c r="K929" s="1" t="s">
        <v>822</v>
      </c>
      <c r="L929" s="1" t="s">
        <v>835</v>
      </c>
      <c r="M929" s="1">
        <v>4.9400000000000004</v>
      </c>
      <c r="N929" s="1">
        <v>411.52</v>
      </c>
      <c r="O929" s="1">
        <v>2321.42</v>
      </c>
      <c r="P929" s="1">
        <v>0.1</v>
      </c>
      <c r="Q929" s="1">
        <v>1906.34</v>
      </c>
      <c r="R929" s="1">
        <v>1385.14</v>
      </c>
      <c r="S929" s="1">
        <f t="shared" si="29"/>
        <v>521.19999999999982</v>
      </c>
      <c r="T929" s="1" t="s">
        <v>875</v>
      </c>
      <c r="U929" s="1" t="s">
        <v>879</v>
      </c>
      <c r="V929" s="5" t="s">
        <v>883</v>
      </c>
    </row>
    <row r="930" spans="1:22" x14ac:dyDescent="0.3">
      <c r="A930" s="4" t="s">
        <v>313</v>
      </c>
      <c r="B930" s="3">
        <v>45326</v>
      </c>
      <c r="C930" s="1" t="str">
        <f t="shared" si="28"/>
        <v>February</v>
      </c>
      <c r="D930" s="1" t="s">
        <v>476</v>
      </c>
      <c r="E930" s="1" t="s">
        <v>795</v>
      </c>
      <c r="F930" s="1" t="s">
        <v>802</v>
      </c>
      <c r="G930" s="1" t="s">
        <v>805</v>
      </c>
      <c r="H930" s="1" t="s">
        <v>808</v>
      </c>
      <c r="I930" s="1" t="s">
        <v>815</v>
      </c>
      <c r="J930" s="1" t="s">
        <v>819</v>
      </c>
      <c r="K930" s="1" t="s">
        <v>820</v>
      </c>
      <c r="L930" s="1" t="s">
        <v>834</v>
      </c>
      <c r="M930" s="1">
        <v>0.93</v>
      </c>
      <c r="N930" s="1">
        <v>651.28</v>
      </c>
      <c r="O930" s="1">
        <v>607.4</v>
      </c>
      <c r="P930" s="1">
        <v>0</v>
      </c>
      <c r="Q930" s="1">
        <v>601.92999999999995</v>
      </c>
      <c r="R930" s="1">
        <v>429.22</v>
      </c>
      <c r="S930" s="1">
        <f t="shared" si="29"/>
        <v>172.70999999999992</v>
      </c>
      <c r="T930" s="1" t="s">
        <v>874</v>
      </c>
      <c r="U930" s="1" t="s">
        <v>879</v>
      </c>
      <c r="V930" s="5" t="s">
        <v>884</v>
      </c>
    </row>
    <row r="931" spans="1:22" x14ac:dyDescent="0.3">
      <c r="A931" s="4" t="s">
        <v>215</v>
      </c>
      <c r="B931" s="3">
        <v>45548</v>
      </c>
      <c r="C931" s="1" t="str">
        <f t="shared" si="28"/>
        <v>September</v>
      </c>
      <c r="D931" s="1" t="s">
        <v>333</v>
      </c>
      <c r="E931" s="1" t="s">
        <v>698</v>
      </c>
      <c r="F931" s="1" t="s">
        <v>801</v>
      </c>
      <c r="G931" s="1" t="s">
        <v>806</v>
      </c>
      <c r="H931" s="1" t="s">
        <v>811</v>
      </c>
      <c r="I931" s="1" t="s">
        <v>816</v>
      </c>
      <c r="J931" s="1" t="s">
        <v>817</v>
      </c>
      <c r="K931" s="1" t="s">
        <v>821</v>
      </c>
      <c r="L931" s="1" t="s">
        <v>840</v>
      </c>
      <c r="M931" s="1">
        <v>0.95</v>
      </c>
      <c r="N931" s="1">
        <v>2693.79</v>
      </c>
      <c r="O931" s="1">
        <v>2825.84</v>
      </c>
      <c r="P931" s="1">
        <v>0</v>
      </c>
      <c r="Q931" s="1">
        <v>3099.58</v>
      </c>
      <c r="R931" s="1">
        <v>1722.79</v>
      </c>
      <c r="S931" s="1">
        <f t="shared" si="29"/>
        <v>1376.79</v>
      </c>
      <c r="T931" s="1" t="s">
        <v>876</v>
      </c>
      <c r="U931" s="1" t="s">
        <v>879</v>
      </c>
      <c r="V931" s="5" t="s">
        <v>884</v>
      </c>
    </row>
    <row r="932" spans="1:22" x14ac:dyDescent="0.3">
      <c r="A932" s="4" t="s">
        <v>187</v>
      </c>
      <c r="B932" s="3">
        <v>45531</v>
      </c>
      <c r="C932" s="1" t="str">
        <f t="shared" si="28"/>
        <v>August</v>
      </c>
      <c r="D932" s="1" t="s">
        <v>478</v>
      </c>
      <c r="E932" s="1" t="s">
        <v>671</v>
      </c>
      <c r="F932" s="1" t="s">
        <v>801</v>
      </c>
      <c r="G932" s="1" t="s">
        <v>806</v>
      </c>
      <c r="H932" s="1" t="s">
        <v>812</v>
      </c>
      <c r="I932" s="1" t="s">
        <v>816</v>
      </c>
      <c r="J932" s="1" t="s">
        <v>818</v>
      </c>
      <c r="K932" s="1" t="s">
        <v>820</v>
      </c>
      <c r="L932" s="1" t="s">
        <v>830</v>
      </c>
      <c r="M932" s="1">
        <v>3.46</v>
      </c>
      <c r="N932" s="1">
        <v>886.25</v>
      </c>
      <c r="O932" s="1">
        <v>3977.17</v>
      </c>
      <c r="P932" s="1">
        <v>0.11</v>
      </c>
      <c r="Q932" s="1">
        <v>3279.87</v>
      </c>
      <c r="R932" s="1">
        <v>2070.0300000000002</v>
      </c>
      <c r="S932" s="1">
        <f t="shared" si="29"/>
        <v>1209.8399999999997</v>
      </c>
      <c r="T932" s="1" t="s">
        <v>873</v>
      </c>
      <c r="U932" s="1" t="s">
        <v>880</v>
      </c>
      <c r="V932" s="5" t="s">
        <v>883</v>
      </c>
    </row>
    <row r="933" spans="1:22" x14ac:dyDescent="0.3">
      <c r="A933" s="4" t="s">
        <v>43</v>
      </c>
      <c r="B933" s="3">
        <v>45415</v>
      </c>
      <c r="C933" s="1" t="str">
        <f t="shared" si="28"/>
        <v>May</v>
      </c>
      <c r="D933" s="1" t="s">
        <v>332</v>
      </c>
      <c r="E933" s="1" t="s">
        <v>528</v>
      </c>
      <c r="F933" s="1" t="s">
        <v>802</v>
      </c>
      <c r="G933" s="1" t="s">
        <v>807</v>
      </c>
      <c r="H933" s="1" t="s">
        <v>810</v>
      </c>
      <c r="I933" s="1" t="s">
        <v>815</v>
      </c>
      <c r="J933" s="1" t="s">
        <v>817</v>
      </c>
      <c r="K933" s="1" t="s">
        <v>822</v>
      </c>
      <c r="L933" s="1" t="s">
        <v>830</v>
      </c>
      <c r="M933" s="1">
        <v>2</v>
      </c>
      <c r="N933" s="1">
        <v>977.79</v>
      </c>
      <c r="O933" s="1">
        <v>2157.65</v>
      </c>
      <c r="P933" s="1">
        <v>0.11</v>
      </c>
      <c r="Q933" s="1">
        <v>2046.62</v>
      </c>
      <c r="R933" s="1">
        <v>1406</v>
      </c>
      <c r="S933" s="1">
        <f t="shared" si="29"/>
        <v>640.61999999999989</v>
      </c>
      <c r="T933" s="1" t="s">
        <v>876</v>
      </c>
      <c r="U933" s="1" t="s">
        <v>878</v>
      </c>
      <c r="V933" s="5" t="s">
        <v>884</v>
      </c>
    </row>
    <row r="934" spans="1:22" x14ac:dyDescent="0.3">
      <c r="A934" s="4" t="s">
        <v>261</v>
      </c>
      <c r="B934" s="3">
        <v>45339</v>
      </c>
      <c r="C934" s="1" t="str">
        <f t="shared" si="28"/>
        <v>February</v>
      </c>
      <c r="D934" s="1" t="s">
        <v>387</v>
      </c>
      <c r="E934" s="1" t="s">
        <v>744</v>
      </c>
      <c r="F934" s="1" t="s">
        <v>803</v>
      </c>
      <c r="G934" s="1" t="s">
        <v>806</v>
      </c>
      <c r="H934" s="1" t="s">
        <v>810</v>
      </c>
      <c r="I934" s="1" t="s">
        <v>816</v>
      </c>
      <c r="J934" s="1" t="s">
        <v>819</v>
      </c>
      <c r="K934" s="1" t="s">
        <v>820</v>
      </c>
      <c r="L934" s="1" t="s">
        <v>870</v>
      </c>
      <c r="M934" s="1">
        <v>7.19</v>
      </c>
      <c r="N934" s="1">
        <v>1342.07</v>
      </c>
      <c r="O934" s="1">
        <v>10684.3</v>
      </c>
      <c r="P934" s="1">
        <v>0.11</v>
      </c>
      <c r="Q934" s="1">
        <v>9418.24</v>
      </c>
      <c r="R934" s="1">
        <v>6481.1</v>
      </c>
      <c r="S934" s="1">
        <f t="shared" si="29"/>
        <v>2937.1399999999994</v>
      </c>
      <c r="T934" s="1" t="s">
        <v>874</v>
      </c>
      <c r="U934" s="1" t="s">
        <v>877</v>
      </c>
      <c r="V934" s="5" t="s">
        <v>883</v>
      </c>
    </row>
    <row r="935" spans="1:22" x14ac:dyDescent="0.3">
      <c r="A935" s="4" t="s">
        <v>21</v>
      </c>
      <c r="B935" s="3">
        <v>45457</v>
      </c>
      <c r="C935" s="1" t="str">
        <f t="shared" si="28"/>
        <v>June</v>
      </c>
      <c r="D935" s="1" t="s">
        <v>374</v>
      </c>
      <c r="E935" s="1" t="s">
        <v>506</v>
      </c>
      <c r="F935" s="1" t="s">
        <v>801</v>
      </c>
      <c r="G935" s="1" t="s">
        <v>804</v>
      </c>
      <c r="H935" s="1" t="s">
        <v>808</v>
      </c>
      <c r="I935" s="1" t="s">
        <v>813</v>
      </c>
      <c r="J935" s="1" t="s">
        <v>817</v>
      </c>
      <c r="K935" s="1" t="s">
        <v>820</v>
      </c>
      <c r="L935" s="1" t="s">
        <v>823</v>
      </c>
      <c r="M935" s="1">
        <v>6.63</v>
      </c>
      <c r="N935" s="1">
        <v>2441.33</v>
      </c>
      <c r="O935" s="1">
        <v>14515.58</v>
      </c>
      <c r="P935" s="1">
        <v>0</v>
      </c>
      <c r="Q935" s="1">
        <v>16452.64</v>
      </c>
      <c r="R935" s="1">
        <v>13545.37</v>
      </c>
      <c r="S935" s="1">
        <f t="shared" si="29"/>
        <v>2907.2699999999986</v>
      </c>
      <c r="T935" s="1" t="s">
        <v>873</v>
      </c>
      <c r="U935" s="1" t="s">
        <v>877</v>
      </c>
      <c r="V935" s="5" t="s">
        <v>882</v>
      </c>
    </row>
    <row r="936" spans="1:22" x14ac:dyDescent="0.3">
      <c r="A936" s="4" t="s">
        <v>244</v>
      </c>
      <c r="B936" s="3">
        <v>45370</v>
      </c>
      <c r="C936" s="1" t="str">
        <f t="shared" si="28"/>
        <v>March</v>
      </c>
      <c r="D936" s="1" t="s">
        <v>379</v>
      </c>
      <c r="E936" s="1" t="s">
        <v>727</v>
      </c>
      <c r="F936" s="1" t="s">
        <v>802</v>
      </c>
      <c r="G936" s="1" t="s">
        <v>807</v>
      </c>
      <c r="H936" s="1" t="s">
        <v>811</v>
      </c>
      <c r="I936" s="1" t="s">
        <v>809</v>
      </c>
      <c r="J936" s="1" t="s">
        <v>819</v>
      </c>
      <c r="K936" s="1" t="s">
        <v>822</v>
      </c>
      <c r="L936" s="1" t="s">
        <v>839</v>
      </c>
      <c r="M936" s="1">
        <v>5.21</v>
      </c>
      <c r="N936" s="1">
        <v>1416.26</v>
      </c>
      <c r="O936" s="1">
        <v>6995.85</v>
      </c>
      <c r="P936" s="1">
        <v>0.11</v>
      </c>
      <c r="Q936" s="1">
        <v>7442.61</v>
      </c>
      <c r="R936" s="1">
        <v>5505.21</v>
      </c>
      <c r="S936" s="1">
        <f t="shared" si="29"/>
        <v>1937.3999999999996</v>
      </c>
      <c r="T936" s="1" t="s">
        <v>873</v>
      </c>
      <c r="U936" s="1" t="s">
        <v>877</v>
      </c>
      <c r="V936" s="5" t="s">
        <v>884</v>
      </c>
    </row>
    <row r="937" spans="1:22" x14ac:dyDescent="0.3">
      <c r="A937" s="4" t="s">
        <v>187</v>
      </c>
      <c r="B937" s="3">
        <v>45531</v>
      </c>
      <c r="C937" s="1" t="str">
        <f t="shared" si="28"/>
        <v>August</v>
      </c>
      <c r="D937" s="1" t="s">
        <v>478</v>
      </c>
      <c r="E937" s="1" t="s">
        <v>671</v>
      </c>
      <c r="F937" s="1" t="s">
        <v>801</v>
      </c>
      <c r="G937" s="1" t="s">
        <v>806</v>
      </c>
      <c r="H937" s="1" t="s">
        <v>812</v>
      </c>
      <c r="I937" s="1" t="s">
        <v>816</v>
      </c>
      <c r="J937" s="1" t="s">
        <v>818</v>
      </c>
      <c r="K937" s="1" t="s">
        <v>820</v>
      </c>
      <c r="L937" s="1" t="s">
        <v>830</v>
      </c>
      <c r="M937" s="1">
        <v>3.33</v>
      </c>
      <c r="N937" s="1">
        <v>836.21</v>
      </c>
      <c r="O937" s="1">
        <v>3813.52</v>
      </c>
      <c r="P937" s="1">
        <v>0.11</v>
      </c>
      <c r="Q937" s="1">
        <v>3309.09</v>
      </c>
      <c r="R937" s="1">
        <v>1872.22</v>
      </c>
      <c r="S937" s="1">
        <f t="shared" si="29"/>
        <v>1436.8700000000001</v>
      </c>
      <c r="T937" s="1" t="s">
        <v>873</v>
      </c>
      <c r="U937" s="1" t="s">
        <v>880</v>
      </c>
      <c r="V937" s="5" t="s">
        <v>883</v>
      </c>
    </row>
    <row r="938" spans="1:22" x14ac:dyDescent="0.3">
      <c r="A938" s="4" t="s">
        <v>251</v>
      </c>
      <c r="B938" s="3">
        <v>45405</v>
      </c>
      <c r="C938" s="1" t="str">
        <f t="shared" si="28"/>
        <v>April</v>
      </c>
      <c r="D938" s="1" t="s">
        <v>492</v>
      </c>
      <c r="E938" s="1" t="s">
        <v>734</v>
      </c>
      <c r="F938" s="1" t="s">
        <v>803</v>
      </c>
      <c r="G938" s="1" t="s">
        <v>805</v>
      </c>
      <c r="H938" s="1" t="s">
        <v>809</v>
      </c>
      <c r="I938" s="1" t="s">
        <v>813</v>
      </c>
      <c r="J938" s="1" t="s">
        <v>818</v>
      </c>
      <c r="K938" s="1" t="s">
        <v>822</v>
      </c>
      <c r="L938" s="1" t="s">
        <v>841</v>
      </c>
      <c r="M938" s="1">
        <v>1.99</v>
      </c>
      <c r="N938" s="1">
        <v>2085.85</v>
      </c>
      <c r="O938" s="1">
        <v>4270.41</v>
      </c>
      <c r="P938" s="1">
        <v>0</v>
      </c>
      <c r="Q938" s="1">
        <v>4039.09</v>
      </c>
      <c r="R938" s="1">
        <v>2813.71</v>
      </c>
      <c r="S938" s="1">
        <f t="shared" si="29"/>
        <v>1225.3800000000001</v>
      </c>
      <c r="T938" s="1" t="s">
        <v>876</v>
      </c>
      <c r="U938" s="1" t="s">
        <v>881</v>
      </c>
      <c r="V938" s="5" t="s">
        <v>883</v>
      </c>
    </row>
    <row r="939" spans="1:22" x14ac:dyDescent="0.3">
      <c r="A939" s="4" t="s">
        <v>113</v>
      </c>
      <c r="B939" s="3">
        <v>45470</v>
      </c>
      <c r="C939" s="1" t="str">
        <f t="shared" si="28"/>
        <v>June</v>
      </c>
      <c r="D939" s="1" t="s">
        <v>403</v>
      </c>
      <c r="E939" s="1" t="s">
        <v>598</v>
      </c>
      <c r="F939" s="1" t="s">
        <v>802</v>
      </c>
      <c r="G939" s="1" t="s">
        <v>807</v>
      </c>
      <c r="H939" s="1" t="s">
        <v>808</v>
      </c>
      <c r="I939" s="1" t="s">
        <v>813</v>
      </c>
      <c r="J939" s="1" t="s">
        <v>819</v>
      </c>
      <c r="K939" s="1" t="s">
        <v>820</v>
      </c>
      <c r="L939" s="1" t="s">
        <v>845</v>
      </c>
      <c r="M939" s="1">
        <v>2.13</v>
      </c>
      <c r="N939" s="1">
        <v>1685.42</v>
      </c>
      <c r="O939" s="1">
        <v>3651.57</v>
      </c>
      <c r="P939" s="1">
        <v>0.05</v>
      </c>
      <c r="Q939" s="1">
        <v>3915.64</v>
      </c>
      <c r="R939" s="1">
        <v>3343.09</v>
      </c>
      <c r="S939" s="1">
        <f t="shared" si="29"/>
        <v>572.54999999999973</v>
      </c>
      <c r="T939" s="1" t="s">
        <v>875</v>
      </c>
      <c r="U939" s="1" t="s">
        <v>878</v>
      </c>
      <c r="V939" s="5" t="s">
        <v>882</v>
      </c>
    </row>
    <row r="940" spans="1:22" x14ac:dyDescent="0.3">
      <c r="A940" s="4" t="s">
        <v>175</v>
      </c>
      <c r="B940" s="3">
        <v>45366</v>
      </c>
      <c r="C940" s="1" t="str">
        <f t="shared" si="28"/>
        <v>March</v>
      </c>
      <c r="D940" s="1" t="s">
        <v>416</v>
      </c>
      <c r="E940" s="1" t="s">
        <v>660</v>
      </c>
      <c r="F940" s="1" t="s">
        <v>801</v>
      </c>
      <c r="G940" s="1" t="s">
        <v>806</v>
      </c>
      <c r="H940" s="1" t="s">
        <v>812</v>
      </c>
      <c r="I940" s="1" t="s">
        <v>813</v>
      </c>
      <c r="J940" s="1" t="s">
        <v>819</v>
      </c>
      <c r="K940" s="1" t="s">
        <v>820</v>
      </c>
      <c r="L940" s="1" t="s">
        <v>856</v>
      </c>
      <c r="M940" s="1">
        <v>8.86</v>
      </c>
      <c r="N940" s="1">
        <v>1642.93</v>
      </c>
      <c r="O940" s="1">
        <v>17840.439999999999</v>
      </c>
      <c r="P940" s="1">
        <v>0.05</v>
      </c>
      <c r="Q940" s="1">
        <v>16174.98</v>
      </c>
      <c r="R940" s="1">
        <v>9129.0400000000009</v>
      </c>
      <c r="S940" s="1">
        <f t="shared" si="29"/>
        <v>7045.9399999999987</v>
      </c>
      <c r="T940" s="1" t="s">
        <v>876</v>
      </c>
      <c r="U940" s="1" t="s">
        <v>879</v>
      </c>
      <c r="V940" s="5" t="s">
        <v>883</v>
      </c>
    </row>
    <row r="941" spans="1:22" x14ac:dyDescent="0.3">
      <c r="A941" s="4" t="s">
        <v>108</v>
      </c>
      <c r="B941" s="3">
        <v>45395</v>
      </c>
      <c r="C941" s="1" t="str">
        <f t="shared" si="28"/>
        <v>April</v>
      </c>
      <c r="D941" s="1" t="s">
        <v>372</v>
      </c>
      <c r="E941" s="1" t="s">
        <v>593</v>
      </c>
      <c r="F941" s="1" t="s">
        <v>802</v>
      </c>
      <c r="G941" s="1" t="s">
        <v>806</v>
      </c>
      <c r="H941" s="1" t="s">
        <v>811</v>
      </c>
      <c r="I941" s="1" t="s">
        <v>814</v>
      </c>
      <c r="J941" s="1" t="s">
        <v>819</v>
      </c>
      <c r="K941" s="1" t="s">
        <v>822</v>
      </c>
      <c r="L941" s="1" t="s">
        <v>840</v>
      </c>
      <c r="M941" s="1">
        <v>12.14</v>
      </c>
      <c r="N941" s="1">
        <v>3345.01</v>
      </c>
      <c r="O941" s="1">
        <v>37265.440000000002</v>
      </c>
      <c r="P941" s="1">
        <v>0.05</v>
      </c>
      <c r="Q941" s="1">
        <v>39043.519999999997</v>
      </c>
      <c r="R941" s="1">
        <v>28406.12</v>
      </c>
      <c r="S941" s="1">
        <f t="shared" si="29"/>
        <v>10637.399999999998</v>
      </c>
      <c r="T941" s="1" t="s">
        <v>876</v>
      </c>
      <c r="U941" s="1" t="s">
        <v>877</v>
      </c>
      <c r="V941" s="5" t="s">
        <v>884</v>
      </c>
    </row>
    <row r="942" spans="1:22" x14ac:dyDescent="0.3">
      <c r="A942" s="4" t="s">
        <v>41</v>
      </c>
      <c r="B942" s="3">
        <v>45419</v>
      </c>
      <c r="C942" s="1" t="str">
        <f t="shared" si="28"/>
        <v>May</v>
      </c>
      <c r="D942" s="1" t="s">
        <v>326</v>
      </c>
      <c r="E942" s="1" t="s">
        <v>526</v>
      </c>
      <c r="F942" s="1" t="s">
        <v>803</v>
      </c>
      <c r="G942" s="1" t="s">
        <v>805</v>
      </c>
      <c r="H942" s="1" t="s">
        <v>812</v>
      </c>
      <c r="I942" s="1" t="s">
        <v>814</v>
      </c>
      <c r="J942" s="1" t="s">
        <v>818</v>
      </c>
      <c r="K942" s="1" t="s">
        <v>821</v>
      </c>
      <c r="L942" s="1" t="s">
        <v>842</v>
      </c>
      <c r="M942" s="1">
        <v>4.49</v>
      </c>
      <c r="N942" s="1">
        <v>614.37</v>
      </c>
      <c r="O942" s="1">
        <v>2883.32</v>
      </c>
      <c r="P942" s="1">
        <v>0</v>
      </c>
      <c r="Q942" s="1">
        <v>3288.11</v>
      </c>
      <c r="R942" s="1">
        <v>1613.45</v>
      </c>
      <c r="S942" s="1">
        <f t="shared" si="29"/>
        <v>1674.66</v>
      </c>
      <c r="T942" s="1" t="s">
        <v>875</v>
      </c>
      <c r="U942" s="1" t="s">
        <v>879</v>
      </c>
      <c r="V942" s="5" t="s">
        <v>884</v>
      </c>
    </row>
    <row r="943" spans="1:22" x14ac:dyDescent="0.3">
      <c r="A943" s="4" t="s">
        <v>250</v>
      </c>
      <c r="B943" s="3">
        <v>45543</v>
      </c>
      <c r="C943" s="1" t="str">
        <f t="shared" si="28"/>
        <v>September</v>
      </c>
      <c r="D943" s="1" t="s">
        <v>351</v>
      </c>
      <c r="E943" s="1" t="s">
        <v>733</v>
      </c>
      <c r="F943" s="1" t="s">
        <v>801</v>
      </c>
      <c r="G943" s="1" t="s">
        <v>804</v>
      </c>
      <c r="H943" s="1" t="s">
        <v>812</v>
      </c>
      <c r="I943" s="1" t="s">
        <v>814</v>
      </c>
      <c r="J943" s="1" t="s">
        <v>819</v>
      </c>
      <c r="K943" s="1" t="s">
        <v>822</v>
      </c>
      <c r="L943" s="1" t="s">
        <v>857</v>
      </c>
      <c r="M943" s="1">
        <v>9.83</v>
      </c>
      <c r="N943" s="1">
        <v>2609.92</v>
      </c>
      <c r="O943" s="1">
        <v>25995.25</v>
      </c>
      <c r="P943" s="1">
        <v>0</v>
      </c>
      <c r="Q943" s="1">
        <v>22703.41</v>
      </c>
      <c r="R943" s="1">
        <v>20095.88</v>
      </c>
      <c r="S943" s="1">
        <f t="shared" si="29"/>
        <v>2607.5299999999988</v>
      </c>
      <c r="T943" s="1" t="s">
        <v>873</v>
      </c>
      <c r="U943" s="1" t="s">
        <v>877</v>
      </c>
      <c r="V943" s="5" t="s">
        <v>882</v>
      </c>
    </row>
    <row r="944" spans="1:22" x14ac:dyDescent="0.3">
      <c r="A944" s="4" t="s">
        <v>40</v>
      </c>
      <c r="B944" s="3">
        <v>45603</v>
      </c>
      <c r="C944" s="1" t="str">
        <f t="shared" si="28"/>
        <v>November</v>
      </c>
      <c r="D944" s="1" t="s">
        <v>439</v>
      </c>
      <c r="E944" s="1" t="s">
        <v>525</v>
      </c>
      <c r="F944" s="1" t="s">
        <v>802</v>
      </c>
      <c r="G944" s="1" t="s">
        <v>804</v>
      </c>
      <c r="H944" s="1" t="s">
        <v>812</v>
      </c>
      <c r="I944" s="1" t="s">
        <v>814</v>
      </c>
      <c r="J944" s="1" t="s">
        <v>818</v>
      </c>
      <c r="K944" s="1" t="s">
        <v>821</v>
      </c>
      <c r="L944" s="1" t="s">
        <v>841</v>
      </c>
      <c r="M944" s="1">
        <v>3.15</v>
      </c>
      <c r="N944" s="1">
        <v>1023.68</v>
      </c>
      <c r="O944" s="1">
        <v>2778.23</v>
      </c>
      <c r="P944" s="1">
        <v>0.14000000000000001</v>
      </c>
      <c r="Q944" s="1">
        <v>2168.23</v>
      </c>
      <c r="R944" s="1">
        <v>1888.15</v>
      </c>
      <c r="S944" s="1">
        <f t="shared" si="29"/>
        <v>280.07999999999993</v>
      </c>
      <c r="T944" s="1" t="s">
        <v>876</v>
      </c>
      <c r="U944" s="1" t="s">
        <v>881</v>
      </c>
      <c r="V944" s="5" t="s">
        <v>882</v>
      </c>
    </row>
    <row r="945" spans="1:22" x14ac:dyDescent="0.3">
      <c r="A945" s="4" t="s">
        <v>205</v>
      </c>
      <c r="B945" s="3">
        <v>45516</v>
      </c>
      <c r="C945" s="1" t="str">
        <f t="shared" si="28"/>
        <v>August</v>
      </c>
      <c r="D945" s="1" t="s">
        <v>482</v>
      </c>
      <c r="E945" s="1" t="s">
        <v>689</v>
      </c>
      <c r="F945" s="1" t="s">
        <v>801</v>
      </c>
      <c r="G945" s="1" t="s">
        <v>807</v>
      </c>
      <c r="H945" s="1" t="s">
        <v>809</v>
      </c>
      <c r="I945" s="1" t="s">
        <v>816</v>
      </c>
      <c r="J945" s="1" t="s">
        <v>818</v>
      </c>
      <c r="K945" s="1" t="s">
        <v>821</v>
      </c>
      <c r="L945" s="1" t="s">
        <v>836</v>
      </c>
      <c r="M945" s="1">
        <v>10.32</v>
      </c>
      <c r="N945" s="1">
        <v>3399.63</v>
      </c>
      <c r="O945" s="1">
        <v>33729.57</v>
      </c>
      <c r="P945" s="1">
        <v>0.05</v>
      </c>
      <c r="Q945" s="1">
        <v>35898.29</v>
      </c>
      <c r="R945" s="1">
        <v>28138.87</v>
      </c>
      <c r="S945" s="1">
        <f t="shared" si="29"/>
        <v>7759.4200000000019</v>
      </c>
      <c r="T945" s="1" t="s">
        <v>875</v>
      </c>
      <c r="U945" s="1" t="s">
        <v>878</v>
      </c>
      <c r="V945" s="5" t="s">
        <v>882</v>
      </c>
    </row>
    <row r="946" spans="1:22" x14ac:dyDescent="0.3">
      <c r="A946" s="4" t="s">
        <v>201</v>
      </c>
      <c r="B946" s="3">
        <v>45362</v>
      </c>
      <c r="C946" s="1" t="str">
        <f t="shared" si="28"/>
        <v>March</v>
      </c>
      <c r="D946" s="1" t="s">
        <v>421</v>
      </c>
      <c r="E946" s="1" t="s">
        <v>685</v>
      </c>
      <c r="F946" s="1" t="s">
        <v>801</v>
      </c>
      <c r="G946" s="1" t="s">
        <v>806</v>
      </c>
      <c r="H946" s="1" t="s">
        <v>808</v>
      </c>
      <c r="I946" s="1" t="s">
        <v>813</v>
      </c>
      <c r="J946" s="1" t="s">
        <v>817</v>
      </c>
      <c r="K946" s="1" t="s">
        <v>821</v>
      </c>
      <c r="L946" s="1" t="s">
        <v>852</v>
      </c>
      <c r="M946" s="1">
        <v>1.07</v>
      </c>
      <c r="N946" s="1">
        <v>479.97</v>
      </c>
      <c r="O946" s="1">
        <v>522.33000000000004</v>
      </c>
      <c r="P946" s="1">
        <v>0.16</v>
      </c>
      <c r="Q946" s="1">
        <v>432.05</v>
      </c>
      <c r="R946" s="1">
        <v>352.74</v>
      </c>
      <c r="S946" s="1">
        <f t="shared" si="29"/>
        <v>79.31</v>
      </c>
      <c r="T946" s="1" t="s">
        <v>874</v>
      </c>
      <c r="U946" s="1" t="s">
        <v>878</v>
      </c>
      <c r="V946" s="5" t="s">
        <v>882</v>
      </c>
    </row>
    <row r="947" spans="1:22" x14ac:dyDescent="0.3">
      <c r="A947" s="4" t="s">
        <v>254</v>
      </c>
      <c r="B947" s="3">
        <v>45359</v>
      </c>
      <c r="C947" s="1" t="str">
        <f t="shared" si="28"/>
        <v>March</v>
      </c>
      <c r="D947" s="1" t="s">
        <v>435</v>
      </c>
      <c r="E947" s="1" t="s">
        <v>737</v>
      </c>
      <c r="F947" s="1" t="s">
        <v>802</v>
      </c>
      <c r="G947" s="1" t="s">
        <v>806</v>
      </c>
      <c r="H947" s="1" t="s">
        <v>812</v>
      </c>
      <c r="I947" s="1" t="s">
        <v>815</v>
      </c>
      <c r="J947" s="1" t="s">
        <v>817</v>
      </c>
      <c r="K947" s="1" t="s">
        <v>822</v>
      </c>
      <c r="L947" s="1" t="s">
        <v>850</v>
      </c>
      <c r="M947" s="1">
        <v>4.07</v>
      </c>
      <c r="N947" s="1">
        <v>2091.31</v>
      </c>
      <c r="O947" s="1">
        <v>7539.39</v>
      </c>
      <c r="P947" s="1">
        <v>0.11</v>
      </c>
      <c r="Q947" s="1">
        <v>7655.48</v>
      </c>
      <c r="R947" s="1">
        <v>6201.42</v>
      </c>
      <c r="S947" s="1">
        <f t="shared" si="29"/>
        <v>1454.0599999999995</v>
      </c>
      <c r="T947" s="1" t="s">
        <v>876</v>
      </c>
      <c r="U947" s="1" t="s">
        <v>879</v>
      </c>
      <c r="V947" s="5" t="s">
        <v>882</v>
      </c>
    </row>
    <row r="948" spans="1:22" x14ac:dyDescent="0.3">
      <c r="A948" s="4" t="s">
        <v>104</v>
      </c>
      <c r="B948" s="3">
        <v>45588</v>
      </c>
      <c r="C948" s="1" t="str">
        <f t="shared" si="28"/>
        <v>October</v>
      </c>
      <c r="D948" s="1" t="s">
        <v>425</v>
      </c>
      <c r="E948" s="1" t="s">
        <v>589</v>
      </c>
      <c r="F948" s="1" t="s">
        <v>803</v>
      </c>
      <c r="G948" s="1" t="s">
        <v>804</v>
      </c>
      <c r="H948" s="1" t="s">
        <v>808</v>
      </c>
      <c r="I948" s="1" t="s">
        <v>809</v>
      </c>
      <c r="J948" s="1" t="s">
        <v>819</v>
      </c>
      <c r="K948" s="1" t="s">
        <v>820</v>
      </c>
      <c r="L948" s="1" t="s">
        <v>829</v>
      </c>
      <c r="M948" s="1">
        <v>10.36</v>
      </c>
      <c r="N948" s="1">
        <v>3516.7</v>
      </c>
      <c r="O948" s="1">
        <v>32132.55</v>
      </c>
      <c r="P948" s="1">
        <v>0.15</v>
      </c>
      <c r="Q948" s="1">
        <v>25867.63</v>
      </c>
      <c r="R948" s="1">
        <v>17147.64</v>
      </c>
      <c r="S948" s="1">
        <f t="shared" si="29"/>
        <v>8719.9900000000016</v>
      </c>
      <c r="T948" s="1" t="s">
        <v>875</v>
      </c>
      <c r="U948" s="1" t="s">
        <v>877</v>
      </c>
      <c r="V948" s="5" t="s">
        <v>882</v>
      </c>
    </row>
    <row r="949" spans="1:22" x14ac:dyDescent="0.3">
      <c r="A949" s="4" t="s">
        <v>177</v>
      </c>
      <c r="B949" s="3">
        <v>45326</v>
      </c>
      <c r="C949" s="1" t="str">
        <f t="shared" si="28"/>
        <v>February</v>
      </c>
      <c r="D949" s="1" t="s">
        <v>476</v>
      </c>
      <c r="E949" s="1" t="s">
        <v>661</v>
      </c>
      <c r="F949" s="1" t="s">
        <v>803</v>
      </c>
      <c r="G949" s="1" t="s">
        <v>805</v>
      </c>
      <c r="H949" s="1" t="s">
        <v>811</v>
      </c>
      <c r="I949" s="1" t="s">
        <v>816</v>
      </c>
      <c r="J949" s="1" t="s">
        <v>819</v>
      </c>
      <c r="K949" s="1" t="s">
        <v>821</v>
      </c>
      <c r="L949" s="1" t="s">
        <v>870</v>
      </c>
      <c r="M949" s="1">
        <v>3.98</v>
      </c>
      <c r="N949" s="1">
        <v>758.16</v>
      </c>
      <c r="O949" s="1">
        <v>3166.39</v>
      </c>
      <c r="P949" s="1">
        <v>0.09</v>
      </c>
      <c r="Q949" s="1">
        <v>2660.18</v>
      </c>
      <c r="R949" s="1">
        <v>1947.46</v>
      </c>
      <c r="S949" s="1">
        <f t="shared" si="29"/>
        <v>712.7199999999998</v>
      </c>
      <c r="T949" s="1" t="s">
        <v>874</v>
      </c>
      <c r="U949" s="1" t="s">
        <v>881</v>
      </c>
      <c r="V949" s="5" t="s">
        <v>883</v>
      </c>
    </row>
    <row r="950" spans="1:22" x14ac:dyDescent="0.3">
      <c r="A950" s="4" t="s">
        <v>51</v>
      </c>
      <c r="B950" s="3">
        <v>45319</v>
      </c>
      <c r="C950" s="1" t="str">
        <f t="shared" si="28"/>
        <v>January</v>
      </c>
      <c r="D950" s="1" t="s">
        <v>396</v>
      </c>
      <c r="E950" s="1" t="s">
        <v>536</v>
      </c>
      <c r="F950" s="1" t="s">
        <v>803</v>
      </c>
      <c r="G950" s="1" t="s">
        <v>805</v>
      </c>
      <c r="H950" s="1" t="s">
        <v>808</v>
      </c>
      <c r="I950" s="1" t="s">
        <v>815</v>
      </c>
      <c r="J950" s="1" t="s">
        <v>818</v>
      </c>
      <c r="K950" s="1" t="s">
        <v>820</v>
      </c>
      <c r="L950" s="1" t="s">
        <v>845</v>
      </c>
      <c r="M950" s="1">
        <v>3.16</v>
      </c>
      <c r="N950" s="1">
        <v>419.01</v>
      </c>
      <c r="O950" s="1">
        <v>1408.49</v>
      </c>
      <c r="P950" s="1">
        <v>0.09</v>
      </c>
      <c r="Q950" s="1">
        <v>1328.3</v>
      </c>
      <c r="R950" s="1">
        <v>839.24</v>
      </c>
      <c r="S950" s="1">
        <f t="shared" si="29"/>
        <v>489.05999999999995</v>
      </c>
      <c r="T950" s="1" t="s">
        <v>874</v>
      </c>
      <c r="U950" s="1" t="s">
        <v>877</v>
      </c>
      <c r="V950" s="5" t="s">
        <v>884</v>
      </c>
    </row>
    <row r="951" spans="1:22" x14ac:dyDescent="0.3">
      <c r="A951" s="4" t="s">
        <v>92</v>
      </c>
      <c r="B951" s="3">
        <v>45617</v>
      </c>
      <c r="C951" s="1" t="str">
        <f t="shared" si="28"/>
        <v>November</v>
      </c>
      <c r="D951" s="1" t="s">
        <v>448</v>
      </c>
      <c r="E951" s="1" t="s">
        <v>577</v>
      </c>
      <c r="F951" s="1" t="s">
        <v>802</v>
      </c>
      <c r="G951" s="1" t="s">
        <v>805</v>
      </c>
      <c r="H951" s="1" t="s">
        <v>808</v>
      </c>
      <c r="I951" s="1" t="s">
        <v>813</v>
      </c>
      <c r="J951" s="1" t="s">
        <v>819</v>
      </c>
      <c r="K951" s="1" t="s">
        <v>820</v>
      </c>
      <c r="L951" s="1" t="s">
        <v>860</v>
      </c>
      <c r="M951" s="1">
        <v>2.0499999999999998</v>
      </c>
      <c r="N951" s="1">
        <v>3555</v>
      </c>
      <c r="O951" s="1">
        <v>6880.09</v>
      </c>
      <c r="P951" s="1">
        <v>0.05</v>
      </c>
      <c r="Q951" s="1">
        <v>6534.87</v>
      </c>
      <c r="R951" s="1">
        <v>4993.17</v>
      </c>
      <c r="S951" s="1">
        <f t="shared" si="29"/>
        <v>1541.6999999999998</v>
      </c>
      <c r="T951" s="1" t="s">
        <v>875</v>
      </c>
      <c r="U951" s="1" t="s">
        <v>877</v>
      </c>
      <c r="V951" s="5" t="s">
        <v>884</v>
      </c>
    </row>
    <row r="952" spans="1:22" x14ac:dyDescent="0.3">
      <c r="A952" s="4" t="s">
        <v>42</v>
      </c>
      <c r="B952" s="3">
        <v>45552</v>
      </c>
      <c r="C952" s="1" t="str">
        <f t="shared" si="28"/>
        <v>September</v>
      </c>
      <c r="D952" s="1" t="s">
        <v>363</v>
      </c>
      <c r="E952" s="1" t="s">
        <v>527</v>
      </c>
      <c r="F952" s="1" t="s">
        <v>802</v>
      </c>
      <c r="G952" s="1" t="s">
        <v>806</v>
      </c>
      <c r="H952" s="1" t="s">
        <v>811</v>
      </c>
      <c r="I952" s="1" t="s">
        <v>813</v>
      </c>
      <c r="J952" s="1" t="s">
        <v>819</v>
      </c>
      <c r="K952" s="1" t="s">
        <v>820</v>
      </c>
      <c r="L952" s="1" t="s">
        <v>832</v>
      </c>
      <c r="M952" s="1">
        <v>7.28</v>
      </c>
      <c r="N952" s="1">
        <v>1815.09</v>
      </c>
      <c r="O952" s="1">
        <v>17016.16</v>
      </c>
      <c r="P952" s="1">
        <v>0.05</v>
      </c>
      <c r="Q952" s="1">
        <v>15830.46</v>
      </c>
      <c r="R952" s="1">
        <v>12204.95</v>
      </c>
      <c r="S952" s="1">
        <f t="shared" si="29"/>
        <v>3625.5099999999984</v>
      </c>
      <c r="T952" s="1" t="s">
        <v>873</v>
      </c>
      <c r="U952" s="1" t="s">
        <v>879</v>
      </c>
      <c r="V952" s="5" t="s">
        <v>882</v>
      </c>
    </row>
    <row r="953" spans="1:22" x14ac:dyDescent="0.3">
      <c r="A953" s="4" t="s">
        <v>250</v>
      </c>
      <c r="B953" s="3">
        <v>45543</v>
      </c>
      <c r="C953" s="1" t="str">
        <f t="shared" si="28"/>
        <v>September</v>
      </c>
      <c r="D953" s="1" t="s">
        <v>351</v>
      </c>
      <c r="E953" s="1" t="s">
        <v>733</v>
      </c>
      <c r="F953" s="1" t="s">
        <v>801</v>
      </c>
      <c r="G953" s="1" t="s">
        <v>804</v>
      </c>
      <c r="H953" s="1" t="s">
        <v>812</v>
      </c>
      <c r="I953" s="1" t="s">
        <v>814</v>
      </c>
      <c r="J953" s="1" t="s">
        <v>819</v>
      </c>
      <c r="K953" s="1" t="s">
        <v>822</v>
      </c>
      <c r="L953" s="1" t="s">
        <v>857</v>
      </c>
      <c r="M953" s="1">
        <v>9.3699999999999992</v>
      </c>
      <c r="N953" s="1">
        <v>2596.48</v>
      </c>
      <c r="O953" s="1">
        <v>26783.25</v>
      </c>
      <c r="P953" s="1">
        <v>0</v>
      </c>
      <c r="Q953" s="1">
        <v>24653.84</v>
      </c>
      <c r="R953" s="1">
        <v>19930.77</v>
      </c>
      <c r="S953" s="1">
        <f t="shared" si="29"/>
        <v>4723.07</v>
      </c>
      <c r="T953" s="1" t="s">
        <v>873</v>
      </c>
      <c r="U953" s="1" t="s">
        <v>877</v>
      </c>
      <c r="V953" s="5" t="s">
        <v>882</v>
      </c>
    </row>
    <row r="954" spans="1:22" x14ac:dyDescent="0.3">
      <c r="A954" s="4" t="s">
        <v>248</v>
      </c>
      <c r="B954" s="3">
        <v>45603</v>
      </c>
      <c r="C954" s="1" t="str">
        <f t="shared" si="28"/>
        <v>November</v>
      </c>
      <c r="D954" s="1" t="s">
        <v>490</v>
      </c>
      <c r="E954" s="1" t="s">
        <v>731</v>
      </c>
      <c r="F954" s="1" t="s">
        <v>802</v>
      </c>
      <c r="G954" s="1" t="s">
        <v>806</v>
      </c>
      <c r="H954" s="1" t="s">
        <v>808</v>
      </c>
      <c r="I954" s="1" t="s">
        <v>815</v>
      </c>
      <c r="J954" s="1" t="s">
        <v>817</v>
      </c>
      <c r="K954" s="1" t="s">
        <v>821</v>
      </c>
      <c r="L954" s="1" t="s">
        <v>833</v>
      </c>
      <c r="M954" s="1">
        <v>4.91</v>
      </c>
      <c r="N954" s="1">
        <v>1426.03</v>
      </c>
      <c r="O954" s="1">
        <v>7444.09</v>
      </c>
      <c r="P954" s="1">
        <v>0.15</v>
      </c>
      <c r="Q954" s="1">
        <v>6478.07</v>
      </c>
      <c r="R954" s="1">
        <v>5394.3</v>
      </c>
      <c r="S954" s="1">
        <f t="shared" si="29"/>
        <v>1083.7699999999995</v>
      </c>
      <c r="T954" s="1" t="s">
        <v>874</v>
      </c>
      <c r="U954" s="1" t="s">
        <v>877</v>
      </c>
      <c r="V954" s="5" t="s">
        <v>882</v>
      </c>
    </row>
    <row r="955" spans="1:22" x14ac:dyDescent="0.3">
      <c r="A955" s="4" t="s">
        <v>77</v>
      </c>
      <c r="B955" s="3">
        <v>45485</v>
      </c>
      <c r="C955" s="1" t="str">
        <f t="shared" si="28"/>
        <v>July</v>
      </c>
      <c r="D955" s="1" t="s">
        <v>356</v>
      </c>
      <c r="E955" s="1" t="s">
        <v>562</v>
      </c>
      <c r="F955" s="1" t="s">
        <v>803</v>
      </c>
      <c r="G955" s="1" t="s">
        <v>807</v>
      </c>
      <c r="H955" s="1" t="s">
        <v>809</v>
      </c>
      <c r="I955" s="1" t="s">
        <v>815</v>
      </c>
      <c r="J955" s="1" t="s">
        <v>819</v>
      </c>
      <c r="K955" s="1" t="s">
        <v>820</v>
      </c>
      <c r="L955" s="1" t="s">
        <v>846</v>
      </c>
      <c r="M955" s="1">
        <v>5.77</v>
      </c>
      <c r="N955" s="1">
        <v>3234.82</v>
      </c>
      <c r="O955" s="1">
        <v>21631.58</v>
      </c>
      <c r="P955" s="1">
        <v>0.17</v>
      </c>
      <c r="Q955" s="1">
        <v>18436.63</v>
      </c>
      <c r="R955" s="1">
        <v>11549.05</v>
      </c>
      <c r="S955" s="1">
        <f t="shared" si="29"/>
        <v>6887.5800000000017</v>
      </c>
      <c r="T955" s="1" t="s">
        <v>875</v>
      </c>
      <c r="U955" s="1" t="s">
        <v>878</v>
      </c>
      <c r="V955" s="5" t="s">
        <v>884</v>
      </c>
    </row>
    <row r="956" spans="1:22" x14ac:dyDescent="0.3">
      <c r="A956" s="4" t="s">
        <v>217</v>
      </c>
      <c r="B956" s="3">
        <v>45588</v>
      </c>
      <c r="C956" s="1" t="str">
        <f t="shared" si="28"/>
        <v>October</v>
      </c>
      <c r="D956" s="1" t="s">
        <v>425</v>
      </c>
      <c r="E956" s="1" t="s">
        <v>700</v>
      </c>
      <c r="F956" s="1" t="s">
        <v>802</v>
      </c>
      <c r="G956" s="1" t="s">
        <v>806</v>
      </c>
      <c r="H956" s="1" t="s">
        <v>810</v>
      </c>
      <c r="I956" s="1" t="s">
        <v>815</v>
      </c>
      <c r="J956" s="1" t="s">
        <v>819</v>
      </c>
      <c r="K956" s="1" t="s">
        <v>822</v>
      </c>
      <c r="L956" s="1" t="s">
        <v>863</v>
      </c>
      <c r="M956" s="1">
        <v>5.26</v>
      </c>
      <c r="N956" s="1">
        <v>1199.6500000000001</v>
      </c>
      <c r="O956" s="1">
        <v>6316.51</v>
      </c>
      <c r="P956" s="1">
        <v>0.05</v>
      </c>
      <c r="Q956" s="1">
        <v>6739.83</v>
      </c>
      <c r="R956" s="1">
        <v>4934.22</v>
      </c>
      <c r="S956" s="1">
        <f t="shared" si="29"/>
        <v>1805.6099999999997</v>
      </c>
      <c r="T956" s="1" t="s">
        <v>874</v>
      </c>
      <c r="U956" s="1" t="s">
        <v>879</v>
      </c>
      <c r="V956" s="5" t="s">
        <v>883</v>
      </c>
    </row>
    <row r="957" spans="1:22" x14ac:dyDescent="0.3">
      <c r="A957" s="4" t="s">
        <v>77</v>
      </c>
      <c r="B957" s="3">
        <v>45485</v>
      </c>
      <c r="C957" s="1" t="str">
        <f t="shared" si="28"/>
        <v>July</v>
      </c>
      <c r="D957" s="1" t="s">
        <v>356</v>
      </c>
      <c r="E957" s="1" t="s">
        <v>562</v>
      </c>
      <c r="F957" s="1" t="s">
        <v>803</v>
      </c>
      <c r="G957" s="1" t="s">
        <v>807</v>
      </c>
      <c r="H957" s="1" t="s">
        <v>809</v>
      </c>
      <c r="I957" s="1" t="s">
        <v>815</v>
      </c>
      <c r="J957" s="1" t="s">
        <v>819</v>
      </c>
      <c r="K957" s="1" t="s">
        <v>820</v>
      </c>
      <c r="L957" s="1" t="s">
        <v>846</v>
      </c>
      <c r="M957" s="1">
        <v>6.59</v>
      </c>
      <c r="N957" s="1">
        <v>3777.74</v>
      </c>
      <c r="O957" s="1">
        <v>21213.07</v>
      </c>
      <c r="P957" s="1">
        <v>0.15</v>
      </c>
      <c r="Q957" s="1">
        <v>19452.93</v>
      </c>
      <c r="R957" s="1">
        <v>12085.44</v>
      </c>
      <c r="S957" s="1">
        <f t="shared" si="29"/>
        <v>7367.49</v>
      </c>
      <c r="T957" s="1" t="s">
        <v>875</v>
      </c>
      <c r="U957" s="1" t="s">
        <v>878</v>
      </c>
      <c r="V957" s="5" t="s">
        <v>884</v>
      </c>
    </row>
    <row r="958" spans="1:22" x14ac:dyDescent="0.3">
      <c r="A958" s="4" t="s">
        <v>155</v>
      </c>
      <c r="B958" s="3">
        <v>45347</v>
      </c>
      <c r="C958" s="1" t="str">
        <f t="shared" si="28"/>
        <v>February</v>
      </c>
      <c r="D958" s="1" t="s">
        <v>470</v>
      </c>
      <c r="E958" s="1" t="s">
        <v>640</v>
      </c>
      <c r="F958" s="1" t="s">
        <v>803</v>
      </c>
      <c r="G958" s="1" t="s">
        <v>806</v>
      </c>
      <c r="H958" s="1" t="s">
        <v>808</v>
      </c>
      <c r="I958" s="1" t="s">
        <v>816</v>
      </c>
      <c r="J958" s="1" t="s">
        <v>819</v>
      </c>
      <c r="K958" s="1" t="s">
        <v>820</v>
      </c>
      <c r="L958" s="1" t="s">
        <v>844</v>
      </c>
      <c r="M958" s="1">
        <v>7.78</v>
      </c>
      <c r="N958" s="1">
        <v>2725.56</v>
      </c>
      <c r="O958" s="1">
        <v>25689.86</v>
      </c>
      <c r="P958" s="1">
        <v>0</v>
      </c>
      <c r="Q958" s="1">
        <v>27831.66</v>
      </c>
      <c r="R958" s="1">
        <v>15454.18</v>
      </c>
      <c r="S958" s="1">
        <f t="shared" si="29"/>
        <v>12377.48</v>
      </c>
      <c r="T958" s="1" t="s">
        <v>875</v>
      </c>
      <c r="U958" s="1" t="s">
        <v>879</v>
      </c>
      <c r="V958" s="5" t="s">
        <v>884</v>
      </c>
    </row>
    <row r="959" spans="1:22" x14ac:dyDescent="0.3">
      <c r="A959" s="4" t="s">
        <v>32</v>
      </c>
      <c r="B959" s="3">
        <v>45421</v>
      </c>
      <c r="C959" s="1" t="str">
        <f t="shared" si="28"/>
        <v>May</v>
      </c>
      <c r="D959" s="1" t="s">
        <v>331</v>
      </c>
      <c r="E959" s="1" t="s">
        <v>517</v>
      </c>
      <c r="F959" s="1" t="s">
        <v>801</v>
      </c>
      <c r="G959" s="1" t="s">
        <v>805</v>
      </c>
      <c r="H959" s="1" t="s">
        <v>811</v>
      </c>
      <c r="I959" s="1" t="s">
        <v>815</v>
      </c>
      <c r="J959" s="1" t="s">
        <v>817</v>
      </c>
      <c r="K959" s="1" t="s">
        <v>820</v>
      </c>
      <c r="L959" s="1" t="s">
        <v>834</v>
      </c>
      <c r="M959" s="1">
        <v>10.74</v>
      </c>
      <c r="N959" s="1">
        <v>1509.57</v>
      </c>
      <c r="O959" s="1">
        <v>14260.2</v>
      </c>
      <c r="P959" s="1">
        <v>0</v>
      </c>
      <c r="Q959" s="1">
        <v>16261.38</v>
      </c>
      <c r="R959" s="1">
        <v>9359.77</v>
      </c>
      <c r="S959" s="1">
        <f t="shared" si="29"/>
        <v>6901.6099999999988</v>
      </c>
      <c r="T959" s="1" t="s">
        <v>874</v>
      </c>
      <c r="U959" s="1" t="s">
        <v>879</v>
      </c>
      <c r="V959" s="5" t="s">
        <v>884</v>
      </c>
    </row>
    <row r="960" spans="1:22" x14ac:dyDescent="0.3">
      <c r="A960" s="4" t="s">
        <v>155</v>
      </c>
      <c r="B960" s="3">
        <v>45347</v>
      </c>
      <c r="C960" s="1" t="str">
        <f t="shared" si="28"/>
        <v>February</v>
      </c>
      <c r="D960" s="1" t="s">
        <v>470</v>
      </c>
      <c r="E960" s="1" t="s">
        <v>640</v>
      </c>
      <c r="F960" s="1" t="s">
        <v>803</v>
      </c>
      <c r="G960" s="1" t="s">
        <v>806</v>
      </c>
      <c r="H960" s="1" t="s">
        <v>808</v>
      </c>
      <c r="I960" s="1" t="s">
        <v>816</v>
      </c>
      <c r="J960" s="1" t="s">
        <v>819</v>
      </c>
      <c r="K960" s="1" t="s">
        <v>820</v>
      </c>
      <c r="L960" s="1" t="s">
        <v>844</v>
      </c>
      <c r="M960" s="1">
        <v>7.02</v>
      </c>
      <c r="N960" s="1">
        <v>2469.36</v>
      </c>
      <c r="O960" s="1">
        <v>24852.7</v>
      </c>
      <c r="P960" s="1">
        <v>0</v>
      </c>
      <c r="Q960" s="1">
        <v>27574.02</v>
      </c>
      <c r="R960" s="1">
        <v>14829.16</v>
      </c>
      <c r="S960" s="1">
        <f t="shared" si="29"/>
        <v>12744.86</v>
      </c>
      <c r="T960" s="1" t="s">
        <v>875</v>
      </c>
      <c r="U960" s="1" t="s">
        <v>879</v>
      </c>
      <c r="V960" s="5" t="s">
        <v>884</v>
      </c>
    </row>
    <row r="961" spans="1:22" x14ac:dyDescent="0.3">
      <c r="A961" s="4" t="s">
        <v>215</v>
      </c>
      <c r="B961" s="3">
        <v>45548</v>
      </c>
      <c r="C961" s="1" t="str">
        <f t="shared" si="28"/>
        <v>September</v>
      </c>
      <c r="D961" s="1" t="s">
        <v>333</v>
      </c>
      <c r="E961" s="1" t="s">
        <v>698</v>
      </c>
      <c r="F961" s="1" t="s">
        <v>801</v>
      </c>
      <c r="G961" s="1" t="s">
        <v>806</v>
      </c>
      <c r="H961" s="1" t="s">
        <v>811</v>
      </c>
      <c r="I961" s="1" t="s">
        <v>816</v>
      </c>
      <c r="J961" s="1" t="s">
        <v>817</v>
      </c>
      <c r="K961" s="1" t="s">
        <v>821</v>
      </c>
      <c r="L961" s="1" t="s">
        <v>840</v>
      </c>
      <c r="M961" s="1">
        <v>0.94</v>
      </c>
      <c r="N961" s="1">
        <v>2844.84</v>
      </c>
      <c r="O961" s="1">
        <v>3116.45</v>
      </c>
      <c r="P961" s="1">
        <v>0</v>
      </c>
      <c r="Q961" s="1">
        <v>2732.14</v>
      </c>
      <c r="R961" s="1">
        <v>1977.07</v>
      </c>
      <c r="S961" s="1">
        <f t="shared" si="29"/>
        <v>755.06999999999994</v>
      </c>
      <c r="T961" s="1" t="s">
        <v>876</v>
      </c>
      <c r="U961" s="1" t="s">
        <v>879</v>
      </c>
      <c r="V961" s="5" t="s">
        <v>884</v>
      </c>
    </row>
    <row r="962" spans="1:22" x14ac:dyDescent="0.3">
      <c r="A962" s="4" t="s">
        <v>155</v>
      </c>
      <c r="B962" s="3">
        <v>45347</v>
      </c>
      <c r="C962" s="1" t="str">
        <f t="shared" ref="C962:C1025" si="30">TEXT(B962,"MMMM")</f>
        <v>February</v>
      </c>
      <c r="D962" s="1" t="s">
        <v>470</v>
      </c>
      <c r="E962" s="1" t="s">
        <v>640</v>
      </c>
      <c r="F962" s="1" t="s">
        <v>803</v>
      </c>
      <c r="G962" s="1" t="s">
        <v>806</v>
      </c>
      <c r="H962" s="1" t="s">
        <v>808</v>
      </c>
      <c r="I962" s="1" t="s">
        <v>816</v>
      </c>
      <c r="J962" s="1" t="s">
        <v>819</v>
      </c>
      <c r="K962" s="1" t="s">
        <v>820</v>
      </c>
      <c r="L962" s="1" t="s">
        <v>844</v>
      </c>
      <c r="M962" s="1">
        <v>8.48</v>
      </c>
      <c r="N962" s="1">
        <v>3310.47</v>
      </c>
      <c r="O962" s="1">
        <v>27762.84</v>
      </c>
      <c r="P962" s="1">
        <v>0</v>
      </c>
      <c r="Q962" s="1">
        <v>25179.24</v>
      </c>
      <c r="R962" s="1">
        <v>16370.97</v>
      </c>
      <c r="S962" s="1">
        <f t="shared" ref="S962:S1025" si="31">Q962-R962</f>
        <v>8808.2700000000023</v>
      </c>
      <c r="T962" s="1" t="s">
        <v>875</v>
      </c>
      <c r="U962" s="1" t="s">
        <v>879</v>
      </c>
      <c r="V962" s="5" t="s">
        <v>884</v>
      </c>
    </row>
    <row r="963" spans="1:22" x14ac:dyDescent="0.3">
      <c r="A963" s="4" t="s">
        <v>102</v>
      </c>
      <c r="B963" s="3">
        <v>45582</v>
      </c>
      <c r="C963" s="1" t="str">
        <f t="shared" si="30"/>
        <v>October</v>
      </c>
      <c r="D963" s="1" t="s">
        <v>392</v>
      </c>
      <c r="E963" s="1" t="s">
        <v>587</v>
      </c>
      <c r="F963" s="1" t="s">
        <v>802</v>
      </c>
      <c r="G963" s="1" t="s">
        <v>807</v>
      </c>
      <c r="H963" s="1" t="s">
        <v>808</v>
      </c>
      <c r="I963" s="1" t="s">
        <v>813</v>
      </c>
      <c r="J963" s="1" t="s">
        <v>817</v>
      </c>
      <c r="K963" s="1" t="s">
        <v>822</v>
      </c>
      <c r="L963" s="1" t="s">
        <v>825</v>
      </c>
      <c r="M963" s="1">
        <v>4.62</v>
      </c>
      <c r="N963" s="1">
        <v>638.47</v>
      </c>
      <c r="O963" s="1">
        <v>3552.83</v>
      </c>
      <c r="P963" s="1">
        <v>0.1</v>
      </c>
      <c r="Q963" s="1">
        <v>3235.49</v>
      </c>
      <c r="R963" s="1">
        <v>2553.9499999999998</v>
      </c>
      <c r="S963" s="1">
        <f t="shared" si="31"/>
        <v>681.54</v>
      </c>
      <c r="T963" s="1" t="s">
        <v>873</v>
      </c>
      <c r="U963" s="1" t="s">
        <v>880</v>
      </c>
      <c r="V963" s="5" t="s">
        <v>882</v>
      </c>
    </row>
    <row r="964" spans="1:22" x14ac:dyDescent="0.3">
      <c r="A964" s="4" t="s">
        <v>90</v>
      </c>
      <c r="B964" s="3">
        <v>45338</v>
      </c>
      <c r="C964" s="1" t="str">
        <f t="shared" si="30"/>
        <v>February</v>
      </c>
      <c r="D964" s="1" t="s">
        <v>373</v>
      </c>
      <c r="E964" s="1" t="s">
        <v>575</v>
      </c>
      <c r="F964" s="1" t="s">
        <v>803</v>
      </c>
      <c r="G964" s="1" t="s">
        <v>804</v>
      </c>
      <c r="H964" s="1" t="s">
        <v>808</v>
      </c>
      <c r="I964" s="1" t="s">
        <v>813</v>
      </c>
      <c r="J964" s="1" t="s">
        <v>818</v>
      </c>
      <c r="K964" s="1" t="s">
        <v>822</v>
      </c>
      <c r="L964" s="1" t="s">
        <v>859</v>
      </c>
      <c r="M964" s="1">
        <v>9.07</v>
      </c>
      <c r="N964" s="1">
        <v>2605.7199999999998</v>
      </c>
      <c r="O964" s="1">
        <v>31546.05</v>
      </c>
      <c r="P964" s="1">
        <v>0.16</v>
      </c>
      <c r="Q964" s="1">
        <v>28213.29</v>
      </c>
      <c r="R964" s="1">
        <v>17309.93</v>
      </c>
      <c r="S964" s="1">
        <f t="shared" si="31"/>
        <v>10903.36</v>
      </c>
      <c r="T964" s="1" t="s">
        <v>874</v>
      </c>
      <c r="U964" s="1" t="s">
        <v>881</v>
      </c>
      <c r="V964" s="5" t="s">
        <v>882</v>
      </c>
    </row>
    <row r="965" spans="1:22" x14ac:dyDescent="0.3">
      <c r="A965" s="4" t="s">
        <v>119</v>
      </c>
      <c r="B965" s="3">
        <v>45490</v>
      </c>
      <c r="C965" s="1" t="str">
        <f t="shared" si="30"/>
        <v>July</v>
      </c>
      <c r="D965" s="1" t="s">
        <v>329</v>
      </c>
      <c r="E965" s="1" t="s">
        <v>604</v>
      </c>
      <c r="F965" s="1" t="s">
        <v>802</v>
      </c>
      <c r="G965" s="1" t="s">
        <v>807</v>
      </c>
      <c r="H965" s="1" t="s">
        <v>811</v>
      </c>
      <c r="I965" s="1" t="s">
        <v>809</v>
      </c>
      <c r="J965" s="1" t="s">
        <v>817</v>
      </c>
      <c r="K965" s="1" t="s">
        <v>822</v>
      </c>
      <c r="L965" s="1" t="s">
        <v>854</v>
      </c>
      <c r="M965" s="1">
        <v>1.18</v>
      </c>
      <c r="N965" s="1">
        <v>482.7</v>
      </c>
      <c r="O965" s="1">
        <v>379.86</v>
      </c>
      <c r="P965" s="1">
        <v>0.14000000000000001</v>
      </c>
      <c r="Q965" s="1">
        <v>302.64</v>
      </c>
      <c r="R965" s="1">
        <v>294.82</v>
      </c>
      <c r="S965" s="1">
        <f t="shared" si="31"/>
        <v>7.8199999999999932</v>
      </c>
      <c r="T965" s="1" t="s">
        <v>873</v>
      </c>
      <c r="U965" s="1" t="s">
        <v>877</v>
      </c>
      <c r="V965" s="5" t="s">
        <v>883</v>
      </c>
    </row>
    <row r="966" spans="1:22" x14ac:dyDescent="0.3">
      <c r="A966" s="4" t="s">
        <v>81</v>
      </c>
      <c r="B966" s="3">
        <v>45544</v>
      </c>
      <c r="C966" s="1" t="str">
        <f t="shared" si="30"/>
        <v>September</v>
      </c>
      <c r="D966" s="1" t="s">
        <v>323</v>
      </c>
      <c r="E966" s="1" t="s">
        <v>566</v>
      </c>
      <c r="F966" s="1" t="s">
        <v>802</v>
      </c>
      <c r="G966" s="1" t="s">
        <v>806</v>
      </c>
      <c r="H966" s="1" t="s">
        <v>812</v>
      </c>
      <c r="I966" s="1" t="s">
        <v>815</v>
      </c>
      <c r="J966" s="1" t="s">
        <v>819</v>
      </c>
      <c r="K966" s="1" t="s">
        <v>822</v>
      </c>
      <c r="L966" s="1" t="s">
        <v>854</v>
      </c>
      <c r="M966" s="1">
        <v>8.09</v>
      </c>
      <c r="N966" s="1">
        <v>987.46</v>
      </c>
      <c r="O966" s="1">
        <v>6484.46</v>
      </c>
      <c r="P966" s="1">
        <v>0.09</v>
      </c>
      <c r="Q966" s="1">
        <v>6623.93</v>
      </c>
      <c r="R966" s="1">
        <v>5132.53</v>
      </c>
      <c r="S966" s="1">
        <f t="shared" si="31"/>
        <v>1491.4000000000005</v>
      </c>
      <c r="T966" s="1" t="s">
        <v>876</v>
      </c>
      <c r="U966" s="1" t="s">
        <v>881</v>
      </c>
      <c r="V966" s="5" t="s">
        <v>882</v>
      </c>
    </row>
    <row r="967" spans="1:22" x14ac:dyDescent="0.3">
      <c r="A967" s="4" t="s">
        <v>132</v>
      </c>
      <c r="B967" s="3">
        <v>45476</v>
      </c>
      <c r="C967" s="1" t="str">
        <f t="shared" si="30"/>
        <v>July</v>
      </c>
      <c r="D967" s="1" t="s">
        <v>404</v>
      </c>
      <c r="E967" s="1" t="s">
        <v>617</v>
      </c>
      <c r="F967" s="1" t="s">
        <v>803</v>
      </c>
      <c r="G967" s="1" t="s">
        <v>805</v>
      </c>
      <c r="H967" s="1" t="s">
        <v>811</v>
      </c>
      <c r="I967" s="1" t="s">
        <v>813</v>
      </c>
      <c r="J967" s="1" t="s">
        <v>817</v>
      </c>
      <c r="K967" s="1" t="s">
        <v>820</v>
      </c>
      <c r="L967" s="1" t="s">
        <v>850</v>
      </c>
      <c r="M967" s="1">
        <v>10.53</v>
      </c>
      <c r="N967" s="1">
        <v>520.37</v>
      </c>
      <c r="O967" s="1">
        <v>5016.38</v>
      </c>
      <c r="P967" s="1">
        <v>0</v>
      </c>
      <c r="Q967" s="1">
        <v>4842.99</v>
      </c>
      <c r="R967" s="1">
        <v>4552.0600000000004</v>
      </c>
      <c r="S967" s="1">
        <f t="shared" si="31"/>
        <v>290.92999999999938</v>
      </c>
      <c r="T967" s="1" t="s">
        <v>873</v>
      </c>
      <c r="U967" s="1" t="s">
        <v>880</v>
      </c>
      <c r="V967" s="5" t="s">
        <v>884</v>
      </c>
    </row>
    <row r="968" spans="1:22" x14ac:dyDescent="0.3">
      <c r="A968" s="4" t="s">
        <v>147</v>
      </c>
      <c r="B968" s="3">
        <v>45384</v>
      </c>
      <c r="C968" s="1" t="str">
        <f t="shared" si="30"/>
        <v>April</v>
      </c>
      <c r="D968" s="1" t="s">
        <v>430</v>
      </c>
      <c r="E968" s="1" t="s">
        <v>632</v>
      </c>
      <c r="F968" s="1" t="s">
        <v>803</v>
      </c>
      <c r="G968" s="1" t="s">
        <v>806</v>
      </c>
      <c r="H968" s="1" t="s">
        <v>809</v>
      </c>
      <c r="I968" s="1" t="s">
        <v>816</v>
      </c>
      <c r="J968" s="1" t="s">
        <v>819</v>
      </c>
      <c r="K968" s="1" t="s">
        <v>820</v>
      </c>
      <c r="L968" s="1" t="s">
        <v>831</v>
      </c>
      <c r="M968" s="1">
        <v>13.96</v>
      </c>
      <c r="N968" s="1">
        <v>1334.47</v>
      </c>
      <c r="O968" s="1">
        <v>14519.13</v>
      </c>
      <c r="P968" s="1">
        <v>0.11</v>
      </c>
      <c r="Q968" s="1">
        <v>14615.33</v>
      </c>
      <c r="R968" s="1">
        <v>9011.4</v>
      </c>
      <c r="S968" s="1">
        <f t="shared" si="31"/>
        <v>5603.93</v>
      </c>
      <c r="T968" s="1" t="s">
        <v>873</v>
      </c>
      <c r="U968" s="1" t="s">
        <v>877</v>
      </c>
      <c r="V968" s="5" t="s">
        <v>882</v>
      </c>
    </row>
    <row r="969" spans="1:22" x14ac:dyDescent="0.3">
      <c r="A969" s="4" t="s">
        <v>298</v>
      </c>
      <c r="B969" s="3">
        <v>45515</v>
      </c>
      <c r="C969" s="1" t="str">
        <f t="shared" si="30"/>
        <v>August</v>
      </c>
      <c r="D969" s="1" t="s">
        <v>482</v>
      </c>
      <c r="E969" s="1" t="s">
        <v>780</v>
      </c>
      <c r="F969" s="1" t="s">
        <v>801</v>
      </c>
      <c r="G969" s="1" t="s">
        <v>804</v>
      </c>
      <c r="H969" s="1" t="s">
        <v>809</v>
      </c>
      <c r="I969" s="1" t="s">
        <v>809</v>
      </c>
      <c r="J969" s="1" t="s">
        <v>819</v>
      </c>
      <c r="K969" s="1" t="s">
        <v>820</v>
      </c>
      <c r="L969" s="1" t="s">
        <v>833</v>
      </c>
      <c r="M969" s="1">
        <v>2.71</v>
      </c>
      <c r="N969" s="1">
        <v>432.01</v>
      </c>
      <c r="O969" s="1">
        <v>1446.91</v>
      </c>
      <c r="P969" s="1">
        <v>0.05</v>
      </c>
      <c r="Q969" s="1">
        <v>1356.37</v>
      </c>
      <c r="R969" s="1">
        <v>903.54</v>
      </c>
      <c r="S969" s="1">
        <f t="shared" si="31"/>
        <v>452.82999999999993</v>
      </c>
      <c r="T969" s="1" t="s">
        <v>876</v>
      </c>
      <c r="U969" s="1" t="s">
        <v>879</v>
      </c>
      <c r="V969" s="5" t="s">
        <v>884</v>
      </c>
    </row>
    <row r="970" spans="1:22" x14ac:dyDescent="0.3">
      <c r="A970" s="4" t="s">
        <v>37</v>
      </c>
      <c r="B970" s="3">
        <v>45494</v>
      </c>
      <c r="C970" s="1" t="str">
        <f t="shared" si="30"/>
        <v>July</v>
      </c>
      <c r="D970" s="1" t="s">
        <v>427</v>
      </c>
      <c r="E970" s="1" t="s">
        <v>522</v>
      </c>
      <c r="F970" s="1" t="s">
        <v>803</v>
      </c>
      <c r="G970" s="1" t="s">
        <v>804</v>
      </c>
      <c r="H970" s="1" t="s">
        <v>810</v>
      </c>
      <c r="I970" s="1" t="s">
        <v>814</v>
      </c>
      <c r="J970" s="1" t="s">
        <v>819</v>
      </c>
      <c r="K970" s="1" t="s">
        <v>821</v>
      </c>
      <c r="L970" s="1" t="s">
        <v>838</v>
      </c>
      <c r="M970" s="1">
        <v>7.45</v>
      </c>
      <c r="N970" s="1">
        <v>2888.93</v>
      </c>
      <c r="O970" s="1">
        <v>18281.54</v>
      </c>
      <c r="P970" s="1">
        <v>0</v>
      </c>
      <c r="Q970" s="1">
        <v>19428.7</v>
      </c>
      <c r="R970" s="1">
        <v>14843.24</v>
      </c>
      <c r="S970" s="1">
        <f t="shared" si="31"/>
        <v>4585.4600000000009</v>
      </c>
      <c r="T970" s="1" t="s">
        <v>873</v>
      </c>
      <c r="U970" s="1" t="s">
        <v>879</v>
      </c>
      <c r="V970" s="5" t="s">
        <v>882</v>
      </c>
    </row>
    <row r="971" spans="1:22" x14ac:dyDescent="0.3">
      <c r="A971" s="4" t="s">
        <v>283</v>
      </c>
      <c r="B971" s="3">
        <v>45609</v>
      </c>
      <c r="C971" s="1" t="str">
        <f t="shared" si="30"/>
        <v>November</v>
      </c>
      <c r="D971" s="1" t="s">
        <v>473</v>
      </c>
      <c r="E971" s="1" t="s">
        <v>766</v>
      </c>
      <c r="F971" s="1" t="s">
        <v>801</v>
      </c>
      <c r="G971" s="1" t="s">
        <v>805</v>
      </c>
      <c r="H971" s="1" t="s">
        <v>812</v>
      </c>
      <c r="I971" s="1" t="s">
        <v>809</v>
      </c>
      <c r="J971" s="1" t="s">
        <v>817</v>
      </c>
      <c r="K971" s="1" t="s">
        <v>821</v>
      </c>
      <c r="L971" s="1" t="s">
        <v>871</v>
      </c>
      <c r="M971" s="1">
        <v>9.0500000000000007</v>
      </c>
      <c r="N971" s="1">
        <v>1948.89</v>
      </c>
      <c r="O971" s="1">
        <v>14374.55</v>
      </c>
      <c r="P971" s="1">
        <v>0.1</v>
      </c>
      <c r="Q971" s="1">
        <v>11604.1</v>
      </c>
      <c r="R971" s="1">
        <v>8096.64</v>
      </c>
      <c r="S971" s="1">
        <f t="shared" si="31"/>
        <v>3507.46</v>
      </c>
      <c r="T971" s="1" t="s">
        <v>873</v>
      </c>
      <c r="U971" s="1" t="s">
        <v>880</v>
      </c>
      <c r="V971" s="5" t="s">
        <v>884</v>
      </c>
    </row>
    <row r="972" spans="1:22" x14ac:dyDescent="0.3">
      <c r="A972" s="4" t="s">
        <v>78</v>
      </c>
      <c r="B972" s="3">
        <v>45450</v>
      </c>
      <c r="C972" s="1" t="str">
        <f t="shared" si="30"/>
        <v>June</v>
      </c>
      <c r="D972" s="1" t="s">
        <v>319</v>
      </c>
      <c r="E972" s="1" t="s">
        <v>563</v>
      </c>
      <c r="F972" s="1" t="s">
        <v>801</v>
      </c>
      <c r="G972" s="1" t="s">
        <v>806</v>
      </c>
      <c r="H972" s="1" t="s">
        <v>812</v>
      </c>
      <c r="I972" s="1" t="s">
        <v>815</v>
      </c>
      <c r="J972" s="1" t="s">
        <v>818</v>
      </c>
      <c r="K972" s="1" t="s">
        <v>822</v>
      </c>
      <c r="L972" s="1" t="s">
        <v>856</v>
      </c>
      <c r="M972" s="1">
        <v>6.65</v>
      </c>
      <c r="N972" s="1">
        <v>689.76</v>
      </c>
      <c r="O972" s="1">
        <v>4925.5200000000004</v>
      </c>
      <c r="P972" s="1">
        <v>0.13</v>
      </c>
      <c r="Q972" s="1">
        <v>4080.9</v>
      </c>
      <c r="R972" s="1">
        <v>2687.3</v>
      </c>
      <c r="S972" s="1">
        <f t="shared" si="31"/>
        <v>1393.6</v>
      </c>
      <c r="T972" s="1" t="s">
        <v>873</v>
      </c>
      <c r="U972" s="1" t="s">
        <v>880</v>
      </c>
      <c r="V972" s="5" t="s">
        <v>883</v>
      </c>
    </row>
    <row r="973" spans="1:22" x14ac:dyDescent="0.3">
      <c r="A973" s="4" t="s">
        <v>143</v>
      </c>
      <c r="B973" s="3">
        <v>45323</v>
      </c>
      <c r="C973" s="1" t="str">
        <f t="shared" si="30"/>
        <v>February</v>
      </c>
      <c r="D973" s="1" t="s">
        <v>469</v>
      </c>
      <c r="E973" s="1" t="s">
        <v>628</v>
      </c>
      <c r="F973" s="1" t="s">
        <v>803</v>
      </c>
      <c r="G973" s="1" t="s">
        <v>807</v>
      </c>
      <c r="H973" s="1" t="s">
        <v>808</v>
      </c>
      <c r="I973" s="1" t="s">
        <v>816</v>
      </c>
      <c r="J973" s="1" t="s">
        <v>817</v>
      </c>
      <c r="K973" s="1" t="s">
        <v>822</v>
      </c>
      <c r="L973" s="1" t="s">
        <v>867</v>
      </c>
      <c r="M973" s="1">
        <v>9.98</v>
      </c>
      <c r="N973" s="1">
        <v>2362.9299999999998</v>
      </c>
      <c r="O973" s="1">
        <v>29870.81</v>
      </c>
      <c r="P973" s="1">
        <v>0.09</v>
      </c>
      <c r="Q973" s="1">
        <v>25090.17</v>
      </c>
      <c r="R973" s="1">
        <v>24092.62</v>
      </c>
      <c r="S973" s="1">
        <f t="shared" si="31"/>
        <v>997.54999999999927</v>
      </c>
      <c r="T973" s="1" t="s">
        <v>873</v>
      </c>
      <c r="U973" s="1" t="s">
        <v>881</v>
      </c>
      <c r="V973" s="5" t="s">
        <v>882</v>
      </c>
    </row>
    <row r="974" spans="1:22" x14ac:dyDescent="0.3">
      <c r="A974" s="4" t="s">
        <v>107</v>
      </c>
      <c r="B974" s="3">
        <v>45426</v>
      </c>
      <c r="C974" s="1" t="str">
        <f t="shared" si="30"/>
        <v>May</v>
      </c>
      <c r="D974" s="1" t="s">
        <v>454</v>
      </c>
      <c r="E974" s="1" t="s">
        <v>592</v>
      </c>
      <c r="F974" s="1" t="s">
        <v>801</v>
      </c>
      <c r="G974" s="1" t="s">
        <v>807</v>
      </c>
      <c r="H974" s="1" t="s">
        <v>810</v>
      </c>
      <c r="I974" s="1" t="s">
        <v>809</v>
      </c>
      <c r="J974" s="1" t="s">
        <v>818</v>
      </c>
      <c r="K974" s="1" t="s">
        <v>820</v>
      </c>
      <c r="L974" s="1" t="s">
        <v>835</v>
      </c>
      <c r="M974" s="1">
        <v>0.94</v>
      </c>
      <c r="N974" s="1">
        <v>1400.83</v>
      </c>
      <c r="O974" s="1">
        <v>1320.87</v>
      </c>
      <c r="P974" s="1">
        <v>0.15</v>
      </c>
      <c r="Q974" s="1">
        <v>1175.2</v>
      </c>
      <c r="R974" s="1">
        <v>758.33</v>
      </c>
      <c r="S974" s="1">
        <f t="shared" si="31"/>
        <v>416.87</v>
      </c>
      <c r="T974" s="1" t="s">
        <v>874</v>
      </c>
      <c r="U974" s="1" t="s">
        <v>880</v>
      </c>
      <c r="V974" s="5" t="s">
        <v>883</v>
      </c>
    </row>
    <row r="975" spans="1:22" x14ac:dyDescent="0.3">
      <c r="A975" s="4" t="s">
        <v>264</v>
      </c>
      <c r="B975" s="3">
        <v>45359</v>
      </c>
      <c r="C975" s="1" t="str">
        <f t="shared" si="30"/>
        <v>March</v>
      </c>
      <c r="D975" s="1" t="s">
        <v>381</v>
      </c>
      <c r="E975" s="1" t="s">
        <v>747</v>
      </c>
      <c r="F975" s="1" t="s">
        <v>801</v>
      </c>
      <c r="G975" s="1" t="s">
        <v>806</v>
      </c>
      <c r="H975" s="1" t="s">
        <v>809</v>
      </c>
      <c r="I975" s="1" t="s">
        <v>815</v>
      </c>
      <c r="J975" s="1" t="s">
        <v>817</v>
      </c>
      <c r="K975" s="1" t="s">
        <v>821</v>
      </c>
      <c r="L975" s="1" t="s">
        <v>841</v>
      </c>
      <c r="M975" s="1">
        <v>10.32</v>
      </c>
      <c r="N975" s="1">
        <v>2648.42</v>
      </c>
      <c r="O975" s="1">
        <v>34287.1</v>
      </c>
      <c r="P975" s="1">
        <v>0</v>
      </c>
      <c r="Q975" s="1">
        <v>32062.48</v>
      </c>
      <c r="R975" s="1">
        <v>21622.59</v>
      </c>
      <c r="S975" s="1">
        <f t="shared" si="31"/>
        <v>10439.89</v>
      </c>
      <c r="T975" s="1" t="s">
        <v>874</v>
      </c>
      <c r="U975" s="1" t="s">
        <v>880</v>
      </c>
      <c r="V975" s="5" t="s">
        <v>884</v>
      </c>
    </row>
    <row r="976" spans="1:22" x14ac:dyDescent="0.3">
      <c r="A976" s="4" t="s">
        <v>252</v>
      </c>
      <c r="B976" s="3">
        <v>45505</v>
      </c>
      <c r="C976" s="1" t="str">
        <f t="shared" si="30"/>
        <v>August</v>
      </c>
      <c r="D976" s="1" t="s">
        <v>493</v>
      </c>
      <c r="E976" s="1" t="s">
        <v>735</v>
      </c>
      <c r="F976" s="1" t="s">
        <v>801</v>
      </c>
      <c r="G976" s="1" t="s">
        <v>807</v>
      </c>
      <c r="H976" s="1" t="s">
        <v>810</v>
      </c>
      <c r="I976" s="1" t="s">
        <v>814</v>
      </c>
      <c r="J976" s="1" t="s">
        <v>817</v>
      </c>
      <c r="K976" s="1" t="s">
        <v>820</v>
      </c>
      <c r="L976" s="1" t="s">
        <v>869</v>
      </c>
      <c r="M976" s="1">
        <v>10.42</v>
      </c>
      <c r="N976" s="1">
        <v>850.69</v>
      </c>
      <c r="O976" s="1">
        <v>8512.9</v>
      </c>
      <c r="P976" s="1">
        <v>0.16</v>
      </c>
      <c r="Q976" s="1">
        <v>6609.5</v>
      </c>
      <c r="R976" s="1">
        <v>5593.36</v>
      </c>
      <c r="S976" s="1">
        <f t="shared" si="31"/>
        <v>1016.1400000000003</v>
      </c>
      <c r="T976" s="1" t="s">
        <v>874</v>
      </c>
      <c r="U976" s="1" t="s">
        <v>881</v>
      </c>
      <c r="V976" s="5" t="s">
        <v>884</v>
      </c>
    </row>
    <row r="977" spans="1:22" x14ac:dyDescent="0.3">
      <c r="A977" s="4" t="s">
        <v>66</v>
      </c>
      <c r="B977" s="3">
        <v>45374</v>
      </c>
      <c r="C977" s="1" t="str">
        <f t="shared" si="30"/>
        <v>March</v>
      </c>
      <c r="D977" s="1" t="s">
        <v>334</v>
      </c>
      <c r="E977" s="1" t="s">
        <v>551</v>
      </c>
      <c r="F977" s="1" t="s">
        <v>801</v>
      </c>
      <c r="G977" s="1" t="s">
        <v>805</v>
      </c>
      <c r="H977" s="1" t="s">
        <v>811</v>
      </c>
      <c r="I977" s="1" t="s">
        <v>813</v>
      </c>
      <c r="J977" s="1" t="s">
        <v>818</v>
      </c>
      <c r="K977" s="1" t="s">
        <v>820</v>
      </c>
      <c r="L977" s="1" t="s">
        <v>829</v>
      </c>
      <c r="M977" s="1">
        <v>4.67</v>
      </c>
      <c r="N977" s="1">
        <v>1795.07</v>
      </c>
      <c r="O977" s="1">
        <v>8288.32</v>
      </c>
      <c r="P977" s="1">
        <v>0.14000000000000001</v>
      </c>
      <c r="Q977" s="1">
        <v>6420.61</v>
      </c>
      <c r="R977" s="1">
        <v>5121.6099999999997</v>
      </c>
      <c r="S977" s="1">
        <f t="shared" si="31"/>
        <v>1299</v>
      </c>
      <c r="T977" s="1" t="s">
        <v>876</v>
      </c>
      <c r="U977" s="1" t="s">
        <v>880</v>
      </c>
      <c r="V977" s="5" t="s">
        <v>884</v>
      </c>
    </row>
    <row r="978" spans="1:22" x14ac:dyDescent="0.3">
      <c r="A978" s="4" t="s">
        <v>299</v>
      </c>
      <c r="B978" s="3">
        <v>45611</v>
      </c>
      <c r="C978" s="1" t="str">
        <f t="shared" si="30"/>
        <v>November</v>
      </c>
      <c r="D978" s="1" t="s">
        <v>417</v>
      </c>
      <c r="E978" s="1" t="s">
        <v>781</v>
      </c>
      <c r="F978" s="1" t="s">
        <v>801</v>
      </c>
      <c r="G978" s="1" t="s">
        <v>805</v>
      </c>
      <c r="H978" s="1" t="s">
        <v>809</v>
      </c>
      <c r="I978" s="1" t="s">
        <v>809</v>
      </c>
      <c r="J978" s="1" t="s">
        <v>818</v>
      </c>
      <c r="K978" s="1" t="s">
        <v>820</v>
      </c>
      <c r="L978" s="1" t="s">
        <v>837</v>
      </c>
      <c r="M978" s="1">
        <v>8.86</v>
      </c>
      <c r="N978" s="1">
        <v>2039.37</v>
      </c>
      <c r="O978" s="1">
        <v>13499.22</v>
      </c>
      <c r="P978" s="1">
        <v>0.05</v>
      </c>
      <c r="Q978" s="1">
        <v>14016.99</v>
      </c>
      <c r="R978" s="1">
        <v>7908.66</v>
      </c>
      <c r="S978" s="1">
        <f t="shared" si="31"/>
        <v>6108.33</v>
      </c>
      <c r="T978" s="1" t="s">
        <v>873</v>
      </c>
      <c r="U978" s="1" t="s">
        <v>878</v>
      </c>
      <c r="V978" s="5" t="s">
        <v>883</v>
      </c>
    </row>
    <row r="979" spans="1:22" x14ac:dyDescent="0.3">
      <c r="A979" s="4" t="s">
        <v>205</v>
      </c>
      <c r="B979" s="3">
        <v>45516</v>
      </c>
      <c r="C979" s="1" t="str">
        <f t="shared" si="30"/>
        <v>August</v>
      </c>
      <c r="D979" s="1" t="s">
        <v>482</v>
      </c>
      <c r="E979" s="1" t="s">
        <v>689</v>
      </c>
      <c r="F979" s="1" t="s">
        <v>801</v>
      </c>
      <c r="G979" s="1" t="s">
        <v>807</v>
      </c>
      <c r="H979" s="1" t="s">
        <v>809</v>
      </c>
      <c r="I979" s="1" t="s">
        <v>816</v>
      </c>
      <c r="J979" s="1" t="s">
        <v>818</v>
      </c>
      <c r="K979" s="1" t="s">
        <v>821</v>
      </c>
      <c r="L979" s="1" t="s">
        <v>836</v>
      </c>
      <c r="M979" s="1">
        <v>9.4</v>
      </c>
      <c r="N979" s="1">
        <v>3703.86</v>
      </c>
      <c r="O979" s="1">
        <v>30686.04</v>
      </c>
      <c r="P979" s="1">
        <v>0.05</v>
      </c>
      <c r="Q979" s="1">
        <v>34493.449999999997</v>
      </c>
      <c r="R979" s="1">
        <v>30075.87</v>
      </c>
      <c r="S979" s="1">
        <f t="shared" si="31"/>
        <v>4417.5799999999981</v>
      </c>
      <c r="T979" s="1" t="s">
        <v>875</v>
      </c>
      <c r="U979" s="1" t="s">
        <v>878</v>
      </c>
      <c r="V979" s="5" t="s">
        <v>882</v>
      </c>
    </row>
    <row r="980" spans="1:22" x14ac:dyDescent="0.3">
      <c r="A980" s="4" t="s">
        <v>115</v>
      </c>
      <c r="B980" s="3">
        <v>45426</v>
      </c>
      <c r="C980" s="1" t="str">
        <f t="shared" si="30"/>
        <v>May</v>
      </c>
      <c r="D980" s="1" t="s">
        <v>336</v>
      </c>
      <c r="E980" s="1" t="s">
        <v>600</v>
      </c>
      <c r="F980" s="1" t="s">
        <v>801</v>
      </c>
      <c r="G980" s="1" t="s">
        <v>806</v>
      </c>
      <c r="H980" s="1" t="s">
        <v>808</v>
      </c>
      <c r="I980" s="1" t="s">
        <v>814</v>
      </c>
      <c r="J980" s="1" t="s">
        <v>818</v>
      </c>
      <c r="K980" s="1" t="s">
        <v>821</v>
      </c>
      <c r="L980" s="1" t="s">
        <v>848</v>
      </c>
      <c r="M980" s="1">
        <v>9.89</v>
      </c>
      <c r="N980" s="1">
        <v>1867.55</v>
      </c>
      <c r="O980" s="1">
        <v>20272.46</v>
      </c>
      <c r="P980" s="1">
        <v>0.16</v>
      </c>
      <c r="Q980" s="1">
        <v>13300.55</v>
      </c>
      <c r="R980" s="1">
        <v>12226.92</v>
      </c>
      <c r="S980" s="1">
        <f t="shared" si="31"/>
        <v>1073.6299999999992</v>
      </c>
      <c r="T980" s="1" t="s">
        <v>876</v>
      </c>
      <c r="U980" s="1" t="s">
        <v>879</v>
      </c>
      <c r="V980" s="5" t="s">
        <v>883</v>
      </c>
    </row>
    <row r="981" spans="1:22" x14ac:dyDescent="0.3">
      <c r="A981" s="4" t="s">
        <v>205</v>
      </c>
      <c r="B981" s="3">
        <v>45516</v>
      </c>
      <c r="C981" s="1" t="str">
        <f t="shared" si="30"/>
        <v>August</v>
      </c>
      <c r="D981" s="1" t="s">
        <v>482</v>
      </c>
      <c r="E981" s="1" t="s">
        <v>689</v>
      </c>
      <c r="F981" s="1" t="s">
        <v>801</v>
      </c>
      <c r="G981" s="1" t="s">
        <v>807</v>
      </c>
      <c r="H981" s="1" t="s">
        <v>809</v>
      </c>
      <c r="I981" s="1" t="s">
        <v>816</v>
      </c>
      <c r="J981" s="1" t="s">
        <v>818</v>
      </c>
      <c r="K981" s="1" t="s">
        <v>821</v>
      </c>
      <c r="L981" s="1" t="s">
        <v>836</v>
      </c>
      <c r="M981" s="1">
        <v>10.49</v>
      </c>
      <c r="N981" s="1">
        <v>3485.17</v>
      </c>
      <c r="O981" s="1">
        <v>44423.66</v>
      </c>
      <c r="P981" s="1">
        <v>0.05</v>
      </c>
      <c r="Q981" s="1">
        <v>40946.410000000003</v>
      </c>
      <c r="R981" s="1">
        <v>29891.95</v>
      </c>
      <c r="S981" s="1">
        <f t="shared" si="31"/>
        <v>11054.460000000003</v>
      </c>
      <c r="T981" s="1" t="s">
        <v>875</v>
      </c>
      <c r="U981" s="1" t="s">
        <v>878</v>
      </c>
      <c r="V981" s="5" t="s">
        <v>882</v>
      </c>
    </row>
    <row r="982" spans="1:22" x14ac:dyDescent="0.3">
      <c r="A982" s="4" t="s">
        <v>48</v>
      </c>
      <c r="B982" s="3">
        <v>45358</v>
      </c>
      <c r="C982" s="1" t="str">
        <f t="shared" si="30"/>
        <v>March</v>
      </c>
      <c r="D982" s="1" t="s">
        <v>419</v>
      </c>
      <c r="E982" s="1" t="s">
        <v>533</v>
      </c>
      <c r="F982" s="1" t="s">
        <v>803</v>
      </c>
      <c r="G982" s="1" t="s">
        <v>806</v>
      </c>
      <c r="H982" s="1" t="s">
        <v>810</v>
      </c>
      <c r="I982" s="1" t="s">
        <v>815</v>
      </c>
      <c r="J982" s="1" t="s">
        <v>818</v>
      </c>
      <c r="K982" s="1" t="s">
        <v>822</v>
      </c>
      <c r="L982" s="1" t="s">
        <v>840</v>
      </c>
      <c r="M982" s="1">
        <v>10.25</v>
      </c>
      <c r="N982" s="1">
        <v>2309.96</v>
      </c>
      <c r="O982" s="1">
        <v>22892.87</v>
      </c>
      <c r="P982" s="1">
        <v>0</v>
      </c>
      <c r="Q982" s="1">
        <v>24238.48</v>
      </c>
      <c r="R982" s="1">
        <v>20567.740000000002</v>
      </c>
      <c r="S982" s="1">
        <f t="shared" si="31"/>
        <v>3670.739999999998</v>
      </c>
      <c r="T982" s="1" t="s">
        <v>875</v>
      </c>
      <c r="U982" s="1" t="s">
        <v>879</v>
      </c>
      <c r="V982" s="5" t="s">
        <v>884</v>
      </c>
    </row>
    <row r="983" spans="1:22" x14ac:dyDescent="0.3">
      <c r="A983" s="4" t="s">
        <v>62</v>
      </c>
      <c r="B983" s="3">
        <v>45453</v>
      </c>
      <c r="C983" s="1" t="str">
        <f t="shared" si="30"/>
        <v>June</v>
      </c>
      <c r="D983" s="1" t="s">
        <v>449</v>
      </c>
      <c r="E983" s="1" t="s">
        <v>547</v>
      </c>
      <c r="F983" s="1" t="s">
        <v>803</v>
      </c>
      <c r="G983" s="1" t="s">
        <v>804</v>
      </c>
      <c r="H983" s="1" t="s">
        <v>812</v>
      </c>
      <c r="I983" s="1" t="s">
        <v>815</v>
      </c>
      <c r="J983" s="1" t="s">
        <v>819</v>
      </c>
      <c r="K983" s="1" t="s">
        <v>820</v>
      </c>
      <c r="L983" s="1" t="s">
        <v>832</v>
      </c>
      <c r="M983" s="1">
        <v>5.45</v>
      </c>
      <c r="N983" s="1">
        <v>322.49</v>
      </c>
      <c r="O983" s="1">
        <v>2428.0300000000002</v>
      </c>
      <c r="P983" s="1">
        <v>0.13</v>
      </c>
      <c r="Q983" s="1">
        <v>2064.5500000000002</v>
      </c>
      <c r="R983" s="1">
        <v>1801.85</v>
      </c>
      <c r="S983" s="1">
        <f t="shared" si="31"/>
        <v>262.70000000000027</v>
      </c>
      <c r="T983" s="1" t="s">
        <v>873</v>
      </c>
      <c r="U983" s="1" t="s">
        <v>881</v>
      </c>
      <c r="V983" s="5" t="s">
        <v>882</v>
      </c>
    </row>
    <row r="984" spans="1:22" x14ac:dyDescent="0.3">
      <c r="A984" s="4" t="s">
        <v>283</v>
      </c>
      <c r="B984" s="3">
        <v>45609</v>
      </c>
      <c r="C984" s="1" t="str">
        <f t="shared" si="30"/>
        <v>November</v>
      </c>
      <c r="D984" s="1" t="s">
        <v>473</v>
      </c>
      <c r="E984" s="1" t="s">
        <v>766</v>
      </c>
      <c r="F984" s="1" t="s">
        <v>801</v>
      </c>
      <c r="G984" s="1" t="s">
        <v>805</v>
      </c>
      <c r="H984" s="1" t="s">
        <v>812</v>
      </c>
      <c r="I984" s="1" t="s">
        <v>809</v>
      </c>
      <c r="J984" s="1" t="s">
        <v>817</v>
      </c>
      <c r="K984" s="1" t="s">
        <v>821</v>
      </c>
      <c r="L984" s="1" t="s">
        <v>871</v>
      </c>
      <c r="M984" s="1">
        <v>8.1999999999999993</v>
      </c>
      <c r="N984" s="1">
        <v>1863.74</v>
      </c>
      <c r="O984" s="1">
        <v>13225.21</v>
      </c>
      <c r="P984" s="1">
        <v>0.08</v>
      </c>
      <c r="Q984" s="1">
        <v>11530.91</v>
      </c>
      <c r="R984" s="1">
        <v>8637.6200000000008</v>
      </c>
      <c r="S984" s="1">
        <f t="shared" si="31"/>
        <v>2893.2899999999991</v>
      </c>
      <c r="T984" s="1" t="s">
        <v>873</v>
      </c>
      <c r="U984" s="1" t="s">
        <v>880</v>
      </c>
      <c r="V984" s="5" t="s">
        <v>884</v>
      </c>
    </row>
    <row r="985" spans="1:22" x14ac:dyDescent="0.3">
      <c r="A985" s="4" t="s">
        <v>90</v>
      </c>
      <c r="B985" s="3">
        <v>45338</v>
      </c>
      <c r="C985" s="1" t="str">
        <f t="shared" si="30"/>
        <v>February</v>
      </c>
      <c r="D985" s="1" t="s">
        <v>373</v>
      </c>
      <c r="E985" s="1" t="s">
        <v>575</v>
      </c>
      <c r="F985" s="1" t="s">
        <v>803</v>
      </c>
      <c r="G985" s="1" t="s">
        <v>804</v>
      </c>
      <c r="H985" s="1" t="s">
        <v>808</v>
      </c>
      <c r="I985" s="1" t="s">
        <v>813</v>
      </c>
      <c r="J985" s="1" t="s">
        <v>818</v>
      </c>
      <c r="K985" s="1" t="s">
        <v>822</v>
      </c>
      <c r="L985" s="1" t="s">
        <v>859</v>
      </c>
      <c r="M985" s="1">
        <v>9.81</v>
      </c>
      <c r="N985" s="1">
        <v>2492.62</v>
      </c>
      <c r="O985" s="1">
        <v>28762.400000000001</v>
      </c>
      <c r="P985" s="1">
        <v>0.15</v>
      </c>
      <c r="Q985" s="1">
        <v>26872.06</v>
      </c>
      <c r="R985" s="1">
        <v>17894.93</v>
      </c>
      <c r="S985" s="1">
        <f t="shared" si="31"/>
        <v>8977.130000000001</v>
      </c>
      <c r="T985" s="1" t="s">
        <v>874</v>
      </c>
      <c r="U985" s="1" t="s">
        <v>881</v>
      </c>
      <c r="V985" s="5" t="s">
        <v>882</v>
      </c>
    </row>
    <row r="986" spans="1:22" x14ac:dyDescent="0.3">
      <c r="A986" s="4" t="s">
        <v>238</v>
      </c>
      <c r="B986" s="3">
        <v>45500</v>
      </c>
      <c r="C986" s="1" t="str">
        <f t="shared" si="30"/>
        <v>July</v>
      </c>
      <c r="D986" s="1" t="s">
        <v>357</v>
      </c>
      <c r="E986" s="1" t="s">
        <v>721</v>
      </c>
      <c r="F986" s="1" t="s">
        <v>802</v>
      </c>
      <c r="G986" s="1" t="s">
        <v>805</v>
      </c>
      <c r="H986" s="1" t="s">
        <v>808</v>
      </c>
      <c r="I986" s="1" t="s">
        <v>815</v>
      </c>
      <c r="J986" s="1" t="s">
        <v>818</v>
      </c>
      <c r="K986" s="1" t="s">
        <v>822</v>
      </c>
      <c r="L986" s="1" t="s">
        <v>845</v>
      </c>
      <c r="M986" s="1">
        <v>9.15</v>
      </c>
      <c r="N986" s="1">
        <v>3303.9</v>
      </c>
      <c r="O986" s="1">
        <v>27334.02</v>
      </c>
      <c r="P986" s="1">
        <v>0.1</v>
      </c>
      <c r="Q986" s="1">
        <v>25330.53</v>
      </c>
      <c r="R986" s="1">
        <v>17707.55</v>
      </c>
      <c r="S986" s="1">
        <f t="shared" si="31"/>
        <v>7622.98</v>
      </c>
      <c r="T986" s="1" t="s">
        <v>873</v>
      </c>
      <c r="U986" s="1" t="s">
        <v>879</v>
      </c>
      <c r="V986" s="5" t="s">
        <v>884</v>
      </c>
    </row>
    <row r="987" spans="1:22" x14ac:dyDescent="0.3">
      <c r="A987" s="4" t="s">
        <v>316</v>
      </c>
      <c r="B987" s="3">
        <v>45422</v>
      </c>
      <c r="C987" s="1" t="str">
        <f t="shared" si="30"/>
        <v>May</v>
      </c>
      <c r="D987" s="1" t="s">
        <v>458</v>
      </c>
      <c r="E987" s="1" t="s">
        <v>798</v>
      </c>
      <c r="F987" s="1" t="s">
        <v>803</v>
      </c>
      <c r="G987" s="1" t="s">
        <v>807</v>
      </c>
      <c r="H987" s="1" t="s">
        <v>810</v>
      </c>
      <c r="I987" s="1" t="s">
        <v>815</v>
      </c>
      <c r="J987" s="1" t="s">
        <v>819</v>
      </c>
      <c r="K987" s="1" t="s">
        <v>821</v>
      </c>
      <c r="L987" s="1" t="s">
        <v>843</v>
      </c>
      <c r="M987" s="1">
        <v>1.78</v>
      </c>
      <c r="N987" s="1">
        <v>2208.7800000000002</v>
      </c>
      <c r="O987" s="1">
        <v>3649.76</v>
      </c>
      <c r="P987" s="1">
        <v>0.05</v>
      </c>
      <c r="Q987" s="1">
        <v>3908.37</v>
      </c>
      <c r="R987" s="1">
        <v>2706</v>
      </c>
      <c r="S987" s="1">
        <f t="shared" si="31"/>
        <v>1202.3699999999999</v>
      </c>
      <c r="T987" s="1" t="s">
        <v>875</v>
      </c>
      <c r="U987" s="1" t="s">
        <v>880</v>
      </c>
      <c r="V987" s="5" t="s">
        <v>884</v>
      </c>
    </row>
    <row r="988" spans="1:22" x14ac:dyDescent="0.3">
      <c r="A988" s="4" t="s">
        <v>296</v>
      </c>
      <c r="B988" s="3">
        <v>45381</v>
      </c>
      <c r="C988" s="1" t="str">
        <f t="shared" si="30"/>
        <v>March</v>
      </c>
      <c r="D988" s="1" t="s">
        <v>502</v>
      </c>
      <c r="E988" s="1" t="s">
        <v>778</v>
      </c>
      <c r="F988" s="1" t="s">
        <v>803</v>
      </c>
      <c r="G988" s="1" t="s">
        <v>807</v>
      </c>
      <c r="H988" s="1" t="s">
        <v>809</v>
      </c>
      <c r="I988" s="1" t="s">
        <v>813</v>
      </c>
      <c r="J988" s="1" t="s">
        <v>819</v>
      </c>
      <c r="K988" s="1" t="s">
        <v>822</v>
      </c>
      <c r="L988" s="1" t="s">
        <v>826</v>
      </c>
      <c r="M988" s="1">
        <v>5.91</v>
      </c>
      <c r="N988" s="1">
        <v>1917.17</v>
      </c>
      <c r="O988" s="1">
        <v>11649.06</v>
      </c>
      <c r="P988" s="1">
        <v>0</v>
      </c>
      <c r="Q988" s="1">
        <v>9171.1299999999992</v>
      </c>
      <c r="R988" s="1">
        <v>6850.69</v>
      </c>
      <c r="S988" s="1">
        <f t="shared" si="31"/>
        <v>2320.4399999999996</v>
      </c>
      <c r="T988" s="1" t="s">
        <v>876</v>
      </c>
      <c r="U988" s="1" t="s">
        <v>879</v>
      </c>
      <c r="V988" s="5" t="s">
        <v>884</v>
      </c>
    </row>
    <row r="989" spans="1:22" x14ac:dyDescent="0.3">
      <c r="A989" s="4" t="s">
        <v>286</v>
      </c>
      <c r="B989" s="3">
        <v>45376</v>
      </c>
      <c r="C989" s="1" t="str">
        <f t="shared" si="30"/>
        <v>March</v>
      </c>
      <c r="D989" s="1" t="s">
        <v>499</v>
      </c>
      <c r="E989" s="1" t="s">
        <v>769</v>
      </c>
      <c r="F989" s="1" t="s">
        <v>802</v>
      </c>
      <c r="G989" s="1" t="s">
        <v>807</v>
      </c>
      <c r="H989" s="1" t="s">
        <v>811</v>
      </c>
      <c r="I989" s="1" t="s">
        <v>816</v>
      </c>
      <c r="J989" s="1" t="s">
        <v>819</v>
      </c>
      <c r="K989" s="1" t="s">
        <v>822</v>
      </c>
      <c r="L989" s="1" t="s">
        <v>836</v>
      </c>
      <c r="M989" s="1">
        <v>2.78</v>
      </c>
      <c r="N989" s="1">
        <v>3324.79</v>
      </c>
      <c r="O989" s="1">
        <v>9943.34</v>
      </c>
      <c r="P989" s="1">
        <v>0</v>
      </c>
      <c r="Q989" s="1">
        <v>10849.08</v>
      </c>
      <c r="R989" s="1">
        <v>8958.2000000000007</v>
      </c>
      <c r="S989" s="1">
        <f t="shared" si="31"/>
        <v>1890.8799999999992</v>
      </c>
      <c r="T989" s="1" t="s">
        <v>875</v>
      </c>
      <c r="U989" s="1" t="s">
        <v>880</v>
      </c>
      <c r="V989" s="5" t="s">
        <v>883</v>
      </c>
    </row>
    <row r="990" spans="1:22" x14ac:dyDescent="0.3">
      <c r="A990" s="4" t="s">
        <v>106</v>
      </c>
      <c r="B990" s="3">
        <v>45536</v>
      </c>
      <c r="C990" s="1" t="str">
        <f t="shared" si="30"/>
        <v>September</v>
      </c>
      <c r="D990" s="1" t="s">
        <v>341</v>
      </c>
      <c r="E990" s="1" t="s">
        <v>591</v>
      </c>
      <c r="F990" s="1" t="s">
        <v>803</v>
      </c>
      <c r="G990" s="1" t="s">
        <v>805</v>
      </c>
      <c r="H990" s="1" t="s">
        <v>810</v>
      </c>
      <c r="I990" s="1" t="s">
        <v>813</v>
      </c>
      <c r="J990" s="1" t="s">
        <v>817</v>
      </c>
      <c r="K990" s="1" t="s">
        <v>822</v>
      </c>
      <c r="L990" s="1" t="s">
        <v>830</v>
      </c>
      <c r="M990" s="1">
        <v>9.3000000000000007</v>
      </c>
      <c r="N990" s="1">
        <v>513.45000000000005</v>
      </c>
      <c r="O990" s="1">
        <v>3477.25</v>
      </c>
      <c r="P990" s="1">
        <v>0.15</v>
      </c>
      <c r="Q990" s="1">
        <v>3441.37</v>
      </c>
      <c r="R990" s="1">
        <v>2610.88</v>
      </c>
      <c r="S990" s="1">
        <f t="shared" si="31"/>
        <v>830.48999999999978</v>
      </c>
      <c r="T990" s="1" t="s">
        <v>876</v>
      </c>
      <c r="U990" s="1" t="s">
        <v>877</v>
      </c>
      <c r="V990" s="5" t="s">
        <v>884</v>
      </c>
    </row>
    <row r="991" spans="1:22" x14ac:dyDescent="0.3">
      <c r="A991" s="4" t="s">
        <v>21</v>
      </c>
      <c r="B991" s="3">
        <v>45457</v>
      </c>
      <c r="C991" s="1" t="str">
        <f t="shared" si="30"/>
        <v>June</v>
      </c>
      <c r="D991" s="1" t="s">
        <v>374</v>
      </c>
      <c r="E991" s="1" t="s">
        <v>506</v>
      </c>
      <c r="F991" s="1" t="s">
        <v>801</v>
      </c>
      <c r="G991" s="1" t="s">
        <v>804</v>
      </c>
      <c r="H991" s="1" t="s">
        <v>808</v>
      </c>
      <c r="I991" s="1" t="s">
        <v>813</v>
      </c>
      <c r="J991" s="1" t="s">
        <v>817</v>
      </c>
      <c r="K991" s="1" t="s">
        <v>820</v>
      </c>
      <c r="L991" s="1" t="s">
        <v>823</v>
      </c>
      <c r="M991" s="1">
        <v>7.28</v>
      </c>
      <c r="N991" s="1">
        <v>2701.25</v>
      </c>
      <c r="O991" s="1">
        <v>15786.38</v>
      </c>
      <c r="P991" s="1">
        <v>0</v>
      </c>
      <c r="Q991" s="1">
        <v>19252.73</v>
      </c>
      <c r="R991" s="1">
        <v>13261.73</v>
      </c>
      <c r="S991" s="1">
        <f t="shared" si="31"/>
        <v>5991</v>
      </c>
      <c r="T991" s="1" t="s">
        <v>873</v>
      </c>
      <c r="U991" s="1" t="s">
        <v>877</v>
      </c>
      <c r="V991" s="5" t="s">
        <v>882</v>
      </c>
    </row>
    <row r="992" spans="1:22" x14ac:dyDescent="0.3">
      <c r="A992" s="4" t="s">
        <v>219</v>
      </c>
      <c r="B992" s="3">
        <v>45466</v>
      </c>
      <c r="C992" s="1" t="str">
        <f t="shared" si="30"/>
        <v>June</v>
      </c>
      <c r="D992" s="1" t="s">
        <v>486</v>
      </c>
      <c r="E992" s="1" t="s">
        <v>702</v>
      </c>
      <c r="F992" s="1" t="s">
        <v>801</v>
      </c>
      <c r="G992" s="1" t="s">
        <v>804</v>
      </c>
      <c r="H992" s="1" t="s">
        <v>812</v>
      </c>
      <c r="I992" s="1" t="s">
        <v>815</v>
      </c>
      <c r="J992" s="1" t="s">
        <v>819</v>
      </c>
      <c r="K992" s="1" t="s">
        <v>821</v>
      </c>
      <c r="L992" s="1" t="s">
        <v>831</v>
      </c>
      <c r="M992" s="1">
        <v>6.28</v>
      </c>
      <c r="N992" s="1">
        <v>2174.64</v>
      </c>
      <c r="O992" s="1">
        <v>12805.77</v>
      </c>
      <c r="P992" s="1">
        <v>0.05</v>
      </c>
      <c r="Q992" s="1">
        <v>10164.219999999999</v>
      </c>
      <c r="R992" s="1">
        <v>7368.1</v>
      </c>
      <c r="S992" s="1">
        <f t="shared" si="31"/>
        <v>2796.119999999999</v>
      </c>
      <c r="T992" s="1" t="s">
        <v>875</v>
      </c>
      <c r="U992" s="1" t="s">
        <v>880</v>
      </c>
      <c r="V992" s="5" t="s">
        <v>884</v>
      </c>
    </row>
    <row r="993" spans="1:22" x14ac:dyDescent="0.3">
      <c r="A993" s="4" t="s">
        <v>280</v>
      </c>
      <c r="B993" s="3">
        <v>45592</v>
      </c>
      <c r="C993" s="1" t="str">
        <f t="shared" si="30"/>
        <v>October</v>
      </c>
      <c r="D993" s="1" t="s">
        <v>497</v>
      </c>
      <c r="E993" s="1" t="s">
        <v>763</v>
      </c>
      <c r="F993" s="1" t="s">
        <v>802</v>
      </c>
      <c r="G993" s="1" t="s">
        <v>806</v>
      </c>
      <c r="H993" s="1" t="s">
        <v>812</v>
      </c>
      <c r="I993" s="1" t="s">
        <v>814</v>
      </c>
      <c r="J993" s="1" t="s">
        <v>817</v>
      </c>
      <c r="K993" s="1" t="s">
        <v>822</v>
      </c>
      <c r="L993" s="1" t="s">
        <v>846</v>
      </c>
      <c r="M993" s="1">
        <v>9.49</v>
      </c>
      <c r="N993" s="1">
        <v>537.27</v>
      </c>
      <c r="O993" s="1">
        <v>4963.53</v>
      </c>
      <c r="P993" s="1">
        <v>0.14000000000000001</v>
      </c>
      <c r="Q993" s="1">
        <v>4754.3599999999997</v>
      </c>
      <c r="R993" s="1">
        <v>2736.76</v>
      </c>
      <c r="S993" s="1">
        <f t="shared" si="31"/>
        <v>2017.5999999999995</v>
      </c>
      <c r="T993" s="1" t="s">
        <v>873</v>
      </c>
      <c r="U993" s="1" t="s">
        <v>877</v>
      </c>
      <c r="V993" s="5" t="s">
        <v>883</v>
      </c>
    </row>
    <row r="994" spans="1:22" x14ac:dyDescent="0.3">
      <c r="A994" s="4" t="s">
        <v>205</v>
      </c>
      <c r="B994" s="3">
        <v>45516</v>
      </c>
      <c r="C994" s="1" t="str">
        <f t="shared" si="30"/>
        <v>August</v>
      </c>
      <c r="D994" s="1" t="s">
        <v>482</v>
      </c>
      <c r="E994" s="1" t="s">
        <v>689</v>
      </c>
      <c r="F994" s="1" t="s">
        <v>801</v>
      </c>
      <c r="G994" s="1" t="s">
        <v>807</v>
      </c>
      <c r="H994" s="1" t="s">
        <v>809</v>
      </c>
      <c r="I994" s="1" t="s">
        <v>816</v>
      </c>
      <c r="J994" s="1" t="s">
        <v>818</v>
      </c>
      <c r="K994" s="1" t="s">
        <v>821</v>
      </c>
      <c r="L994" s="1" t="s">
        <v>836</v>
      </c>
      <c r="M994" s="1">
        <v>8.92</v>
      </c>
      <c r="N994" s="1">
        <v>3929.48</v>
      </c>
      <c r="O994" s="1">
        <v>36833.120000000003</v>
      </c>
      <c r="P994" s="1">
        <v>0.05</v>
      </c>
      <c r="Q994" s="1">
        <v>34587.089999999997</v>
      </c>
      <c r="R994" s="1">
        <v>28582.87</v>
      </c>
      <c r="S994" s="1">
        <f t="shared" si="31"/>
        <v>6004.2199999999975</v>
      </c>
      <c r="T994" s="1" t="s">
        <v>875</v>
      </c>
      <c r="U994" s="1" t="s">
        <v>878</v>
      </c>
      <c r="V994" s="5" t="s">
        <v>882</v>
      </c>
    </row>
    <row r="995" spans="1:22" x14ac:dyDescent="0.3">
      <c r="A995" s="4" t="s">
        <v>169</v>
      </c>
      <c r="B995" s="3">
        <v>45336</v>
      </c>
      <c r="C995" s="1" t="str">
        <f t="shared" si="30"/>
        <v>February</v>
      </c>
      <c r="D995" s="1" t="s">
        <v>373</v>
      </c>
      <c r="E995" s="1" t="s">
        <v>654</v>
      </c>
      <c r="F995" s="1" t="s">
        <v>802</v>
      </c>
      <c r="G995" s="1" t="s">
        <v>805</v>
      </c>
      <c r="H995" s="1" t="s">
        <v>810</v>
      </c>
      <c r="I995" s="1" t="s">
        <v>814</v>
      </c>
      <c r="J995" s="1" t="s">
        <v>818</v>
      </c>
      <c r="K995" s="1" t="s">
        <v>822</v>
      </c>
      <c r="L995" s="1" t="s">
        <v>861</v>
      </c>
      <c r="M995" s="1">
        <v>9.84</v>
      </c>
      <c r="N995" s="1">
        <v>1188.8399999999999</v>
      </c>
      <c r="O995" s="1">
        <v>9793.39</v>
      </c>
      <c r="P995" s="1">
        <v>0.15</v>
      </c>
      <c r="Q995" s="1">
        <v>9397.08</v>
      </c>
      <c r="R995" s="1">
        <v>8132.29</v>
      </c>
      <c r="S995" s="1">
        <f t="shared" si="31"/>
        <v>1264.79</v>
      </c>
      <c r="T995" s="1" t="s">
        <v>874</v>
      </c>
      <c r="U995" s="1" t="s">
        <v>881</v>
      </c>
      <c r="V995" s="5" t="s">
        <v>884</v>
      </c>
    </row>
    <row r="996" spans="1:22" x14ac:dyDescent="0.3">
      <c r="A996" s="4" t="s">
        <v>260</v>
      </c>
      <c r="B996" s="3">
        <v>45368</v>
      </c>
      <c r="C996" s="1" t="str">
        <f t="shared" si="30"/>
        <v>March</v>
      </c>
      <c r="D996" s="1" t="s">
        <v>327</v>
      </c>
      <c r="E996" s="1" t="s">
        <v>743</v>
      </c>
      <c r="F996" s="1" t="s">
        <v>803</v>
      </c>
      <c r="G996" s="1" t="s">
        <v>806</v>
      </c>
      <c r="H996" s="1" t="s">
        <v>808</v>
      </c>
      <c r="I996" s="1" t="s">
        <v>814</v>
      </c>
      <c r="J996" s="1" t="s">
        <v>817</v>
      </c>
      <c r="K996" s="1" t="s">
        <v>822</v>
      </c>
      <c r="L996" s="1" t="s">
        <v>826</v>
      </c>
      <c r="M996" s="1">
        <v>2.76</v>
      </c>
      <c r="N996" s="1">
        <v>1635.94</v>
      </c>
      <c r="O996" s="1">
        <v>5141.46</v>
      </c>
      <c r="P996" s="1">
        <v>0.14000000000000001</v>
      </c>
      <c r="Q996" s="1">
        <v>4394.97</v>
      </c>
      <c r="R996" s="1">
        <v>2571.54</v>
      </c>
      <c r="S996" s="1">
        <f t="shared" si="31"/>
        <v>1823.4300000000003</v>
      </c>
      <c r="T996" s="1" t="s">
        <v>874</v>
      </c>
      <c r="U996" s="1" t="s">
        <v>877</v>
      </c>
      <c r="V996" s="5" t="s">
        <v>884</v>
      </c>
    </row>
    <row r="997" spans="1:22" x14ac:dyDescent="0.3">
      <c r="A997" s="4" t="s">
        <v>165</v>
      </c>
      <c r="B997" s="3">
        <v>45497</v>
      </c>
      <c r="C997" s="1" t="str">
        <f t="shared" si="30"/>
        <v>July</v>
      </c>
      <c r="D997" s="1" t="s">
        <v>353</v>
      </c>
      <c r="E997" s="1" t="s">
        <v>650</v>
      </c>
      <c r="F997" s="1" t="s">
        <v>801</v>
      </c>
      <c r="G997" s="1" t="s">
        <v>806</v>
      </c>
      <c r="H997" s="1" t="s">
        <v>812</v>
      </c>
      <c r="I997" s="1" t="s">
        <v>813</v>
      </c>
      <c r="J997" s="1" t="s">
        <v>819</v>
      </c>
      <c r="K997" s="1" t="s">
        <v>821</v>
      </c>
      <c r="L997" s="1" t="s">
        <v>862</v>
      </c>
      <c r="M997" s="1">
        <v>5.96</v>
      </c>
      <c r="N997" s="1">
        <v>2819.96</v>
      </c>
      <c r="O997" s="1">
        <v>15128.38</v>
      </c>
      <c r="P997" s="1">
        <v>0.11</v>
      </c>
      <c r="Q997" s="1">
        <v>13092.52</v>
      </c>
      <c r="R997" s="1">
        <v>12879.21</v>
      </c>
      <c r="S997" s="1">
        <f t="shared" si="31"/>
        <v>213.31000000000131</v>
      </c>
      <c r="T997" s="1" t="s">
        <v>876</v>
      </c>
      <c r="U997" s="1" t="s">
        <v>879</v>
      </c>
      <c r="V997" s="5" t="s">
        <v>882</v>
      </c>
    </row>
    <row r="998" spans="1:22" x14ac:dyDescent="0.3">
      <c r="A998" s="4" t="s">
        <v>316</v>
      </c>
      <c r="B998" s="3">
        <v>45422</v>
      </c>
      <c r="C998" s="1" t="str">
        <f t="shared" si="30"/>
        <v>May</v>
      </c>
      <c r="D998" s="1" t="s">
        <v>458</v>
      </c>
      <c r="E998" s="1" t="s">
        <v>798</v>
      </c>
      <c r="F998" s="1" t="s">
        <v>803</v>
      </c>
      <c r="G998" s="1" t="s">
        <v>807</v>
      </c>
      <c r="H998" s="1" t="s">
        <v>810</v>
      </c>
      <c r="I998" s="1" t="s">
        <v>815</v>
      </c>
      <c r="J998" s="1" t="s">
        <v>819</v>
      </c>
      <c r="K998" s="1" t="s">
        <v>821</v>
      </c>
      <c r="L998" s="1" t="s">
        <v>843</v>
      </c>
      <c r="M998" s="1">
        <v>1.74</v>
      </c>
      <c r="N998" s="1">
        <v>2398.1799999999998</v>
      </c>
      <c r="O998" s="1">
        <v>3348.81</v>
      </c>
      <c r="P998" s="1">
        <v>0.05</v>
      </c>
      <c r="Q998" s="1">
        <v>3752.85</v>
      </c>
      <c r="R998" s="1">
        <v>2654.49</v>
      </c>
      <c r="S998" s="1">
        <f t="shared" si="31"/>
        <v>1098.3600000000001</v>
      </c>
      <c r="T998" s="1" t="s">
        <v>875</v>
      </c>
      <c r="U998" s="1" t="s">
        <v>880</v>
      </c>
      <c r="V998" s="5" t="s">
        <v>884</v>
      </c>
    </row>
    <row r="999" spans="1:22" x14ac:dyDescent="0.3">
      <c r="A999" s="4" t="s">
        <v>238</v>
      </c>
      <c r="B999" s="3">
        <v>45500</v>
      </c>
      <c r="C999" s="1" t="str">
        <f t="shared" si="30"/>
        <v>July</v>
      </c>
      <c r="D999" s="1" t="s">
        <v>357</v>
      </c>
      <c r="E999" s="1" t="s">
        <v>721</v>
      </c>
      <c r="F999" s="1" t="s">
        <v>802</v>
      </c>
      <c r="G999" s="1" t="s">
        <v>805</v>
      </c>
      <c r="H999" s="1" t="s">
        <v>808</v>
      </c>
      <c r="I999" s="1" t="s">
        <v>815</v>
      </c>
      <c r="J999" s="1" t="s">
        <v>818</v>
      </c>
      <c r="K999" s="1" t="s">
        <v>822</v>
      </c>
      <c r="L999" s="1" t="s">
        <v>845</v>
      </c>
      <c r="M999" s="1">
        <v>7.84</v>
      </c>
      <c r="N999" s="1">
        <v>3289.53</v>
      </c>
      <c r="O999" s="1">
        <v>29406.74</v>
      </c>
      <c r="P999" s="1">
        <v>0.1</v>
      </c>
      <c r="Q999" s="1">
        <v>28044.48</v>
      </c>
      <c r="R999" s="1">
        <v>16747.3</v>
      </c>
      <c r="S999" s="1">
        <f t="shared" si="31"/>
        <v>11297.18</v>
      </c>
      <c r="T999" s="1" t="s">
        <v>873</v>
      </c>
      <c r="U999" s="1" t="s">
        <v>879</v>
      </c>
      <c r="V999" s="5" t="s">
        <v>884</v>
      </c>
    </row>
    <row r="1000" spans="1:22" x14ac:dyDescent="0.3">
      <c r="A1000" s="4" t="s">
        <v>26</v>
      </c>
      <c r="B1000" s="3">
        <v>45546</v>
      </c>
      <c r="C1000" s="1" t="str">
        <f t="shared" si="30"/>
        <v>September</v>
      </c>
      <c r="D1000" s="1" t="s">
        <v>433</v>
      </c>
      <c r="E1000" s="1" t="s">
        <v>511</v>
      </c>
      <c r="F1000" s="1" t="s">
        <v>802</v>
      </c>
      <c r="G1000" s="1" t="s">
        <v>804</v>
      </c>
      <c r="H1000" s="1" t="s">
        <v>809</v>
      </c>
      <c r="I1000" s="1" t="s">
        <v>815</v>
      </c>
      <c r="J1000" s="1" t="s">
        <v>818</v>
      </c>
      <c r="K1000" s="1" t="s">
        <v>821</v>
      </c>
      <c r="L1000" s="1" t="s">
        <v>828</v>
      </c>
      <c r="M1000" s="1">
        <v>8.52</v>
      </c>
      <c r="N1000" s="1">
        <v>566.79</v>
      </c>
      <c r="O1000" s="1">
        <v>4892.05</v>
      </c>
      <c r="P1000" s="1">
        <v>0</v>
      </c>
      <c r="Q1000" s="1">
        <v>4679.2299999999996</v>
      </c>
      <c r="R1000" s="1">
        <v>4294.03</v>
      </c>
      <c r="S1000" s="1">
        <f t="shared" si="31"/>
        <v>385.19999999999982</v>
      </c>
      <c r="T1000" s="1" t="s">
        <v>873</v>
      </c>
      <c r="U1000" s="1" t="s">
        <v>879</v>
      </c>
      <c r="V1000" s="5" t="s">
        <v>883</v>
      </c>
    </row>
    <row r="1001" spans="1:22" x14ac:dyDescent="0.3">
      <c r="A1001" s="4" t="s">
        <v>155</v>
      </c>
      <c r="B1001" s="3">
        <v>45347</v>
      </c>
      <c r="C1001" s="1" t="str">
        <f t="shared" si="30"/>
        <v>February</v>
      </c>
      <c r="D1001" s="1" t="s">
        <v>470</v>
      </c>
      <c r="E1001" s="1" t="s">
        <v>640</v>
      </c>
      <c r="F1001" s="1" t="s">
        <v>803</v>
      </c>
      <c r="G1001" s="1" t="s">
        <v>806</v>
      </c>
      <c r="H1001" s="1" t="s">
        <v>808</v>
      </c>
      <c r="I1001" s="1" t="s">
        <v>816</v>
      </c>
      <c r="J1001" s="1" t="s">
        <v>819</v>
      </c>
      <c r="K1001" s="1" t="s">
        <v>820</v>
      </c>
      <c r="L1001" s="1" t="s">
        <v>844</v>
      </c>
      <c r="M1001" s="1">
        <v>7.02</v>
      </c>
      <c r="N1001" s="1">
        <v>2275.04</v>
      </c>
      <c r="O1001" s="1">
        <v>27299.57</v>
      </c>
      <c r="P1001" s="1">
        <v>0</v>
      </c>
      <c r="Q1001" s="1">
        <v>25019.8</v>
      </c>
      <c r="R1001" s="1">
        <v>14342.68</v>
      </c>
      <c r="S1001" s="1">
        <f t="shared" si="31"/>
        <v>10677.119999999999</v>
      </c>
      <c r="T1001" s="1" t="s">
        <v>875</v>
      </c>
      <c r="U1001" s="1" t="s">
        <v>879</v>
      </c>
      <c r="V1001" s="5" t="s">
        <v>884</v>
      </c>
    </row>
    <row r="1002" spans="1:22" x14ac:dyDescent="0.3">
      <c r="A1002" s="4" t="s">
        <v>219</v>
      </c>
      <c r="B1002" s="3">
        <v>45466</v>
      </c>
      <c r="C1002" s="1" t="str">
        <f t="shared" si="30"/>
        <v>June</v>
      </c>
      <c r="D1002" s="1" t="s">
        <v>486</v>
      </c>
      <c r="E1002" s="1" t="s">
        <v>702</v>
      </c>
      <c r="F1002" s="1" t="s">
        <v>801</v>
      </c>
      <c r="G1002" s="1" t="s">
        <v>804</v>
      </c>
      <c r="H1002" s="1" t="s">
        <v>812</v>
      </c>
      <c r="I1002" s="1" t="s">
        <v>815</v>
      </c>
      <c r="J1002" s="1" t="s">
        <v>819</v>
      </c>
      <c r="K1002" s="1" t="s">
        <v>821</v>
      </c>
      <c r="L1002" s="1" t="s">
        <v>831</v>
      </c>
      <c r="M1002" s="1">
        <v>6.08</v>
      </c>
      <c r="N1002" s="1">
        <v>2377.85</v>
      </c>
      <c r="O1002" s="1">
        <v>12481.92</v>
      </c>
      <c r="P1002" s="1">
        <v>0.05</v>
      </c>
      <c r="Q1002" s="1">
        <v>9622.7000000000007</v>
      </c>
      <c r="R1002" s="1">
        <v>7335.25</v>
      </c>
      <c r="S1002" s="1">
        <f t="shared" si="31"/>
        <v>2287.4500000000007</v>
      </c>
      <c r="T1002" s="1" t="s">
        <v>875</v>
      </c>
      <c r="U1002" s="1" t="s">
        <v>880</v>
      </c>
      <c r="V1002" s="5" t="s">
        <v>884</v>
      </c>
    </row>
    <row r="1003" spans="1:22" x14ac:dyDescent="0.3">
      <c r="A1003" s="4" t="s">
        <v>114</v>
      </c>
      <c r="B1003" s="3">
        <v>45348</v>
      </c>
      <c r="C1003" s="1" t="str">
        <f t="shared" si="30"/>
        <v>February</v>
      </c>
      <c r="D1003" s="1" t="s">
        <v>462</v>
      </c>
      <c r="E1003" s="1" t="s">
        <v>599</v>
      </c>
      <c r="F1003" s="1" t="s">
        <v>803</v>
      </c>
      <c r="G1003" s="1" t="s">
        <v>805</v>
      </c>
      <c r="H1003" s="1" t="s">
        <v>811</v>
      </c>
      <c r="I1003" s="1" t="s">
        <v>809</v>
      </c>
      <c r="J1003" s="1" t="s">
        <v>819</v>
      </c>
      <c r="K1003" s="1" t="s">
        <v>821</v>
      </c>
      <c r="L1003" s="1" t="s">
        <v>856</v>
      </c>
      <c r="M1003" s="1">
        <v>1.97</v>
      </c>
      <c r="N1003" s="1">
        <v>2082</v>
      </c>
      <c r="O1003" s="1">
        <v>3615.82</v>
      </c>
      <c r="P1003" s="1">
        <v>0</v>
      </c>
      <c r="Q1003" s="1">
        <v>3553.3</v>
      </c>
      <c r="R1003" s="1">
        <v>3345.28</v>
      </c>
      <c r="S1003" s="1">
        <f t="shared" si="31"/>
        <v>208.01999999999998</v>
      </c>
      <c r="T1003" s="1" t="s">
        <v>874</v>
      </c>
      <c r="U1003" s="1" t="s">
        <v>880</v>
      </c>
      <c r="V1003" s="5" t="s">
        <v>884</v>
      </c>
    </row>
    <row r="1004" spans="1:22" x14ac:dyDescent="0.3">
      <c r="A1004" s="4" t="s">
        <v>81</v>
      </c>
      <c r="B1004" s="3">
        <v>45544</v>
      </c>
      <c r="C1004" s="1" t="str">
        <f t="shared" si="30"/>
        <v>September</v>
      </c>
      <c r="D1004" s="1" t="s">
        <v>323</v>
      </c>
      <c r="E1004" s="1" t="s">
        <v>566</v>
      </c>
      <c r="F1004" s="1" t="s">
        <v>802</v>
      </c>
      <c r="G1004" s="1" t="s">
        <v>806</v>
      </c>
      <c r="H1004" s="1" t="s">
        <v>812</v>
      </c>
      <c r="I1004" s="1" t="s">
        <v>815</v>
      </c>
      <c r="J1004" s="1" t="s">
        <v>819</v>
      </c>
      <c r="K1004" s="1" t="s">
        <v>822</v>
      </c>
      <c r="L1004" s="1" t="s">
        <v>854</v>
      </c>
      <c r="M1004" s="1">
        <v>8.1999999999999993</v>
      </c>
      <c r="N1004" s="1">
        <v>1019.09</v>
      </c>
      <c r="O1004" s="1">
        <v>6552.77</v>
      </c>
      <c r="P1004" s="1">
        <v>0.09</v>
      </c>
      <c r="Q1004" s="1">
        <v>7220.66</v>
      </c>
      <c r="R1004" s="1">
        <v>5708.94</v>
      </c>
      <c r="S1004" s="1">
        <f t="shared" si="31"/>
        <v>1511.7200000000003</v>
      </c>
      <c r="T1004" s="1" t="s">
        <v>876</v>
      </c>
      <c r="U1004" s="1" t="s">
        <v>881</v>
      </c>
      <c r="V1004" s="5" t="s">
        <v>882</v>
      </c>
    </row>
    <row r="1005" spans="1:22" x14ac:dyDescent="0.3">
      <c r="A1005" s="4" t="s">
        <v>212</v>
      </c>
      <c r="B1005" s="3">
        <v>45479</v>
      </c>
      <c r="C1005" s="1" t="str">
        <f t="shared" si="30"/>
        <v>July</v>
      </c>
      <c r="D1005" s="1" t="s">
        <v>352</v>
      </c>
      <c r="E1005" s="1" t="s">
        <v>695</v>
      </c>
      <c r="F1005" s="1" t="s">
        <v>803</v>
      </c>
      <c r="G1005" s="1" t="s">
        <v>807</v>
      </c>
      <c r="H1005" s="1" t="s">
        <v>808</v>
      </c>
      <c r="I1005" s="1" t="s">
        <v>814</v>
      </c>
      <c r="J1005" s="1" t="s">
        <v>819</v>
      </c>
      <c r="K1005" s="1" t="s">
        <v>821</v>
      </c>
      <c r="L1005" s="1" t="s">
        <v>826</v>
      </c>
      <c r="M1005" s="1">
        <v>6.19</v>
      </c>
      <c r="N1005" s="1">
        <v>2930.77</v>
      </c>
      <c r="O1005" s="1">
        <v>17984.89</v>
      </c>
      <c r="P1005" s="1">
        <v>0</v>
      </c>
      <c r="Q1005" s="1">
        <v>18842.84</v>
      </c>
      <c r="R1005" s="1">
        <v>13396.5</v>
      </c>
      <c r="S1005" s="1">
        <f t="shared" si="31"/>
        <v>5446.34</v>
      </c>
      <c r="T1005" s="1" t="s">
        <v>876</v>
      </c>
      <c r="U1005" s="1" t="s">
        <v>881</v>
      </c>
      <c r="V1005" s="5" t="s">
        <v>884</v>
      </c>
    </row>
    <row r="1006" spans="1:22" x14ac:dyDescent="0.3">
      <c r="A1006" s="4" t="s">
        <v>247</v>
      </c>
      <c r="B1006" s="3">
        <v>45544</v>
      </c>
      <c r="C1006" s="1" t="str">
        <f t="shared" si="30"/>
        <v>September</v>
      </c>
      <c r="D1006" s="1" t="s">
        <v>433</v>
      </c>
      <c r="E1006" s="1" t="s">
        <v>730</v>
      </c>
      <c r="F1006" s="1" t="s">
        <v>802</v>
      </c>
      <c r="G1006" s="1" t="s">
        <v>807</v>
      </c>
      <c r="H1006" s="1" t="s">
        <v>809</v>
      </c>
      <c r="I1006" s="1" t="s">
        <v>816</v>
      </c>
      <c r="J1006" s="1" t="s">
        <v>819</v>
      </c>
      <c r="K1006" s="1" t="s">
        <v>822</v>
      </c>
      <c r="L1006" s="1" t="s">
        <v>847</v>
      </c>
      <c r="M1006" s="1">
        <v>1.93</v>
      </c>
      <c r="N1006" s="1">
        <v>980.36</v>
      </c>
      <c r="O1006" s="1">
        <v>1850.95</v>
      </c>
      <c r="P1006" s="1">
        <v>0.15</v>
      </c>
      <c r="Q1006" s="1">
        <v>1887.45</v>
      </c>
      <c r="R1006" s="1">
        <v>1457.41</v>
      </c>
      <c r="S1006" s="1">
        <f t="shared" si="31"/>
        <v>430.03999999999996</v>
      </c>
      <c r="T1006" s="1" t="s">
        <v>874</v>
      </c>
      <c r="U1006" s="1" t="s">
        <v>878</v>
      </c>
      <c r="V1006" s="5" t="s">
        <v>884</v>
      </c>
    </row>
    <row r="1007" spans="1:22" x14ac:dyDescent="0.3">
      <c r="A1007" s="4" t="s">
        <v>177</v>
      </c>
      <c r="B1007" s="3">
        <v>45326</v>
      </c>
      <c r="C1007" s="1" t="str">
        <f t="shared" si="30"/>
        <v>February</v>
      </c>
      <c r="D1007" s="1" t="s">
        <v>476</v>
      </c>
      <c r="E1007" s="1" t="s">
        <v>661</v>
      </c>
      <c r="F1007" s="1" t="s">
        <v>803</v>
      </c>
      <c r="G1007" s="1" t="s">
        <v>805</v>
      </c>
      <c r="H1007" s="1" t="s">
        <v>811</v>
      </c>
      <c r="I1007" s="1" t="s">
        <v>816</v>
      </c>
      <c r="J1007" s="1" t="s">
        <v>819</v>
      </c>
      <c r="K1007" s="1" t="s">
        <v>821</v>
      </c>
      <c r="L1007" s="1" t="s">
        <v>870</v>
      </c>
      <c r="M1007" s="1">
        <v>3.66</v>
      </c>
      <c r="N1007" s="1">
        <v>752.59</v>
      </c>
      <c r="O1007" s="1">
        <v>2658.39</v>
      </c>
      <c r="P1007" s="1">
        <v>0.1</v>
      </c>
      <c r="Q1007" s="1">
        <v>2603.79</v>
      </c>
      <c r="R1007" s="1">
        <v>1814.2</v>
      </c>
      <c r="S1007" s="1">
        <f t="shared" si="31"/>
        <v>789.58999999999992</v>
      </c>
      <c r="T1007" s="1" t="s">
        <v>874</v>
      </c>
      <c r="U1007" s="1" t="s">
        <v>881</v>
      </c>
      <c r="V1007" s="5" t="s">
        <v>883</v>
      </c>
    </row>
    <row r="1008" spans="1:22" x14ac:dyDescent="0.3">
      <c r="A1008" s="4" t="s">
        <v>280</v>
      </c>
      <c r="B1008" s="3">
        <v>45592</v>
      </c>
      <c r="C1008" s="1" t="str">
        <f t="shared" si="30"/>
        <v>October</v>
      </c>
      <c r="D1008" s="1" t="s">
        <v>497</v>
      </c>
      <c r="E1008" s="1" t="s">
        <v>763</v>
      </c>
      <c r="F1008" s="1" t="s">
        <v>802</v>
      </c>
      <c r="G1008" s="1" t="s">
        <v>806</v>
      </c>
      <c r="H1008" s="1" t="s">
        <v>812</v>
      </c>
      <c r="I1008" s="1" t="s">
        <v>814</v>
      </c>
      <c r="J1008" s="1" t="s">
        <v>817</v>
      </c>
      <c r="K1008" s="1" t="s">
        <v>822</v>
      </c>
      <c r="L1008" s="1" t="s">
        <v>846</v>
      </c>
      <c r="M1008" s="1">
        <v>10.210000000000001</v>
      </c>
      <c r="N1008" s="1">
        <v>589.01</v>
      </c>
      <c r="O1008" s="1">
        <v>5008.58</v>
      </c>
      <c r="P1008" s="1">
        <v>0.13</v>
      </c>
      <c r="Q1008" s="1">
        <v>4282.4399999999996</v>
      </c>
      <c r="R1008" s="1">
        <v>2876.44</v>
      </c>
      <c r="S1008" s="1">
        <f t="shared" si="31"/>
        <v>1405.9999999999995</v>
      </c>
      <c r="T1008" s="1" t="s">
        <v>873</v>
      </c>
      <c r="U1008" s="1" t="s">
        <v>877</v>
      </c>
      <c r="V1008" s="5" t="s">
        <v>883</v>
      </c>
    </row>
    <row r="1009" spans="1:22" x14ac:dyDescent="0.3">
      <c r="A1009" s="4" t="s">
        <v>104</v>
      </c>
      <c r="B1009" s="3">
        <v>45588</v>
      </c>
      <c r="C1009" s="1" t="str">
        <f t="shared" si="30"/>
        <v>October</v>
      </c>
      <c r="D1009" s="1" t="s">
        <v>425</v>
      </c>
      <c r="E1009" s="1" t="s">
        <v>589</v>
      </c>
      <c r="F1009" s="1" t="s">
        <v>803</v>
      </c>
      <c r="G1009" s="1" t="s">
        <v>804</v>
      </c>
      <c r="H1009" s="1" t="s">
        <v>808</v>
      </c>
      <c r="I1009" s="1" t="s">
        <v>809</v>
      </c>
      <c r="J1009" s="1" t="s">
        <v>819</v>
      </c>
      <c r="K1009" s="1" t="s">
        <v>820</v>
      </c>
      <c r="L1009" s="1" t="s">
        <v>829</v>
      </c>
      <c r="M1009" s="1">
        <v>10.55</v>
      </c>
      <c r="N1009" s="1">
        <v>3583.63</v>
      </c>
      <c r="O1009" s="1">
        <v>33857.47</v>
      </c>
      <c r="P1009" s="1">
        <v>0.14000000000000001</v>
      </c>
      <c r="Q1009" s="1">
        <v>29399.200000000001</v>
      </c>
      <c r="R1009" s="1">
        <v>16702.509999999998</v>
      </c>
      <c r="S1009" s="1">
        <f t="shared" si="31"/>
        <v>12696.690000000002</v>
      </c>
      <c r="T1009" s="1" t="s">
        <v>875</v>
      </c>
      <c r="U1009" s="1" t="s">
        <v>877</v>
      </c>
      <c r="V1009" s="5" t="s">
        <v>882</v>
      </c>
    </row>
    <row r="1010" spans="1:22" x14ac:dyDescent="0.3">
      <c r="A1010" s="4" t="s">
        <v>100</v>
      </c>
      <c r="B1010" s="3">
        <v>45480</v>
      </c>
      <c r="C1010" s="1" t="str">
        <f t="shared" si="30"/>
        <v>July</v>
      </c>
      <c r="D1010" s="1" t="s">
        <v>352</v>
      </c>
      <c r="E1010" s="1" t="s">
        <v>585</v>
      </c>
      <c r="F1010" s="1" t="s">
        <v>802</v>
      </c>
      <c r="G1010" s="1" t="s">
        <v>804</v>
      </c>
      <c r="H1010" s="1" t="s">
        <v>812</v>
      </c>
      <c r="I1010" s="1" t="s">
        <v>814</v>
      </c>
      <c r="J1010" s="1" t="s">
        <v>819</v>
      </c>
      <c r="K1010" s="1" t="s">
        <v>822</v>
      </c>
      <c r="L1010" s="1" t="s">
        <v>862</v>
      </c>
      <c r="M1010" s="1">
        <v>2.85</v>
      </c>
      <c r="N1010" s="1">
        <v>1528.09</v>
      </c>
      <c r="O1010" s="1">
        <v>4807.2</v>
      </c>
      <c r="P1010" s="1">
        <v>0</v>
      </c>
      <c r="Q1010" s="1">
        <v>4793.49</v>
      </c>
      <c r="R1010" s="1">
        <v>3292.37</v>
      </c>
      <c r="S1010" s="1">
        <f t="shared" si="31"/>
        <v>1501.12</v>
      </c>
      <c r="T1010" s="1" t="s">
        <v>874</v>
      </c>
      <c r="U1010" s="1" t="s">
        <v>877</v>
      </c>
      <c r="V1010" s="5" t="s">
        <v>883</v>
      </c>
    </row>
    <row r="1011" spans="1:22" x14ac:dyDescent="0.3">
      <c r="A1011" s="4" t="s">
        <v>160</v>
      </c>
      <c r="B1011" s="3">
        <v>45479</v>
      </c>
      <c r="C1011" s="1" t="str">
        <f t="shared" si="30"/>
        <v>July</v>
      </c>
      <c r="D1011" s="1" t="s">
        <v>368</v>
      </c>
      <c r="E1011" s="1" t="s">
        <v>645</v>
      </c>
      <c r="F1011" s="1" t="s">
        <v>802</v>
      </c>
      <c r="G1011" s="1" t="s">
        <v>804</v>
      </c>
      <c r="H1011" s="1" t="s">
        <v>809</v>
      </c>
      <c r="I1011" s="1" t="s">
        <v>815</v>
      </c>
      <c r="J1011" s="1" t="s">
        <v>818</v>
      </c>
      <c r="K1011" s="1" t="s">
        <v>820</v>
      </c>
      <c r="L1011" s="1" t="s">
        <v>827</v>
      </c>
      <c r="M1011" s="1">
        <v>3.05</v>
      </c>
      <c r="N1011" s="1">
        <v>2971.96</v>
      </c>
      <c r="O1011" s="1">
        <v>8898.73</v>
      </c>
      <c r="P1011" s="1">
        <v>0</v>
      </c>
      <c r="Q1011" s="1">
        <v>7924.3</v>
      </c>
      <c r="R1011" s="1">
        <v>4501.03</v>
      </c>
      <c r="S1011" s="1">
        <f t="shared" si="31"/>
        <v>3423.2700000000004</v>
      </c>
      <c r="T1011" s="1" t="s">
        <v>873</v>
      </c>
      <c r="U1011" s="1" t="s">
        <v>881</v>
      </c>
      <c r="V1011" s="5" t="s">
        <v>882</v>
      </c>
    </row>
    <row r="1012" spans="1:22" x14ac:dyDescent="0.3">
      <c r="A1012" s="4" t="s">
        <v>203</v>
      </c>
      <c r="B1012" s="3">
        <v>45545</v>
      </c>
      <c r="C1012" s="1" t="str">
        <f t="shared" si="30"/>
        <v>September</v>
      </c>
      <c r="D1012" s="1" t="s">
        <v>475</v>
      </c>
      <c r="E1012" s="1" t="s">
        <v>687</v>
      </c>
      <c r="F1012" s="1" t="s">
        <v>803</v>
      </c>
      <c r="G1012" s="1" t="s">
        <v>806</v>
      </c>
      <c r="H1012" s="1" t="s">
        <v>810</v>
      </c>
      <c r="I1012" s="1" t="s">
        <v>813</v>
      </c>
      <c r="J1012" s="1" t="s">
        <v>819</v>
      </c>
      <c r="K1012" s="1" t="s">
        <v>821</v>
      </c>
      <c r="L1012" s="1" t="s">
        <v>832</v>
      </c>
      <c r="M1012" s="1">
        <v>7.61</v>
      </c>
      <c r="N1012" s="1">
        <v>2864.68</v>
      </c>
      <c r="O1012" s="1">
        <v>19524.419999999998</v>
      </c>
      <c r="P1012" s="1">
        <v>0.1</v>
      </c>
      <c r="Q1012" s="1">
        <v>19628.46</v>
      </c>
      <c r="R1012" s="1">
        <v>14829.37</v>
      </c>
      <c r="S1012" s="1">
        <f t="shared" si="31"/>
        <v>4799.0899999999983</v>
      </c>
      <c r="T1012" s="1" t="s">
        <v>876</v>
      </c>
      <c r="U1012" s="1" t="s">
        <v>877</v>
      </c>
      <c r="V1012" s="5" t="s">
        <v>884</v>
      </c>
    </row>
    <row r="1013" spans="1:22" x14ac:dyDescent="0.3">
      <c r="A1013" s="4" t="s">
        <v>45</v>
      </c>
      <c r="B1013" s="3">
        <v>45575</v>
      </c>
      <c r="C1013" s="1" t="str">
        <f t="shared" si="30"/>
        <v>October</v>
      </c>
      <c r="D1013" s="1" t="s">
        <v>444</v>
      </c>
      <c r="E1013" s="1" t="s">
        <v>530</v>
      </c>
      <c r="F1013" s="1" t="s">
        <v>802</v>
      </c>
      <c r="G1013" s="1" t="s">
        <v>804</v>
      </c>
      <c r="H1013" s="1" t="s">
        <v>809</v>
      </c>
      <c r="I1013" s="1" t="s">
        <v>813</v>
      </c>
      <c r="J1013" s="1" t="s">
        <v>817</v>
      </c>
      <c r="K1013" s="1" t="s">
        <v>820</v>
      </c>
      <c r="L1013" s="1" t="s">
        <v>844</v>
      </c>
      <c r="M1013" s="1">
        <v>7.68</v>
      </c>
      <c r="N1013" s="1">
        <v>2416.21</v>
      </c>
      <c r="O1013" s="1">
        <v>20252.63</v>
      </c>
      <c r="P1013" s="1">
        <v>0.14000000000000001</v>
      </c>
      <c r="Q1013" s="1">
        <v>14408.94</v>
      </c>
      <c r="R1013" s="1">
        <v>10357.81</v>
      </c>
      <c r="S1013" s="1">
        <f t="shared" si="31"/>
        <v>4051.130000000001</v>
      </c>
      <c r="T1013" s="1" t="s">
        <v>874</v>
      </c>
      <c r="U1013" s="1" t="s">
        <v>877</v>
      </c>
      <c r="V1013" s="5" t="s">
        <v>882</v>
      </c>
    </row>
    <row r="1014" spans="1:22" x14ac:dyDescent="0.3">
      <c r="A1014" s="4" t="s">
        <v>136</v>
      </c>
      <c r="B1014" s="3">
        <v>45605</v>
      </c>
      <c r="C1014" s="1" t="str">
        <f t="shared" si="30"/>
        <v>November</v>
      </c>
      <c r="D1014" s="1" t="s">
        <v>393</v>
      </c>
      <c r="E1014" s="1" t="s">
        <v>621</v>
      </c>
      <c r="F1014" s="1" t="s">
        <v>802</v>
      </c>
      <c r="G1014" s="1" t="s">
        <v>806</v>
      </c>
      <c r="H1014" s="1" t="s">
        <v>809</v>
      </c>
      <c r="I1014" s="1" t="s">
        <v>813</v>
      </c>
      <c r="J1014" s="1" t="s">
        <v>817</v>
      </c>
      <c r="K1014" s="1" t="s">
        <v>822</v>
      </c>
      <c r="L1014" s="1" t="s">
        <v>857</v>
      </c>
      <c r="M1014" s="1">
        <v>10.46</v>
      </c>
      <c r="N1014" s="1">
        <v>819.56</v>
      </c>
      <c r="O1014" s="1">
        <v>9191.4699999999993</v>
      </c>
      <c r="P1014" s="1">
        <v>0</v>
      </c>
      <c r="Q1014" s="1">
        <v>9345.2900000000009</v>
      </c>
      <c r="R1014" s="1">
        <v>5349.25</v>
      </c>
      <c r="S1014" s="1">
        <f t="shared" si="31"/>
        <v>3996.0400000000009</v>
      </c>
      <c r="T1014" s="1" t="s">
        <v>876</v>
      </c>
      <c r="U1014" s="1" t="s">
        <v>877</v>
      </c>
      <c r="V1014" s="5" t="s">
        <v>884</v>
      </c>
    </row>
    <row r="1015" spans="1:22" x14ac:dyDescent="0.3">
      <c r="A1015" s="4" t="s">
        <v>44</v>
      </c>
      <c r="B1015" s="3">
        <v>45375</v>
      </c>
      <c r="C1015" s="1" t="str">
        <f t="shared" si="30"/>
        <v>March</v>
      </c>
      <c r="D1015" s="1" t="s">
        <v>431</v>
      </c>
      <c r="E1015" s="1" t="s">
        <v>529</v>
      </c>
      <c r="F1015" s="1" t="s">
        <v>801</v>
      </c>
      <c r="G1015" s="1" t="s">
        <v>805</v>
      </c>
      <c r="H1015" s="1" t="s">
        <v>810</v>
      </c>
      <c r="I1015" s="1" t="s">
        <v>815</v>
      </c>
      <c r="J1015" s="1" t="s">
        <v>819</v>
      </c>
      <c r="K1015" s="1" t="s">
        <v>820</v>
      </c>
      <c r="L1015" s="1" t="s">
        <v>843</v>
      </c>
      <c r="M1015" s="1">
        <v>4.0199999999999996</v>
      </c>
      <c r="N1015" s="1">
        <v>978.86</v>
      </c>
      <c r="O1015" s="1">
        <v>3685.23</v>
      </c>
      <c r="P1015" s="1">
        <v>0.14000000000000001</v>
      </c>
      <c r="Q1015" s="1">
        <v>2792.5</v>
      </c>
      <c r="R1015" s="1">
        <v>2656.66</v>
      </c>
      <c r="S1015" s="1">
        <f t="shared" si="31"/>
        <v>135.84000000000015</v>
      </c>
      <c r="T1015" s="1" t="s">
        <v>874</v>
      </c>
      <c r="U1015" s="1" t="s">
        <v>877</v>
      </c>
      <c r="V1015" s="5" t="s">
        <v>884</v>
      </c>
    </row>
    <row r="1016" spans="1:22" x14ac:dyDescent="0.3">
      <c r="A1016" s="4" t="s">
        <v>166</v>
      </c>
      <c r="B1016" s="3">
        <v>45563</v>
      </c>
      <c r="C1016" s="1" t="str">
        <f t="shared" si="30"/>
        <v>September</v>
      </c>
      <c r="D1016" s="1" t="s">
        <v>472</v>
      </c>
      <c r="E1016" s="1" t="s">
        <v>651</v>
      </c>
      <c r="F1016" s="1" t="s">
        <v>803</v>
      </c>
      <c r="G1016" s="1" t="s">
        <v>806</v>
      </c>
      <c r="H1016" s="1" t="s">
        <v>811</v>
      </c>
      <c r="I1016" s="1" t="s">
        <v>816</v>
      </c>
      <c r="J1016" s="1" t="s">
        <v>819</v>
      </c>
      <c r="K1016" s="1" t="s">
        <v>821</v>
      </c>
      <c r="L1016" s="1" t="s">
        <v>847</v>
      </c>
      <c r="M1016" s="1">
        <v>2.02</v>
      </c>
      <c r="N1016" s="1">
        <v>1472.8</v>
      </c>
      <c r="O1016" s="1">
        <v>2639.92</v>
      </c>
      <c r="P1016" s="1">
        <v>0.05</v>
      </c>
      <c r="Q1016" s="1">
        <v>2808.11</v>
      </c>
      <c r="R1016" s="1">
        <v>1936.93</v>
      </c>
      <c r="S1016" s="1">
        <f t="shared" si="31"/>
        <v>871.18000000000006</v>
      </c>
      <c r="T1016" s="1" t="s">
        <v>876</v>
      </c>
      <c r="U1016" s="1" t="s">
        <v>877</v>
      </c>
      <c r="V1016" s="5" t="s">
        <v>883</v>
      </c>
    </row>
    <row r="1017" spans="1:22" x14ac:dyDescent="0.3">
      <c r="A1017" s="4" t="s">
        <v>115</v>
      </c>
      <c r="B1017" s="3">
        <v>45426</v>
      </c>
      <c r="C1017" s="1" t="str">
        <f t="shared" si="30"/>
        <v>May</v>
      </c>
      <c r="D1017" s="1" t="s">
        <v>336</v>
      </c>
      <c r="E1017" s="1" t="s">
        <v>600</v>
      </c>
      <c r="F1017" s="1" t="s">
        <v>801</v>
      </c>
      <c r="G1017" s="1" t="s">
        <v>806</v>
      </c>
      <c r="H1017" s="1" t="s">
        <v>808</v>
      </c>
      <c r="I1017" s="1" t="s">
        <v>814</v>
      </c>
      <c r="J1017" s="1" t="s">
        <v>818</v>
      </c>
      <c r="K1017" s="1" t="s">
        <v>821</v>
      </c>
      <c r="L1017" s="1" t="s">
        <v>848</v>
      </c>
      <c r="M1017" s="1">
        <v>9.86</v>
      </c>
      <c r="N1017" s="1">
        <v>2094.46</v>
      </c>
      <c r="O1017" s="1">
        <v>15899.01</v>
      </c>
      <c r="P1017" s="1">
        <v>0.15</v>
      </c>
      <c r="Q1017" s="1">
        <v>13586.37</v>
      </c>
      <c r="R1017" s="1">
        <v>13725.09</v>
      </c>
      <c r="S1017" s="1">
        <f t="shared" si="31"/>
        <v>-138.71999999999935</v>
      </c>
      <c r="T1017" s="1" t="s">
        <v>876</v>
      </c>
      <c r="U1017" s="1" t="s">
        <v>879</v>
      </c>
      <c r="V1017" s="5" t="s">
        <v>883</v>
      </c>
    </row>
    <row r="1018" spans="1:22" x14ac:dyDescent="0.3">
      <c r="A1018" s="4" t="s">
        <v>117</v>
      </c>
      <c r="B1018" s="3">
        <v>45413</v>
      </c>
      <c r="C1018" s="1" t="str">
        <f t="shared" si="30"/>
        <v>May</v>
      </c>
      <c r="D1018" s="1" t="s">
        <v>464</v>
      </c>
      <c r="E1018" s="1" t="s">
        <v>602</v>
      </c>
      <c r="F1018" s="1" t="s">
        <v>802</v>
      </c>
      <c r="G1018" s="1" t="s">
        <v>807</v>
      </c>
      <c r="H1018" s="1" t="s">
        <v>808</v>
      </c>
      <c r="I1018" s="1" t="s">
        <v>814</v>
      </c>
      <c r="J1018" s="1" t="s">
        <v>819</v>
      </c>
      <c r="K1018" s="1" t="s">
        <v>820</v>
      </c>
      <c r="L1018" s="1" t="s">
        <v>829</v>
      </c>
      <c r="M1018" s="1">
        <v>3.22</v>
      </c>
      <c r="N1018" s="1">
        <v>1378.69</v>
      </c>
      <c r="O1018" s="1">
        <v>4358.37</v>
      </c>
      <c r="P1018" s="1">
        <v>0.05</v>
      </c>
      <c r="Q1018" s="1">
        <v>5056.51</v>
      </c>
      <c r="R1018" s="1">
        <v>3288.68</v>
      </c>
      <c r="S1018" s="1">
        <f t="shared" si="31"/>
        <v>1767.8300000000004</v>
      </c>
      <c r="T1018" s="1" t="s">
        <v>874</v>
      </c>
      <c r="U1018" s="1" t="s">
        <v>880</v>
      </c>
      <c r="V1018" s="5" t="s">
        <v>884</v>
      </c>
    </row>
    <row r="1019" spans="1:22" x14ac:dyDescent="0.3">
      <c r="A1019" s="4" t="s">
        <v>187</v>
      </c>
      <c r="B1019" s="3">
        <v>45531</v>
      </c>
      <c r="C1019" s="1" t="str">
        <f t="shared" si="30"/>
        <v>August</v>
      </c>
      <c r="D1019" s="1" t="s">
        <v>478</v>
      </c>
      <c r="E1019" s="1" t="s">
        <v>671</v>
      </c>
      <c r="F1019" s="1" t="s">
        <v>801</v>
      </c>
      <c r="G1019" s="1" t="s">
        <v>806</v>
      </c>
      <c r="H1019" s="1" t="s">
        <v>812</v>
      </c>
      <c r="I1019" s="1" t="s">
        <v>816</v>
      </c>
      <c r="J1019" s="1" t="s">
        <v>818</v>
      </c>
      <c r="K1019" s="1" t="s">
        <v>820</v>
      </c>
      <c r="L1019" s="1" t="s">
        <v>830</v>
      </c>
      <c r="M1019" s="1">
        <v>3.59</v>
      </c>
      <c r="N1019" s="1">
        <v>945.56</v>
      </c>
      <c r="O1019" s="1">
        <v>4264.93</v>
      </c>
      <c r="P1019" s="1">
        <v>0.1</v>
      </c>
      <c r="Q1019" s="1">
        <v>3449.15</v>
      </c>
      <c r="R1019" s="1">
        <v>2150.8000000000002</v>
      </c>
      <c r="S1019" s="1">
        <f t="shared" si="31"/>
        <v>1298.3499999999999</v>
      </c>
      <c r="T1019" s="1" t="s">
        <v>873</v>
      </c>
      <c r="U1019" s="1" t="s">
        <v>880</v>
      </c>
      <c r="V1019" s="5" t="s">
        <v>883</v>
      </c>
    </row>
    <row r="1020" spans="1:22" x14ac:dyDescent="0.3">
      <c r="A1020" s="4" t="s">
        <v>48</v>
      </c>
      <c r="B1020" s="3">
        <v>45358</v>
      </c>
      <c r="C1020" s="1" t="str">
        <f t="shared" si="30"/>
        <v>March</v>
      </c>
      <c r="D1020" s="1" t="s">
        <v>419</v>
      </c>
      <c r="E1020" s="1" t="s">
        <v>533</v>
      </c>
      <c r="F1020" s="1" t="s">
        <v>803</v>
      </c>
      <c r="G1020" s="1" t="s">
        <v>806</v>
      </c>
      <c r="H1020" s="1" t="s">
        <v>810</v>
      </c>
      <c r="I1020" s="1" t="s">
        <v>815</v>
      </c>
      <c r="J1020" s="1" t="s">
        <v>818</v>
      </c>
      <c r="K1020" s="1" t="s">
        <v>822</v>
      </c>
      <c r="L1020" s="1" t="s">
        <v>840</v>
      </c>
      <c r="M1020" s="1">
        <v>9.3699999999999992</v>
      </c>
      <c r="N1020" s="1">
        <v>2780.37</v>
      </c>
      <c r="O1020" s="1">
        <v>20796.78</v>
      </c>
      <c r="P1020" s="1">
        <v>0</v>
      </c>
      <c r="Q1020" s="1">
        <v>23704.85</v>
      </c>
      <c r="R1020" s="1">
        <v>21505.63</v>
      </c>
      <c r="S1020" s="1">
        <f t="shared" si="31"/>
        <v>2199.2199999999975</v>
      </c>
      <c r="T1020" s="1" t="s">
        <v>875</v>
      </c>
      <c r="U1020" s="1" t="s">
        <v>879</v>
      </c>
      <c r="V1020" s="5" t="s">
        <v>884</v>
      </c>
    </row>
    <row r="1021" spans="1:22" x14ac:dyDescent="0.3">
      <c r="A1021" s="4" t="s">
        <v>198</v>
      </c>
      <c r="B1021" s="3">
        <v>45499</v>
      </c>
      <c r="C1021" s="1" t="str">
        <f t="shared" si="30"/>
        <v>July</v>
      </c>
      <c r="D1021" s="1" t="s">
        <v>480</v>
      </c>
      <c r="E1021" s="1" t="s">
        <v>682</v>
      </c>
      <c r="F1021" s="1" t="s">
        <v>803</v>
      </c>
      <c r="G1021" s="1" t="s">
        <v>804</v>
      </c>
      <c r="H1021" s="1" t="s">
        <v>809</v>
      </c>
      <c r="I1021" s="1" t="s">
        <v>815</v>
      </c>
      <c r="J1021" s="1" t="s">
        <v>819</v>
      </c>
      <c r="K1021" s="1" t="s">
        <v>820</v>
      </c>
      <c r="L1021" s="1" t="s">
        <v>866</v>
      </c>
      <c r="M1021" s="1">
        <v>4.2300000000000004</v>
      </c>
      <c r="N1021" s="1">
        <v>738.99</v>
      </c>
      <c r="O1021" s="1">
        <v>2921.68</v>
      </c>
      <c r="P1021" s="1">
        <v>0.1</v>
      </c>
      <c r="Q1021" s="1">
        <v>2590.38</v>
      </c>
      <c r="R1021" s="1">
        <v>1608.23</v>
      </c>
      <c r="S1021" s="1">
        <f t="shared" si="31"/>
        <v>982.15000000000009</v>
      </c>
      <c r="T1021" s="1" t="s">
        <v>874</v>
      </c>
      <c r="U1021" s="1" t="s">
        <v>878</v>
      </c>
      <c r="V1021" s="5" t="s">
        <v>882</v>
      </c>
    </row>
    <row r="1022" spans="1:22" x14ac:dyDescent="0.3">
      <c r="A1022" s="4" t="s">
        <v>206</v>
      </c>
      <c r="B1022" s="3">
        <v>45569</v>
      </c>
      <c r="C1022" s="1" t="str">
        <f t="shared" si="30"/>
        <v>October</v>
      </c>
      <c r="D1022" s="1" t="s">
        <v>330</v>
      </c>
      <c r="E1022" s="1" t="s">
        <v>690</v>
      </c>
      <c r="F1022" s="1" t="s">
        <v>803</v>
      </c>
      <c r="G1022" s="1" t="s">
        <v>807</v>
      </c>
      <c r="H1022" s="1" t="s">
        <v>808</v>
      </c>
      <c r="I1022" s="1" t="s">
        <v>815</v>
      </c>
      <c r="J1022" s="1" t="s">
        <v>818</v>
      </c>
      <c r="K1022" s="1" t="s">
        <v>821</v>
      </c>
      <c r="L1022" s="1" t="s">
        <v>858</v>
      </c>
      <c r="M1022" s="1">
        <v>8.9</v>
      </c>
      <c r="N1022" s="1">
        <v>2071.39</v>
      </c>
      <c r="O1022" s="1">
        <v>15576.61</v>
      </c>
      <c r="P1022" s="1">
        <v>0.05</v>
      </c>
      <c r="Q1022" s="1">
        <v>15640.29</v>
      </c>
      <c r="R1022" s="1">
        <v>14126.73</v>
      </c>
      <c r="S1022" s="1">
        <f t="shared" si="31"/>
        <v>1513.5600000000013</v>
      </c>
      <c r="T1022" s="1" t="s">
        <v>874</v>
      </c>
      <c r="U1022" s="1" t="s">
        <v>878</v>
      </c>
      <c r="V1022" s="5" t="s">
        <v>883</v>
      </c>
    </row>
    <row r="1023" spans="1:22" x14ac:dyDescent="0.3">
      <c r="A1023" s="4" t="s">
        <v>306</v>
      </c>
      <c r="B1023" s="3">
        <v>45337</v>
      </c>
      <c r="C1023" s="1" t="str">
        <f t="shared" si="30"/>
        <v>February</v>
      </c>
      <c r="D1023" s="1" t="s">
        <v>380</v>
      </c>
      <c r="E1023" s="1" t="s">
        <v>788</v>
      </c>
      <c r="F1023" s="1" t="s">
        <v>803</v>
      </c>
      <c r="G1023" s="1" t="s">
        <v>804</v>
      </c>
      <c r="H1023" s="1" t="s">
        <v>809</v>
      </c>
      <c r="I1023" s="1" t="s">
        <v>809</v>
      </c>
      <c r="J1023" s="1" t="s">
        <v>817</v>
      </c>
      <c r="K1023" s="1" t="s">
        <v>820</v>
      </c>
      <c r="L1023" s="1" t="s">
        <v>828</v>
      </c>
      <c r="M1023" s="1">
        <v>4.7699999999999996</v>
      </c>
      <c r="N1023" s="1">
        <v>1463.48</v>
      </c>
      <c r="O1023" s="1">
        <v>6299.27</v>
      </c>
      <c r="P1023" s="1">
        <v>0.09</v>
      </c>
      <c r="Q1023" s="1">
        <v>6068.79</v>
      </c>
      <c r="R1023" s="1">
        <v>4006.59</v>
      </c>
      <c r="S1023" s="1">
        <f t="shared" si="31"/>
        <v>2062.1999999999998</v>
      </c>
      <c r="T1023" s="1" t="s">
        <v>875</v>
      </c>
      <c r="U1023" s="1" t="s">
        <v>881</v>
      </c>
      <c r="V1023" s="5" t="s">
        <v>884</v>
      </c>
    </row>
    <row r="1024" spans="1:22" x14ac:dyDescent="0.3">
      <c r="A1024" s="4" t="s">
        <v>295</v>
      </c>
      <c r="B1024" s="3">
        <v>45300</v>
      </c>
      <c r="C1024" s="1" t="str">
        <f t="shared" si="30"/>
        <v>January</v>
      </c>
      <c r="D1024" s="1" t="s">
        <v>418</v>
      </c>
      <c r="E1024" s="1" t="s">
        <v>777</v>
      </c>
      <c r="F1024" s="1" t="s">
        <v>801</v>
      </c>
      <c r="G1024" s="1" t="s">
        <v>807</v>
      </c>
      <c r="H1024" s="1" t="s">
        <v>810</v>
      </c>
      <c r="I1024" s="1" t="s">
        <v>814</v>
      </c>
      <c r="J1024" s="1" t="s">
        <v>818</v>
      </c>
      <c r="K1024" s="1" t="s">
        <v>822</v>
      </c>
      <c r="L1024" s="1" t="s">
        <v>836</v>
      </c>
      <c r="M1024" s="1">
        <v>6.24</v>
      </c>
      <c r="N1024" s="1">
        <v>994.16</v>
      </c>
      <c r="O1024" s="1">
        <v>6213.73</v>
      </c>
      <c r="P1024" s="1">
        <v>0</v>
      </c>
      <c r="Q1024" s="1">
        <v>6656.8</v>
      </c>
      <c r="R1024" s="1">
        <v>5118.6899999999996</v>
      </c>
      <c r="S1024" s="1">
        <f t="shared" si="31"/>
        <v>1538.1100000000006</v>
      </c>
      <c r="T1024" s="1" t="s">
        <v>874</v>
      </c>
      <c r="U1024" s="1" t="s">
        <v>877</v>
      </c>
      <c r="V1024" s="5" t="s">
        <v>882</v>
      </c>
    </row>
    <row r="1025" spans="1:22" x14ac:dyDescent="0.3">
      <c r="A1025" s="4" t="s">
        <v>206</v>
      </c>
      <c r="B1025" s="3">
        <v>45569</v>
      </c>
      <c r="C1025" s="1" t="str">
        <f t="shared" si="30"/>
        <v>October</v>
      </c>
      <c r="D1025" s="1" t="s">
        <v>330</v>
      </c>
      <c r="E1025" s="1" t="s">
        <v>690</v>
      </c>
      <c r="F1025" s="1" t="s">
        <v>803</v>
      </c>
      <c r="G1025" s="1" t="s">
        <v>807</v>
      </c>
      <c r="H1025" s="1" t="s">
        <v>808</v>
      </c>
      <c r="I1025" s="1" t="s">
        <v>815</v>
      </c>
      <c r="J1025" s="1" t="s">
        <v>818</v>
      </c>
      <c r="K1025" s="1" t="s">
        <v>821</v>
      </c>
      <c r="L1025" s="1" t="s">
        <v>858</v>
      </c>
      <c r="M1025" s="1">
        <v>8.0500000000000007</v>
      </c>
      <c r="N1025" s="1">
        <v>2164.54</v>
      </c>
      <c r="O1025" s="1">
        <v>16247.86</v>
      </c>
      <c r="P1025" s="1">
        <v>0.05</v>
      </c>
      <c r="Q1025" s="1">
        <v>16160.68</v>
      </c>
      <c r="R1025" s="1">
        <v>12318.47</v>
      </c>
      <c r="S1025" s="1">
        <f t="shared" si="31"/>
        <v>3842.2100000000009</v>
      </c>
      <c r="T1025" s="1" t="s">
        <v>874</v>
      </c>
      <c r="U1025" s="1" t="s">
        <v>878</v>
      </c>
      <c r="V1025" s="5" t="s">
        <v>883</v>
      </c>
    </row>
    <row r="1026" spans="1:22" x14ac:dyDescent="0.3">
      <c r="A1026" s="4" t="s">
        <v>220</v>
      </c>
      <c r="B1026" s="3">
        <v>45369</v>
      </c>
      <c r="C1026" s="1" t="str">
        <f t="shared" ref="C1026:C1089" si="32">TEXT(B1026,"MMMM")</f>
        <v>March</v>
      </c>
      <c r="D1026" s="1" t="s">
        <v>400</v>
      </c>
      <c r="E1026" s="1" t="s">
        <v>703</v>
      </c>
      <c r="F1026" s="1" t="s">
        <v>802</v>
      </c>
      <c r="G1026" s="1" t="s">
        <v>807</v>
      </c>
      <c r="H1026" s="1" t="s">
        <v>810</v>
      </c>
      <c r="I1026" s="1" t="s">
        <v>814</v>
      </c>
      <c r="J1026" s="1" t="s">
        <v>817</v>
      </c>
      <c r="K1026" s="1" t="s">
        <v>820</v>
      </c>
      <c r="L1026" s="1" t="s">
        <v>852</v>
      </c>
      <c r="M1026" s="1">
        <v>4.0999999999999996</v>
      </c>
      <c r="N1026" s="1">
        <v>456.71</v>
      </c>
      <c r="O1026" s="1">
        <v>1717.16</v>
      </c>
      <c r="P1026" s="1">
        <v>0.14000000000000001</v>
      </c>
      <c r="Q1026" s="1">
        <v>1149.26</v>
      </c>
      <c r="R1026" s="1">
        <v>876.13</v>
      </c>
      <c r="S1026" s="1">
        <f t="shared" ref="S1026:S1089" si="33">Q1026-R1026</f>
        <v>273.13</v>
      </c>
      <c r="T1026" s="1" t="s">
        <v>874</v>
      </c>
      <c r="U1026" s="1" t="s">
        <v>879</v>
      </c>
      <c r="V1026" s="5" t="s">
        <v>883</v>
      </c>
    </row>
    <row r="1027" spans="1:22" x14ac:dyDescent="0.3">
      <c r="A1027" s="4" t="s">
        <v>88</v>
      </c>
      <c r="B1027" s="3">
        <v>45539</v>
      </c>
      <c r="C1027" s="1" t="str">
        <f t="shared" si="32"/>
        <v>September</v>
      </c>
      <c r="D1027" s="1" t="s">
        <v>413</v>
      </c>
      <c r="E1027" s="1" t="s">
        <v>573</v>
      </c>
      <c r="F1027" s="1" t="s">
        <v>802</v>
      </c>
      <c r="G1027" s="1" t="s">
        <v>804</v>
      </c>
      <c r="H1027" s="1" t="s">
        <v>810</v>
      </c>
      <c r="I1027" s="1" t="s">
        <v>816</v>
      </c>
      <c r="J1027" s="1" t="s">
        <v>818</v>
      </c>
      <c r="K1027" s="1" t="s">
        <v>822</v>
      </c>
      <c r="L1027" s="1" t="s">
        <v>858</v>
      </c>
      <c r="M1027" s="1">
        <v>6.17</v>
      </c>
      <c r="N1027" s="1">
        <v>774.41</v>
      </c>
      <c r="O1027" s="1">
        <v>4798.04</v>
      </c>
      <c r="P1027" s="1">
        <v>0.15</v>
      </c>
      <c r="Q1027" s="1">
        <v>4232.78</v>
      </c>
      <c r="R1027" s="1">
        <v>3365.43</v>
      </c>
      <c r="S1027" s="1">
        <f t="shared" si="33"/>
        <v>867.34999999999991</v>
      </c>
      <c r="T1027" s="1" t="s">
        <v>874</v>
      </c>
      <c r="U1027" s="1" t="s">
        <v>879</v>
      </c>
      <c r="V1027" s="5" t="s">
        <v>884</v>
      </c>
    </row>
    <row r="1028" spans="1:22" x14ac:dyDescent="0.3">
      <c r="A1028" s="4" t="s">
        <v>106</v>
      </c>
      <c r="B1028" s="3">
        <v>45536</v>
      </c>
      <c r="C1028" s="1" t="str">
        <f t="shared" si="32"/>
        <v>September</v>
      </c>
      <c r="D1028" s="1" t="s">
        <v>341</v>
      </c>
      <c r="E1028" s="1" t="s">
        <v>591</v>
      </c>
      <c r="F1028" s="1" t="s">
        <v>803</v>
      </c>
      <c r="G1028" s="1" t="s">
        <v>805</v>
      </c>
      <c r="H1028" s="1" t="s">
        <v>810</v>
      </c>
      <c r="I1028" s="1" t="s">
        <v>813</v>
      </c>
      <c r="J1028" s="1" t="s">
        <v>817</v>
      </c>
      <c r="K1028" s="1" t="s">
        <v>822</v>
      </c>
      <c r="L1028" s="1" t="s">
        <v>830</v>
      </c>
      <c r="M1028" s="1">
        <v>9.31</v>
      </c>
      <c r="N1028" s="1">
        <v>505.48</v>
      </c>
      <c r="O1028" s="1">
        <v>3825.24</v>
      </c>
      <c r="P1028" s="1">
        <v>0.16</v>
      </c>
      <c r="Q1028" s="1">
        <v>3523.24</v>
      </c>
      <c r="R1028" s="1">
        <v>2537.7800000000002</v>
      </c>
      <c r="S1028" s="1">
        <f t="shared" si="33"/>
        <v>985.45999999999958</v>
      </c>
      <c r="T1028" s="1" t="s">
        <v>876</v>
      </c>
      <c r="U1028" s="1" t="s">
        <v>877</v>
      </c>
      <c r="V1028" s="5" t="s">
        <v>884</v>
      </c>
    </row>
    <row r="1029" spans="1:22" x14ac:dyDescent="0.3">
      <c r="A1029" s="4" t="s">
        <v>314</v>
      </c>
      <c r="B1029" s="3">
        <v>45501</v>
      </c>
      <c r="C1029" s="1" t="str">
        <f t="shared" si="32"/>
        <v>July</v>
      </c>
      <c r="D1029" s="1" t="s">
        <v>357</v>
      </c>
      <c r="E1029" s="1" t="s">
        <v>796</v>
      </c>
      <c r="F1029" s="1" t="s">
        <v>801</v>
      </c>
      <c r="G1029" s="1" t="s">
        <v>807</v>
      </c>
      <c r="H1029" s="1" t="s">
        <v>810</v>
      </c>
      <c r="I1029" s="1" t="s">
        <v>809</v>
      </c>
      <c r="J1029" s="1" t="s">
        <v>819</v>
      </c>
      <c r="K1029" s="1" t="s">
        <v>820</v>
      </c>
      <c r="L1029" s="1" t="s">
        <v>834</v>
      </c>
      <c r="M1029" s="1">
        <v>13.13</v>
      </c>
      <c r="N1029" s="1">
        <v>901.89</v>
      </c>
      <c r="O1029" s="1">
        <v>11201.47</v>
      </c>
      <c r="P1029" s="1">
        <v>0</v>
      </c>
      <c r="Q1029" s="1">
        <v>11852.9</v>
      </c>
      <c r="R1029" s="1">
        <v>8347.36</v>
      </c>
      <c r="S1029" s="1">
        <f t="shared" si="33"/>
        <v>3505.5399999999991</v>
      </c>
      <c r="T1029" s="1" t="s">
        <v>875</v>
      </c>
      <c r="U1029" s="1" t="s">
        <v>879</v>
      </c>
      <c r="V1029" s="5" t="s">
        <v>883</v>
      </c>
    </row>
    <row r="1030" spans="1:22" x14ac:dyDescent="0.3">
      <c r="A1030" s="4" t="s">
        <v>51</v>
      </c>
      <c r="B1030" s="3">
        <v>45319</v>
      </c>
      <c r="C1030" s="1" t="str">
        <f t="shared" si="32"/>
        <v>January</v>
      </c>
      <c r="D1030" s="1" t="s">
        <v>396</v>
      </c>
      <c r="E1030" s="1" t="s">
        <v>536</v>
      </c>
      <c r="F1030" s="1" t="s">
        <v>803</v>
      </c>
      <c r="G1030" s="1" t="s">
        <v>805</v>
      </c>
      <c r="H1030" s="1" t="s">
        <v>808</v>
      </c>
      <c r="I1030" s="1" t="s">
        <v>815</v>
      </c>
      <c r="J1030" s="1" t="s">
        <v>818</v>
      </c>
      <c r="K1030" s="1" t="s">
        <v>820</v>
      </c>
      <c r="L1030" s="1" t="s">
        <v>845</v>
      </c>
      <c r="M1030" s="1">
        <v>2.91</v>
      </c>
      <c r="N1030" s="1">
        <v>487.22</v>
      </c>
      <c r="O1030" s="1">
        <v>1294.8399999999999</v>
      </c>
      <c r="P1030" s="1">
        <v>0.09</v>
      </c>
      <c r="Q1030" s="1">
        <v>1240.53</v>
      </c>
      <c r="R1030" s="1">
        <v>798.48</v>
      </c>
      <c r="S1030" s="1">
        <f t="shared" si="33"/>
        <v>442.04999999999995</v>
      </c>
      <c r="T1030" s="1" t="s">
        <v>874</v>
      </c>
      <c r="U1030" s="1" t="s">
        <v>877</v>
      </c>
      <c r="V1030" s="5" t="s">
        <v>884</v>
      </c>
    </row>
    <row r="1031" spans="1:22" x14ac:dyDescent="0.3">
      <c r="A1031" s="4" t="s">
        <v>100</v>
      </c>
      <c r="B1031" s="3">
        <v>45480</v>
      </c>
      <c r="C1031" s="1" t="str">
        <f t="shared" si="32"/>
        <v>July</v>
      </c>
      <c r="D1031" s="1" t="s">
        <v>352</v>
      </c>
      <c r="E1031" s="1" t="s">
        <v>585</v>
      </c>
      <c r="F1031" s="1" t="s">
        <v>802</v>
      </c>
      <c r="G1031" s="1" t="s">
        <v>804</v>
      </c>
      <c r="H1031" s="1" t="s">
        <v>812</v>
      </c>
      <c r="I1031" s="1" t="s">
        <v>814</v>
      </c>
      <c r="J1031" s="1" t="s">
        <v>819</v>
      </c>
      <c r="K1031" s="1" t="s">
        <v>822</v>
      </c>
      <c r="L1031" s="1" t="s">
        <v>862</v>
      </c>
      <c r="M1031" s="1">
        <v>2.92</v>
      </c>
      <c r="N1031" s="1">
        <v>1480.8</v>
      </c>
      <c r="O1031" s="1">
        <v>4344.28</v>
      </c>
      <c r="P1031" s="1">
        <v>0</v>
      </c>
      <c r="Q1031" s="1">
        <v>5110.62</v>
      </c>
      <c r="R1031" s="1">
        <v>3224.46</v>
      </c>
      <c r="S1031" s="1">
        <f t="shared" si="33"/>
        <v>1886.1599999999999</v>
      </c>
      <c r="T1031" s="1" t="s">
        <v>874</v>
      </c>
      <c r="U1031" s="1" t="s">
        <v>877</v>
      </c>
      <c r="V1031" s="5" t="s">
        <v>883</v>
      </c>
    </row>
    <row r="1032" spans="1:22" x14ac:dyDescent="0.3">
      <c r="A1032" s="4" t="s">
        <v>96</v>
      </c>
      <c r="B1032" s="3">
        <v>45452</v>
      </c>
      <c r="C1032" s="1" t="str">
        <f t="shared" si="32"/>
        <v>June</v>
      </c>
      <c r="D1032" s="1" t="s">
        <v>374</v>
      </c>
      <c r="E1032" s="1" t="s">
        <v>581</v>
      </c>
      <c r="F1032" s="1" t="s">
        <v>802</v>
      </c>
      <c r="G1032" s="1" t="s">
        <v>806</v>
      </c>
      <c r="H1032" s="1" t="s">
        <v>809</v>
      </c>
      <c r="I1032" s="1" t="s">
        <v>809</v>
      </c>
      <c r="J1032" s="1" t="s">
        <v>818</v>
      </c>
      <c r="K1032" s="1" t="s">
        <v>821</v>
      </c>
      <c r="L1032" s="1" t="s">
        <v>845</v>
      </c>
      <c r="M1032" s="1">
        <v>11.81</v>
      </c>
      <c r="N1032" s="1">
        <v>2167.5</v>
      </c>
      <c r="O1032" s="1">
        <v>21461.67</v>
      </c>
      <c r="P1032" s="1">
        <v>0</v>
      </c>
      <c r="Q1032" s="1">
        <v>22680.26</v>
      </c>
      <c r="R1032" s="1">
        <v>19501.939999999999</v>
      </c>
      <c r="S1032" s="1">
        <f t="shared" si="33"/>
        <v>3178.3199999999997</v>
      </c>
      <c r="T1032" s="1" t="s">
        <v>876</v>
      </c>
      <c r="U1032" s="1" t="s">
        <v>880</v>
      </c>
      <c r="V1032" s="5" t="s">
        <v>882</v>
      </c>
    </row>
    <row r="1033" spans="1:22" x14ac:dyDescent="0.3">
      <c r="A1033" s="4" t="s">
        <v>299</v>
      </c>
      <c r="B1033" s="3">
        <v>45611</v>
      </c>
      <c r="C1033" s="1" t="str">
        <f t="shared" si="32"/>
        <v>November</v>
      </c>
      <c r="D1033" s="1" t="s">
        <v>417</v>
      </c>
      <c r="E1033" s="1" t="s">
        <v>781</v>
      </c>
      <c r="F1033" s="1" t="s">
        <v>801</v>
      </c>
      <c r="G1033" s="1" t="s">
        <v>805</v>
      </c>
      <c r="H1033" s="1" t="s">
        <v>809</v>
      </c>
      <c r="I1033" s="1" t="s">
        <v>809</v>
      </c>
      <c r="J1033" s="1" t="s">
        <v>818</v>
      </c>
      <c r="K1033" s="1" t="s">
        <v>820</v>
      </c>
      <c r="L1033" s="1" t="s">
        <v>837</v>
      </c>
      <c r="M1033" s="1">
        <v>8.0399999999999991</v>
      </c>
      <c r="N1033" s="1">
        <v>2054.9699999999998</v>
      </c>
      <c r="O1033" s="1">
        <v>14949.26</v>
      </c>
      <c r="P1033" s="1">
        <v>0.05</v>
      </c>
      <c r="Q1033" s="1">
        <v>15128.79</v>
      </c>
      <c r="R1033" s="1">
        <v>8733.2000000000007</v>
      </c>
      <c r="S1033" s="1">
        <f t="shared" si="33"/>
        <v>6395.59</v>
      </c>
      <c r="T1033" s="1" t="s">
        <v>873</v>
      </c>
      <c r="U1033" s="1" t="s">
        <v>878</v>
      </c>
      <c r="V1033" s="5" t="s">
        <v>883</v>
      </c>
    </row>
    <row r="1034" spans="1:22" x14ac:dyDescent="0.3">
      <c r="A1034" s="4" t="s">
        <v>136</v>
      </c>
      <c r="B1034" s="3">
        <v>45605</v>
      </c>
      <c r="C1034" s="1" t="str">
        <f t="shared" si="32"/>
        <v>November</v>
      </c>
      <c r="D1034" s="1" t="s">
        <v>393</v>
      </c>
      <c r="E1034" s="1" t="s">
        <v>621</v>
      </c>
      <c r="F1034" s="1" t="s">
        <v>802</v>
      </c>
      <c r="G1034" s="1" t="s">
        <v>806</v>
      </c>
      <c r="H1034" s="1" t="s">
        <v>809</v>
      </c>
      <c r="I1034" s="1" t="s">
        <v>813</v>
      </c>
      <c r="J1034" s="1" t="s">
        <v>817</v>
      </c>
      <c r="K1034" s="1" t="s">
        <v>822</v>
      </c>
      <c r="L1034" s="1" t="s">
        <v>857</v>
      </c>
      <c r="M1034" s="1">
        <v>11.12</v>
      </c>
      <c r="N1034" s="1">
        <v>807.8</v>
      </c>
      <c r="O1034" s="1">
        <v>7915.48</v>
      </c>
      <c r="P1034" s="1">
        <v>0</v>
      </c>
      <c r="Q1034" s="1">
        <v>9072.41</v>
      </c>
      <c r="R1034" s="1">
        <v>4873.2299999999996</v>
      </c>
      <c r="S1034" s="1">
        <f t="shared" si="33"/>
        <v>4199.18</v>
      </c>
      <c r="T1034" s="1" t="s">
        <v>876</v>
      </c>
      <c r="U1034" s="1" t="s">
        <v>877</v>
      </c>
      <c r="V1034" s="5" t="s">
        <v>884</v>
      </c>
    </row>
    <row r="1035" spans="1:22" x14ac:dyDescent="0.3">
      <c r="A1035" s="4" t="s">
        <v>262</v>
      </c>
      <c r="B1035" s="3">
        <v>45598</v>
      </c>
      <c r="C1035" s="1" t="str">
        <f t="shared" si="32"/>
        <v>November</v>
      </c>
      <c r="D1035" s="1" t="s">
        <v>494</v>
      </c>
      <c r="E1035" s="1" t="s">
        <v>745</v>
      </c>
      <c r="F1035" s="1" t="s">
        <v>803</v>
      </c>
      <c r="G1035" s="1" t="s">
        <v>807</v>
      </c>
      <c r="H1035" s="1" t="s">
        <v>812</v>
      </c>
      <c r="I1035" s="1" t="s">
        <v>816</v>
      </c>
      <c r="J1035" s="1" t="s">
        <v>819</v>
      </c>
      <c r="K1035" s="1" t="s">
        <v>820</v>
      </c>
      <c r="L1035" s="1" t="s">
        <v>868</v>
      </c>
      <c r="M1035" s="1">
        <v>0.95</v>
      </c>
      <c r="N1035" s="1">
        <v>1577.35</v>
      </c>
      <c r="O1035" s="1">
        <v>1260.8699999999999</v>
      </c>
      <c r="P1035" s="1">
        <v>0.05</v>
      </c>
      <c r="Q1035" s="1">
        <v>1372.24</v>
      </c>
      <c r="R1035" s="1">
        <v>1113.5899999999999</v>
      </c>
      <c r="S1035" s="1">
        <f t="shared" si="33"/>
        <v>258.65000000000009</v>
      </c>
      <c r="T1035" s="1" t="s">
        <v>874</v>
      </c>
      <c r="U1035" s="1" t="s">
        <v>880</v>
      </c>
      <c r="V1035" s="5" t="s">
        <v>882</v>
      </c>
    </row>
    <row r="1036" spans="1:22" x14ac:dyDescent="0.3">
      <c r="A1036" s="4" t="s">
        <v>243</v>
      </c>
      <c r="B1036" s="3">
        <v>45478</v>
      </c>
      <c r="C1036" s="1" t="str">
        <f t="shared" si="32"/>
        <v>July</v>
      </c>
      <c r="D1036" s="1" t="s">
        <v>484</v>
      </c>
      <c r="E1036" s="1" t="s">
        <v>726</v>
      </c>
      <c r="F1036" s="1" t="s">
        <v>803</v>
      </c>
      <c r="G1036" s="1" t="s">
        <v>805</v>
      </c>
      <c r="H1036" s="1" t="s">
        <v>810</v>
      </c>
      <c r="I1036" s="1" t="s">
        <v>809</v>
      </c>
      <c r="J1036" s="1" t="s">
        <v>819</v>
      </c>
      <c r="K1036" s="1" t="s">
        <v>822</v>
      </c>
      <c r="L1036" s="1" t="s">
        <v>831</v>
      </c>
      <c r="M1036" s="1">
        <v>3.87</v>
      </c>
      <c r="N1036" s="1">
        <v>2097.12</v>
      </c>
      <c r="O1036" s="1">
        <v>8064.58</v>
      </c>
      <c r="P1036" s="1">
        <v>0.09</v>
      </c>
      <c r="Q1036" s="1">
        <v>6976.65</v>
      </c>
      <c r="R1036" s="1">
        <v>4366.96</v>
      </c>
      <c r="S1036" s="1">
        <f t="shared" si="33"/>
        <v>2609.6899999999996</v>
      </c>
      <c r="T1036" s="1" t="s">
        <v>873</v>
      </c>
      <c r="U1036" s="1" t="s">
        <v>877</v>
      </c>
      <c r="V1036" s="5" t="s">
        <v>884</v>
      </c>
    </row>
    <row r="1037" spans="1:22" x14ac:dyDescent="0.3">
      <c r="A1037" s="4" t="s">
        <v>175</v>
      </c>
      <c r="B1037" s="3">
        <v>45366</v>
      </c>
      <c r="C1037" s="1" t="str">
        <f t="shared" si="32"/>
        <v>March</v>
      </c>
      <c r="D1037" s="1" t="s">
        <v>416</v>
      </c>
      <c r="E1037" s="1" t="s">
        <v>660</v>
      </c>
      <c r="F1037" s="1" t="s">
        <v>801</v>
      </c>
      <c r="G1037" s="1" t="s">
        <v>806</v>
      </c>
      <c r="H1037" s="1" t="s">
        <v>812</v>
      </c>
      <c r="I1037" s="1" t="s">
        <v>813</v>
      </c>
      <c r="J1037" s="1" t="s">
        <v>819</v>
      </c>
      <c r="K1037" s="1" t="s">
        <v>820</v>
      </c>
      <c r="L1037" s="1" t="s">
        <v>856</v>
      </c>
      <c r="M1037" s="1">
        <v>8.84</v>
      </c>
      <c r="N1037" s="1">
        <v>1583.53</v>
      </c>
      <c r="O1037" s="1">
        <v>16829.59</v>
      </c>
      <c r="P1037" s="1">
        <v>0.05</v>
      </c>
      <c r="Q1037" s="1">
        <v>16584.63</v>
      </c>
      <c r="R1037" s="1">
        <v>10993.01</v>
      </c>
      <c r="S1037" s="1">
        <f t="shared" si="33"/>
        <v>5591.6200000000008</v>
      </c>
      <c r="T1037" s="1" t="s">
        <v>876</v>
      </c>
      <c r="U1037" s="1" t="s">
        <v>879</v>
      </c>
      <c r="V1037" s="5" t="s">
        <v>883</v>
      </c>
    </row>
    <row r="1038" spans="1:22" x14ac:dyDescent="0.3">
      <c r="A1038" s="4" t="s">
        <v>207</v>
      </c>
      <c r="B1038" s="3">
        <v>45362</v>
      </c>
      <c r="C1038" s="1" t="str">
        <f t="shared" si="32"/>
        <v>March</v>
      </c>
      <c r="D1038" s="1" t="s">
        <v>483</v>
      </c>
      <c r="E1038" s="1" t="s">
        <v>691</v>
      </c>
      <c r="F1038" s="1" t="s">
        <v>802</v>
      </c>
      <c r="G1038" s="1" t="s">
        <v>805</v>
      </c>
      <c r="H1038" s="1" t="s">
        <v>809</v>
      </c>
      <c r="I1038" s="1" t="s">
        <v>813</v>
      </c>
      <c r="J1038" s="1" t="s">
        <v>818</v>
      </c>
      <c r="K1038" s="1" t="s">
        <v>821</v>
      </c>
      <c r="L1038" s="1" t="s">
        <v>831</v>
      </c>
      <c r="M1038" s="1">
        <v>5.56</v>
      </c>
      <c r="N1038" s="1">
        <v>1921.71</v>
      </c>
      <c r="O1038" s="1">
        <v>12087.53</v>
      </c>
      <c r="P1038" s="1">
        <v>0</v>
      </c>
      <c r="Q1038" s="1">
        <v>14239.64</v>
      </c>
      <c r="R1038" s="1">
        <v>9253.23</v>
      </c>
      <c r="S1038" s="1">
        <f t="shared" si="33"/>
        <v>4986.41</v>
      </c>
      <c r="T1038" s="1" t="s">
        <v>873</v>
      </c>
      <c r="U1038" s="1" t="s">
        <v>879</v>
      </c>
      <c r="V1038" s="5" t="s">
        <v>883</v>
      </c>
    </row>
    <row r="1039" spans="1:22" x14ac:dyDescent="0.3">
      <c r="A1039" s="4" t="s">
        <v>306</v>
      </c>
      <c r="B1039" s="3">
        <v>45337</v>
      </c>
      <c r="C1039" s="1" t="str">
        <f t="shared" si="32"/>
        <v>February</v>
      </c>
      <c r="D1039" s="1" t="s">
        <v>380</v>
      </c>
      <c r="E1039" s="1" t="s">
        <v>788</v>
      </c>
      <c r="F1039" s="1" t="s">
        <v>803</v>
      </c>
      <c r="G1039" s="1" t="s">
        <v>804</v>
      </c>
      <c r="H1039" s="1" t="s">
        <v>809</v>
      </c>
      <c r="I1039" s="1" t="s">
        <v>809</v>
      </c>
      <c r="J1039" s="1" t="s">
        <v>817</v>
      </c>
      <c r="K1039" s="1" t="s">
        <v>820</v>
      </c>
      <c r="L1039" s="1" t="s">
        <v>828</v>
      </c>
      <c r="M1039" s="1">
        <v>4.7300000000000004</v>
      </c>
      <c r="N1039" s="1">
        <v>1392.64</v>
      </c>
      <c r="O1039" s="1">
        <v>6019.6</v>
      </c>
      <c r="P1039" s="1">
        <v>0.09</v>
      </c>
      <c r="Q1039" s="1">
        <v>6605.45</v>
      </c>
      <c r="R1039" s="1">
        <v>4247.4799999999996</v>
      </c>
      <c r="S1039" s="1">
        <f t="shared" si="33"/>
        <v>2357.9700000000003</v>
      </c>
      <c r="T1039" s="1" t="s">
        <v>875</v>
      </c>
      <c r="U1039" s="1" t="s">
        <v>881</v>
      </c>
      <c r="V1039" s="5" t="s">
        <v>884</v>
      </c>
    </row>
    <row r="1040" spans="1:22" x14ac:dyDescent="0.3">
      <c r="A1040" s="4" t="s">
        <v>286</v>
      </c>
      <c r="B1040" s="3">
        <v>45376</v>
      </c>
      <c r="C1040" s="1" t="str">
        <f t="shared" si="32"/>
        <v>March</v>
      </c>
      <c r="D1040" s="1" t="s">
        <v>499</v>
      </c>
      <c r="E1040" s="1" t="s">
        <v>769</v>
      </c>
      <c r="F1040" s="1" t="s">
        <v>802</v>
      </c>
      <c r="G1040" s="1" t="s">
        <v>807</v>
      </c>
      <c r="H1040" s="1" t="s">
        <v>811</v>
      </c>
      <c r="I1040" s="1" t="s">
        <v>816</v>
      </c>
      <c r="J1040" s="1" t="s">
        <v>819</v>
      </c>
      <c r="K1040" s="1" t="s">
        <v>822</v>
      </c>
      <c r="L1040" s="1" t="s">
        <v>836</v>
      </c>
      <c r="M1040" s="1">
        <v>3.05</v>
      </c>
      <c r="N1040" s="1">
        <v>3047.84</v>
      </c>
      <c r="O1040" s="1">
        <v>10623.71</v>
      </c>
      <c r="P1040" s="1">
        <v>0</v>
      </c>
      <c r="Q1040" s="1">
        <v>9680.99</v>
      </c>
      <c r="R1040" s="1">
        <v>6930.23</v>
      </c>
      <c r="S1040" s="1">
        <f t="shared" si="33"/>
        <v>2750.76</v>
      </c>
      <c r="T1040" s="1" t="s">
        <v>875</v>
      </c>
      <c r="U1040" s="1" t="s">
        <v>880</v>
      </c>
      <c r="V1040" s="5" t="s">
        <v>883</v>
      </c>
    </row>
    <row r="1041" spans="1:22" x14ac:dyDescent="0.3">
      <c r="A1041" s="4" t="s">
        <v>211</v>
      </c>
      <c r="B1041" s="3">
        <v>45482</v>
      </c>
      <c r="C1041" s="1" t="str">
        <f t="shared" si="32"/>
        <v>July</v>
      </c>
      <c r="D1041" s="1" t="s">
        <v>484</v>
      </c>
      <c r="E1041" s="1" t="s">
        <v>694</v>
      </c>
      <c r="F1041" s="1" t="s">
        <v>802</v>
      </c>
      <c r="G1041" s="1" t="s">
        <v>806</v>
      </c>
      <c r="H1041" s="1" t="s">
        <v>811</v>
      </c>
      <c r="I1041" s="1" t="s">
        <v>809</v>
      </c>
      <c r="J1041" s="1" t="s">
        <v>818</v>
      </c>
      <c r="K1041" s="1" t="s">
        <v>820</v>
      </c>
      <c r="L1041" s="1" t="s">
        <v>860</v>
      </c>
      <c r="M1041" s="1">
        <v>1.07</v>
      </c>
      <c r="N1041" s="1">
        <v>2521.0300000000002</v>
      </c>
      <c r="O1041" s="1">
        <v>2466.52</v>
      </c>
      <c r="P1041" s="1">
        <v>0.05</v>
      </c>
      <c r="Q1041" s="1">
        <v>2400.04</v>
      </c>
      <c r="R1041" s="1">
        <v>1730.47</v>
      </c>
      <c r="S1041" s="1">
        <f t="shared" si="33"/>
        <v>669.56999999999994</v>
      </c>
      <c r="T1041" s="1" t="s">
        <v>876</v>
      </c>
      <c r="U1041" s="1" t="s">
        <v>879</v>
      </c>
      <c r="V1041" s="5" t="s">
        <v>882</v>
      </c>
    </row>
    <row r="1042" spans="1:22" x14ac:dyDescent="0.3">
      <c r="A1042" s="4" t="s">
        <v>119</v>
      </c>
      <c r="B1042" s="3">
        <v>45490</v>
      </c>
      <c r="C1042" s="1" t="str">
        <f t="shared" si="32"/>
        <v>July</v>
      </c>
      <c r="D1042" s="1" t="s">
        <v>329</v>
      </c>
      <c r="E1042" s="1" t="s">
        <v>604</v>
      </c>
      <c r="F1042" s="1" t="s">
        <v>802</v>
      </c>
      <c r="G1042" s="1" t="s">
        <v>807</v>
      </c>
      <c r="H1042" s="1" t="s">
        <v>811</v>
      </c>
      <c r="I1042" s="1" t="s">
        <v>809</v>
      </c>
      <c r="J1042" s="1" t="s">
        <v>817</v>
      </c>
      <c r="K1042" s="1" t="s">
        <v>822</v>
      </c>
      <c r="L1042" s="1" t="s">
        <v>854</v>
      </c>
      <c r="M1042" s="1">
        <v>1.1399999999999999</v>
      </c>
      <c r="N1042" s="1">
        <v>471.74</v>
      </c>
      <c r="O1042" s="1">
        <v>471.46</v>
      </c>
      <c r="P1042" s="1">
        <v>0.15</v>
      </c>
      <c r="Q1042" s="1">
        <v>368.22</v>
      </c>
      <c r="R1042" s="1">
        <v>276.3</v>
      </c>
      <c r="S1042" s="1">
        <f t="shared" si="33"/>
        <v>91.920000000000016</v>
      </c>
      <c r="T1042" s="1" t="s">
        <v>873</v>
      </c>
      <c r="U1042" s="1" t="s">
        <v>877</v>
      </c>
      <c r="V1042" s="5" t="s">
        <v>883</v>
      </c>
    </row>
    <row r="1043" spans="1:22" x14ac:dyDescent="0.3">
      <c r="A1043" s="4" t="s">
        <v>92</v>
      </c>
      <c r="B1043" s="3">
        <v>45617</v>
      </c>
      <c r="C1043" s="1" t="str">
        <f t="shared" si="32"/>
        <v>November</v>
      </c>
      <c r="D1043" s="1" t="s">
        <v>448</v>
      </c>
      <c r="E1043" s="1" t="s">
        <v>577</v>
      </c>
      <c r="F1043" s="1" t="s">
        <v>802</v>
      </c>
      <c r="G1043" s="1" t="s">
        <v>805</v>
      </c>
      <c r="H1043" s="1" t="s">
        <v>808</v>
      </c>
      <c r="I1043" s="1" t="s">
        <v>813</v>
      </c>
      <c r="J1043" s="1" t="s">
        <v>819</v>
      </c>
      <c r="K1043" s="1" t="s">
        <v>820</v>
      </c>
      <c r="L1043" s="1" t="s">
        <v>860</v>
      </c>
      <c r="M1043" s="1">
        <v>2.02</v>
      </c>
      <c r="N1043" s="1">
        <v>3607.26</v>
      </c>
      <c r="O1043" s="1">
        <v>6434.04</v>
      </c>
      <c r="P1043" s="1">
        <v>0.05</v>
      </c>
      <c r="Q1043" s="1">
        <v>5938.78</v>
      </c>
      <c r="R1043" s="1">
        <v>5402.14</v>
      </c>
      <c r="S1043" s="1">
        <f t="shared" si="33"/>
        <v>536.63999999999942</v>
      </c>
      <c r="T1043" s="1" t="s">
        <v>875</v>
      </c>
      <c r="U1043" s="1" t="s">
        <v>877</v>
      </c>
      <c r="V1043" s="5" t="s">
        <v>884</v>
      </c>
    </row>
    <row r="1044" spans="1:22" x14ac:dyDescent="0.3">
      <c r="A1044" s="4" t="s">
        <v>216</v>
      </c>
      <c r="B1044" s="3">
        <v>45562</v>
      </c>
      <c r="C1044" s="1" t="str">
        <f t="shared" si="32"/>
        <v>September</v>
      </c>
      <c r="D1044" s="1" t="s">
        <v>321</v>
      </c>
      <c r="E1044" s="1" t="s">
        <v>699</v>
      </c>
      <c r="F1044" s="1" t="s">
        <v>802</v>
      </c>
      <c r="G1044" s="1" t="s">
        <v>805</v>
      </c>
      <c r="H1044" s="1" t="s">
        <v>812</v>
      </c>
      <c r="I1044" s="1" t="s">
        <v>814</v>
      </c>
      <c r="J1044" s="1" t="s">
        <v>819</v>
      </c>
      <c r="K1044" s="1" t="s">
        <v>822</v>
      </c>
      <c r="L1044" s="1" t="s">
        <v>836</v>
      </c>
      <c r="M1044" s="1">
        <v>5.21</v>
      </c>
      <c r="N1044" s="1">
        <v>3103.09</v>
      </c>
      <c r="O1044" s="1">
        <v>16306.55</v>
      </c>
      <c r="P1044" s="1">
        <v>0</v>
      </c>
      <c r="Q1044" s="1">
        <v>15589.42</v>
      </c>
      <c r="R1044" s="1">
        <v>9302.7199999999993</v>
      </c>
      <c r="S1044" s="1">
        <f t="shared" si="33"/>
        <v>6286.7000000000007</v>
      </c>
      <c r="T1044" s="1" t="s">
        <v>874</v>
      </c>
      <c r="U1044" s="1" t="s">
        <v>877</v>
      </c>
      <c r="V1044" s="5" t="s">
        <v>884</v>
      </c>
    </row>
    <row r="1045" spans="1:22" x14ac:dyDescent="0.3">
      <c r="A1045" s="4" t="s">
        <v>306</v>
      </c>
      <c r="B1045" s="3">
        <v>45337</v>
      </c>
      <c r="C1045" s="1" t="str">
        <f t="shared" si="32"/>
        <v>February</v>
      </c>
      <c r="D1045" s="1" t="s">
        <v>380</v>
      </c>
      <c r="E1045" s="1" t="s">
        <v>788</v>
      </c>
      <c r="F1045" s="1" t="s">
        <v>803</v>
      </c>
      <c r="G1045" s="1" t="s">
        <v>804</v>
      </c>
      <c r="H1045" s="1" t="s">
        <v>809</v>
      </c>
      <c r="I1045" s="1" t="s">
        <v>809</v>
      </c>
      <c r="J1045" s="1" t="s">
        <v>817</v>
      </c>
      <c r="K1045" s="1" t="s">
        <v>820</v>
      </c>
      <c r="L1045" s="1" t="s">
        <v>828</v>
      </c>
      <c r="M1045" s="1">
        <v>5.37</v>
      </c>
      <c r="N1045" s="1">
        <v>1368.7</v>
      </c>
      <c r="O1045" s="1">
        <v>6624</v>
      </c>
      <c r="P1045" s="1">
        <v>0.09</v>
      </c>
      <c r="Q1045" s="1">
        <v>5458.77</v>
      </c>
      <c r="R1045" s="1">
        <v>3536.59</v>
      </c>
      <c r="S1045" s="1">
        <f t="shared" si="33"/>
        <v>1922.1800000000003</v>
      </c>
      <c r="T1045" s="1" t="s">
        <v>875</v>
      </c>
      <c r="U1045" s="1" t="s">
        <v>881</v>
      </c>
      <c r="V1045" s="5" t="s">
        <v>884</v>
      </c>
    </row>
    <row r="1046" spans="1:22" x14ac:dyDescent="0.3">
      <c r="A1046" s="4" t="s">
        <v>267</v>
      </c>
      <c r="B1046" s="3">
        <v>45379</v>
      </c>
      <c r="C1046" s="1" t="str">
        <f t="shared" si="32"/>
        <v>March</v>
      </c>
      <c r="D1046" s="1" t="s">
        <v>431</v>
      </c>
      <c r="E1046" s="1" t="s">
        <v>750</v>
      </c>
      <c r="F1046" s="1" t="s">
        <v>803</v>
      </c>
      <c r="G1046" s="1" t="s">
        <v>807</v>
      </c>
      <c r="H1046" s="1" t="s">
        <v>808</v>
      </c>
      <c r="I1046" s="1" t="s">
        <v>809</v>
      </c>
      <c r="J1046" s="1" t="s">
        <v>817</v>
      </c>
      <c r="K1046" s="1" t="s">
        <v>821</v>
      </c>
      <c r="L1046" s="1" t="s">
        <v>870</v>
      </c>
      <c r="M1046" s="1">
        <v>5.49</v>
      </c>
      <c r="N1046" s="1">
        <v>3651.39</v>
      </c>
      <c r="O1046" s="1">
        <v>16418.73</v>
      </c>
      <c r="P1046" s="1">
        <v>0.17</v>
      </c>
      <c r="Q1046" s="1">
        <v>12996.46</v>
      </c>
      <c r="R1046" s="1">
        <v>10139.290000000001</v>
      </c>
      <c r="S1046" s="1">
        <f t="shared" si="33"/>
        <v>2857.1699999999983</v>
      </c>
      <c r="T1046" s="1" t="s">
        <v>875</v>
      </c>
      <c r="U1046" s="1" t="s">
        <v>880</v>
      </c>
      <c r="V1046" s="5" t="s">
        <v>882</v>
      </c>
    </row>
    <row r="1047" spans="1:22" x14ac:dyDescent="0.3">
      <c r="A1047" s="4" t="s">
        <v>219</v>
      </c>
      <c r="B1047" s="3">
        <v>45466</v>
      </c>
      <c r="C1047" s="1" t="str">
        <f t="shared" si="32"/>
        <v>June</v>
      </c>
      <c r="D1047" s="1" t="s">
        <v>486</v>
      </c>
      <c r="E1047" s="1" t="s">
        <v>702</v>
      </c>
      <c r="F1047" s="1" t="s">
        <v>801</v>
      </c>
      <c r="G1047" s="1" t="s">
        <v>804</v>
      </c>
      <c r="H1047" s="1" t="s">
        <v>812</v>
      </c>
      <c r="I1047" s="1" t="s">
        <v>815</v>
      </c>
      <c r="J1047" s="1" t="s">
        <v>819</v>
      </c>
      <c r="K1047" s="1" t="s">
        <v>821</v>
      </c>
      <c r="L1047" s="1" t="s">
        <v>831</v>
      </c>
      <c r="M1047" s="1">
        <v>5.78</v>
      </c>
      <c r="N1047" s="1">
        <v>2454.9499999999998</v>
      </c>
      <c r="O1047" s="1">
        <v>11604.64</v>
      </c>
      <c r="P1047" s="1">
        <v>0.05</v>
      </c>
      <c r="Q1047" s="1">
        <v>9467.01</v>
      </c>
      <c r="R1047" s="1">
        <v>7253.53</v>
      </c>
      <c r="S1047" s="1">
        <f t="shared" si="33"/>
        <v>2213.4800000000005</v>
      </c>
      <c r="T1047" s="1" t="s">
        <v>875</v>
      </c>
      <c r="U1047" s="1" t="s">
        <v>880</v>
      </c>
      <c r="V1047" s="5" t="s">
        <v>884</v>
      </c>
    </row>
    <row r="1048" spans="1:22" x14ac:dyDescent="0.3">
      <c r="A1048" s="4" t="s">
        <v>242</v>
      </c>
      <c r="B1048" s="3">
        <v>45570</v>
      </c>
      <c r="C1048" s="1" t="str">
        <f t="shared" si="32"/>
        <v>October</v>
      </c>
      <c r="D1048" s="1" t="s">
        <v>346</v>
      </c>
      <c r="E1048" s="1" t="s">
        <v>725</v>
      </c>
      <c r="F1048" s="1" t="s">
        <v>802</v>
      </c>
      <c r="G1048" s="1" t="s">
        <v>807</v>
      </c>
      <c r="H1048" s="1" t="s">
        <v>808</v>
      </c>
      <c r="I1048" s="1" t="s">
        <v>814</v>
      </c>
      <c r="J1048" s="1" t="s">
        <v>819</v>
      </c>
      <c r="K1048" s="1" t="s">
        <v>821</v>
      </c>
      <c r="L1048" s="1" t="s">
        <v>830</v>
      </c>
      <c r="M1048" s="1">
        <v>3.97</v>
      </c>
      <c r="N1048" s="1">
        <v>3389.78</v>
      </c>
      <c r="O1048" s="1">
        <v>12414.72</v>
      </c>
      <c r="P1048" s="1">
        <v>0.11</v>
      </c>
      <c r="Q1048" s="1">
        <v>10625.53</v>
      </c>
      <c r="R1048" s="1">
        <v>8566.76</v>
      </c>
      <c r="S1048" s="1">
        <f t="shared" si="33"/>
        <v>2058.7700000000004</v>
      </c>
      <c r="T1048" s="1" t="s">
        <v>875</v>
      </c>
      <c r="U1048" s="1" t="s">
        <v>877</v>
      </c>
      <c r="V1048" s="5" t="s">
        <v>883</v>
      </c>
    </row>
    <row r="1049" spans="1:22" x14ac:dyDescent="0.3">
      <c r="A1049" s="4" t="s">
        <v>92</v>
      </c>
      <c r="B1049" s="3">
        <v>45617</v>
      </c>
      <c r="C1049" s="1" t="str">
        <f t="shared" si="32"/>
        <v>November</v>
      </c>
      <c r="D1049" s="1" t="s">
        <v>448</v>
      </c>
      <c r="E1049" s="1" t="s">
        <v>577</v>
      </c>
      <c r="F1049" s="1" t="s">
        <v>802</v>
      </c>
      <c r="G1049" s="1" t="s">
        <v>805</v>
      </c>
      <c r="H1049" s="1" t="s">
        <v>808</v>
      </c>
      <c r="I1049" s="1" t="s">
        <v>813</v>
      </c>
      <c r="J1049" s="1" t="s">
        <v>819</v>
      </c>
      <c r="K1049" s="1" t="s">
        <v>820</v>
      </c>
      <c r="L1049" s="1" t="s">
        <v>860</v>
      </c>
      <c r="M1049" s="1">
        <v>2.09</v>
      </c>
      <c r="N1049" s="1">
        <v>3246.91</v>
      </c>
      <c r="O1049" s="1">
        <v>6445.35</v>
      </c>
      <c r="P1049" s="1">
        <v>0.05</v>
      </c>
      <c r="Q1049" s="1">
        <v>5862.96</v>
      </c>
      <c r="R1049" s="1">
        <v>5190.84</v>
      </c>
      <c r="S1049" s="1">
        <f t="shared" si="33"/>
        <v>672.11999999999989</v>
      </c>
      <c r="T1049" s="1" t="s">
        <v>875</v>
      </c>
      <c r="U1049" s="1" t="s">
        <v>877</v>
      </c>
      <c r="V1049" s="5" t="s">
        <v>884</v>
      </c>
    </row>
    <row r="1050" spans="1:22" x14ac:dyDescent="0.3">
      <c r="A1050" s="4" t="s">
        <v>243</v>
      </c>
      <c r="B1050" s="3">
        <v>45478</v>
      </c>
      <c r="C1050" s="1" t="str">
        <f t="shared" si="32"/>
        <v>July</v>
      </c>
      <c r="D1050" s="1" t="s">
        <v>484</v>
      </c>
      <c r="E1050" s="1" t="s">
        <v>726</v>
      </c>
      <c r="F1050" s="1" t="s">
        <v>803</v>
      </c>
      <c r="G1050" s="1" t="s">
        <v>805</v>
      </c>
      <c r="H1050" s="1" t="s">
        <v>810</v>
      </c>
      <c r="I1050" s="1" t="s">
        <v>809</v>
      </c>
      <c r="J1050" s="1" t="s">
        <v>819</v>
      </c>
      <c r="K1050" s="1" t="s">
        <v>822</v>
      </c>
      <c r="L1050" s="1" t="s">
        <v>831</v>
      </c>
      <c r="M1050" s="1">
        <v>3.6</v>
      </c>
      <c r="N1050" s="1">
        <v>1864.87</v>
      </c>
      <c r="O1050" s="1">
        <v>7865.66</v>
      </c>
      <c r="P1050" s="1">
        <v>0.1</v>
      </c>
      <c r="Q1050" s="1">
        <v>6660.77</v>
      </c>
      <c r="R1050" s="1">
        <v>4977.67</v>
      </c>
      <c r="S1050" s="1">
        <f t="shared" si="33"/>
        <v>1683.1000000000004</v>
      </c>
      <c r="T1050" s="1" t="s">
        <v>873</v>
      </c>
      <c r="U1050" s="1" t="s">
        <v>877</v>
      </c>
      <c r="V1050" s="5" t="s">
        <v>884</v>
      </c>
    </row>
    <row r="1051" spans="1:22" x14ac:dyDescent="0.3">
      <c r="A1051" s="4" t="s">
        <v>80</v>
      </c>
      <c r="B1051" s="3">
        <v>45426</v>
      </c>
      <c r="C1051" s="1" t="str">
        <f t="shared" si="32"/>
        <v>May</v>
      </c>
      <c r="D1051" s="1" t="s">
        <v>454</v>
      </c>
      <c r="E1051" s="1" t="s">
        <v>565</v>
      </c>
      <c r="F1051" s="1" t="s">
        <v>803</v>
      </c>
      <c r="G1051" s="1" t="s">
        <v>806</v>
      </c>
      <c r="H1051" s="1" t="s">
        <v>809</v>
      </c>
      <c r="I1051" s="1" t="s">
        <v>816</v>
      </c>
      <c r="J1051" s="1" t="s">
        <v>818</v>
      </c>
      <c r="K1051" s="1" t="s">
        <v>822</v>
      </c>
      <c r="L1051" s="1" t="s">
        <v>857</v>
      </c>
      <c r="M1051" s="1">
        <v>11.81</v>
      </c>
      <c r="N1051" s="1">
        <v>2441.34</v>
      </c>
      <c r="O1051" s="1">
        <v>29952.86</v>
      </c>
      <c r="P1051" s="1">
        <v>0.11</v>
      </c>
      <c r="Q1051" s="1">
        <v>28844.92</v>
      </c>
      <c r="R1051" s="1">
        <v>16505.14</v>
      </c>
      <c r="S1051" s="1">
        <f t="shared" si="33"/>
        <v>12339.779999999999</v>
      </c>
      <c r="T1051" s="1" t="s">
        <v>873</v>
      </c>
      <c r="U1051" s="1" t="s">
        <v>879</v>
      </c>
      <c r="V1051" s="5" t="s">
        <v>884</v>
      </c>
    </row>
    <row r="1052" spans="1:22" x14ac:dyDescent="0.3">
      <c r="A1052" s="4" t="s">
        <v>48</v>
      </c>
      <c r="B1052" s="3">
        <v>45358</v>
      </c>
      <c r="C1052" s="1" t="str">
        <f t="shared" si="32"/>
        <v>March</v>
      </c>
      <c r="D1052" s="1" t="s">
        <v>419</v>
      </c>
      <c r="E1052" s="1" t="s">
        <v>533</v>
      </c>
      <c r="F1052" s="1" t="s">
        <v>803</v>
      </c>
      <c r="G1052" s="1" t="s">
        <v>806</v>
      </c>
      <c r="H1052" s="1" t="s">
        <v>810</v>
      </c>
      <c r="I1052" s="1" t="s">
        <v>815</v>
      </c>
      <c r="J1052" s="1" t="s">
        <v>818</v>
      </c>
      <c r="K1052" s="1" t="s">
        <v>822</v>
      </c>
      <c r="L1052" s="1" t="s">
        <v>840</v>
      </c>
      <c r="M1052" s="1">
        <v>7.94</v>
      </c>
      <c r="N1052" s="1">
        <v>2369.0300000000002</v>
      </c>
      <c r="O1052" s="1">
        <v>22411.55</v>
      </c>
      <c r="P1052" s="1">
        <v>0</v>
      </c>
      <c r="Q1052" s="1">
        <v>22491.74</v>
      </c>
      <c r="R1052" s="1">
        <v>23664.9</v>
      </c>
      <c r="S1052" s="1">
        <f t="shared" si="33"/>
        <v>-1173.1599999999999</v>
      </c>
      <c r="T1052" s="1" t="s">
        <v>875</v>
      </c>
      <c r="U1052" s="1" t="s">
        <v>879</v>
      </c>
      <c r="V1052" s="5" t="s">
        <v>884</v>
      </c>
    </row>
    <row r="1053" spans="1:22" x14ac:dyDescent="0.3">
      <c r="A1053" s="4" t="s">
        <v>27</v>
      </c>
      <c r="B1053" s="3">
        <v>45489</v>
      </c>
      <c r="C1053" s="1" t="str">
        <f t="shared" si="32"/>
        <v>July</v>
      </c>
      <c r="D1053" s="1" t="s">
        <v>440</v>
      </c>
      <c r="E1053" s="1" t="s">
        <v>512</v>
      </c>
      <c r="F1053" s="1" t="s">
        <v>801</v>
      </c>
      <c r="G1053" s="1" t="s">
        <v>804</v>
      </c>
      <c r="H1053" s="1" t="s">
        <v>810</v>
      </c>
      <c r="I1053" s="1" t="s">
        <v>815</v>
      </c>
      <c r="J1053" s="1" t="s">
        <v>817</v>
      </c>
      <c r="K1053" s="1" t="s">
        <v>821</v>
      </c>
      <c r="L1053" s="1" t="s">
        <v>829</v>
      </c>
      <c r="M1053" s="1">
        <v>5.95</v>
      </c>
      <c r="N1053" s="1">
        <v>410.49</v>
      </c>
      <c r="O1053" s="1">
        <v>2216.71</v>
      </c>
      <c r="P1053" s="1">
        <v>0.15</v>
      </c>
      <c r="Q1053" s="1">
        <v>2296.61</v>
      </c>
      <c r="R1053" s="1">
        <v>1790.08</v>
      </c>
      <c r="S1053" s="1">
        <f t="shared" si="33"/>
        <v>506.5300000000002</v>
      </c>
      <c r="T1053" s="1" t="s">
        <v>873</v>
      </c>
      <c r="U1053" s="1" t="s">
        <v>878</v>
      </c>
      <c r="V1053" s="5" t="s">
        <v>884</v>
      </c>
    </row>
    <row r="1054" spans="1:22" x14ac:dyDescent="0.3">
      <c r="A1054" s="4" t="s">
        <v>316</v>
      </c>
      <c r="B1054" s="3">
        <v>45422</v>
      </c>
      <c r="C1054" s="1" t="str">
        <f t="shared" si="32"/>
        <v>May</v>
      </c>
      <c r="D1054" s="1" t="s">
        <v>458</v>
      </c>
      <c r="E1054" s="1" t="s">
        <v>798</v>
      </c>
      <c r="F1054" s="1" t="s">
        <v>803</v>
      </c>
      <c r="G1054" s="1" t="s">
        <v>807</v>
      </c>
      <c r="H1054" s="1" t="s">
        <v>810</v>
      </c>
      <c r="I1054" s="1" t="s">
        <v>815</v>
      </c>
      <c r="J1054" s="1" t="s">
        <v>819</v>
      </c>
      <c r="K1054" s="1" t="s">
        <v>821</v>
      </c>
      <c r="L1054" s="1" t="s">
        <v>843</v>
      </c>
      <c r="M1054" s="1">
        <v>1.79</v>
      </c>
      <c r="N1054" s="1">
        <v>2468.0500000000002</v>
      </c>
      <c r="O1054" s="1">
        <v>4068.16</v>
      </c>
      <c r="P1054" s="1">
        <v>0.05</v>
      </c>
      <c r="Q1054" s="1">
        <v>3656.23</v>
      </c>
      <c r="R1054" s="1">
        <v>2580.12</v>
      </c>
      <c r="S1054" s="1">
        <f t="shared" si="33"/>
        <v>1076.1100000000001</v>
      </c>
      <c r="T1054" s="1" t="s">
        <v>875</v>
      </c>
      <c r="U1054" s="1" t="s">
        <v>880</v>
      </c>
      <c r="V1054" s="5" t="s">
        <v>884</v>
      </c>
    </row>
    <row r="1055" spans="1:22" x14ac:dyDescent="0.3">
      <c r="A1055" s="4" t="s">
        <v>174</v>
      </c>
      <c r="B1055" s="3">
        <v>45526</v>
      </c>
      <c r="C1055" s="1" t="str">
        <f t="shared" si="32"/>
        <v>August</v>
      </c>
      <c r="D1055" s="1" t="s">
        <v>359</v>
      </c>
      <c r="E1055" s="1" t="s">
        <v>659</v>
      </c>
      <c r="F1055" s="1" t="s">
        <v>802</v>
      </c>
      <c r="G1055" s="1" t="s">
        <v>807</v>
      </c>
      <c r="H1055" s="1" t="s">
        <v>809</v>
      </c>
      <c r="I1055" s="1" t="s">
        <v>816</v>
      </c>
      <c r="J1055" s="1" t="s">
        <v>819</v>
      </c>
      <c r="K1055" s="1" t="s">
        <v>822</v>
      </c>
      <c r="L1055" s="1" t="s">
        <v>852</v>
      </c>
      <c r="M1055" s="1">
        <v>11.52</v>
      </c>
      <c r="N1055" s="1">
        <v>1623.2</v>
      </c>
      <c r="O1055" s="1">
        <v>15930.24</v>
      </c>
      <c r="P1055" s="1">
        <v>0.11</v>
      </c>
      <c r="Q1055" s="1">
        <v>16050.02</v>
      </c>
      <c r="R1055" s="1">
        <v>11712.62</v>
      </c>
      <c r="S1055" s="1">
        <f t="shared" si="33"/>
        <v>4337.3999999999996</v>
      </c>
      <c r="T1055" s="1" t="s">
        <v>875</v>
      </c>
      <c r="U1055" s="1" t="s">
        <v>881</v>
      </c>
      <c r="V1055" s="5" t="s">
        <v>884</v>
      </c>
    </row>
    <row r="1056" spans="1:22" x14ac:dyDescent="0.3">
      <c r="A1056" s="4" t="s">
        <v>261</v>
      </c>
      <c r="B1056" s="3">
        <v>45339</v>
      </c>
      <c r="C1056" s="1" t="str">
        <f t="shared" si="32"/>
        <v>February</v>
      </c>
      <c r="D1056" s="1" t="s">
        <v>387</v>
      </c>
      <c r="E1056" s="1" t="s">
        <v>744</v>
      </c>
      <c r="F1056" s="1" t="s">
        <v>803</v>
      </c>
      <c r="G1056" s="1" t="s">
        <v>806</v>
      </c>
      <c r="H1056" s="1" t="s">
        <v>810</v>
      </c>
      <c r="I1056" s="1" t="s">
        <v>816</v>
      </c>
      <c r="J1056" s="1" t="s">
        <v>819</v>
      </c>
      <c r="K1056" s="1" t="s">
        <v>820</v>
      </c>
      <c r="L1056" s="1" t="s">
        <v>870</v>
      </c>
      <c r="M1056" s="1">
        <v>7.34</v>
      </c>
      <c r="N1056" s="1">
        <v>1171.5999999999999</v>
      </c>
      <c r="O1056" s="1">
        <v>9886.11</v>
      </c>
      <c r="P1056" s="1">
        <v>0.11</v>
      </c>
      <c r="Q1056" s="1">
        <v>9921.7900000000009</v>
      </c>
      <c r="R1056" s="1">
        <v>6453.5</v>
      </c>
      <c r="S1056" s="1">
        <f t="shared" si="33"/>
        <v>3468.2900000000009</v>
      </c>
      <c r="T1056" s="1" t="s">
        <v>874</v>
      </c>
      <c r="U1056" s="1" t="s">
        <v>877</v>
      </c>
      <c r="V1056" s="5" t="s">
        <v>883</v>
      </c>
    </row>
    <row r="1057" spans="1:22" x14ac:dyDescent="0.3">
      <c r="A1057" s="4" t="s">
        <v>153</v>
      </c>
      <c r="B1057" s="3">
        <v>45341</v>
      </c>
      <c r="C1057" s="1" t="str">
        <f t="shared" si="32"/>
        <v>February</v>
      </c>
      <c r="D1057" s="1" t="s">
        <v>461</v>
      </c>
      <c r="E1057" s="1" t="s">
        <v>638</v>
      </c>
      <c r="F1057" s="1" t="s">
        <v>803</v>
      </c>
      <c r="G1057" s="1" t="s">
        <v>805</v>
      </c>
      <c r="H1057" s="1" t="s">
        <v>809</v>
      </c>
      <c r="I1057" s="1" t="s">
        <v>815</v>
      </c>
      <c r="J1057" s="1" t="s">
        <v>817</v>
      </c>
      <c r="K1057" s="1" t="s">
        <v>822</v>
      </c>
      <c r="L1057" s="1" t="s">
        <v>830</v>
      </c>
      <c r="M1057" s="1">
        <v>1.01</v>
      </c>
      <c r="N1057" s="1">
        <v>2372.48</v>
      </c>
      <c r="O1057" s="1">
        <v>2565.67</v>
      </c>
      <c r="P1057" s="1">
        <v>0.14000000000000001</v>
      </c>
      <c r="Q1057" s="1">
        <v>2104.21</v>
      </c>
      <c r="R1057" s="1">
        <v>1718.83</v>
      </c>
      <c r="S1057" s="1">
        <f t="shared" si="33"/>
        <v>385.38000000000011</v>
      </c>
      <c r="T1057" s="1" t="s">
        <v>876</v>
      </c>
      <c r="U1057" s="1" t="s">
        <v>880</v>
      </c>
      <c r="V1057" s="5" t="s">
        <v>883</v>
      </c>
    </row>
    <row r="1058" spans="1:22" x14ac:dyDescent="0.3">
      <c r="A1058" s="4" t="s">
        <v>82</v>
      </c>
      <c r="B1058" s="3">
        <v>45492</v>
      </c>
      <c r="C1058" s="1" t="str">
        <f t="shared" si="32"/>
        <v>July</v>
      </c>
      <c r="D1058" s="1" t="s">
        <v>353</v>
      </c>
      <c r="E1058" s="1" t="s">
        <v>567</v>
      </c>
      <c r="F1058" s="1" t="s">
        <v>802</v>
      </c>
      <c r="G1058" s="1" t="s">
        <v>807</v>
      </c>
      <c r="H1058" s="1" t="s">
        <v>810</v>
      </c>
      <c r="I1058" s="1" t="s">
        <v>816</v>
      </c>
      <c r="J1058" s="1" t="s">
        <v>817</v>
      </c>
      <c r="K1058" s="1" t="s">
        <v>820</v>
      </c>
      <c r="L1058" s="1" t="s">
        <v>844</v>
      </c>
      <c r="M1058" s="1">
        <v>3.04</v>
      </c>
      <c r="N1058" s="1">
        <v>1098.3699999999999</v>
      </c>
      <c r="O1058" s="1">
        <v>3273.82</v>
      </c>
      <c r="P1058" s="1">
        <v>0</v>
      </c>
      <c r="Q1058" s="1">
        <v>3203.34</v>
      </c>
      <c r="R1058" s="1">
        <v>2530.44</v>
      </c>
      <c r="S1058" s="1">
        <f t="shared" si="33"/>
        <v>672.90000000000009</v>
      </c>
      <c r="T1058" s="1" t="s">
        <v>876</v>
      </c>
      <c r="U1058" s="1" t="s">
        <v>880</v>
      </c>
      <c r="V1058" s="5" t="s">
        <v>882</v>
      </c>
    </row>
    <row r="1059" spans="1:22" x14ac:dyDescent="0.3">
      <c r="A1059" s="4" t="s">
        <v>215</v>
      </c>
      <c r="B1059" s="3">
        <v>45548</v>
      </c>
      <c r="C1059" s="1" t="str">
        <f t="shared" si="32"/>
        <v>September</v>
      </c>
      <c r="D1059" s="1" t="s">
        <v>333</v>
      </c>
      <c r="E1059" s="1" t="s">
        <v>698</v>
      </c>
      <c r="F1059" s="1" t="s">
        <v>801</v>
      </c>
      <c r="G1059" s="1" t="s">
        <v>806</v>
      </c>
      <c r="H1059" s="1" t="s">
        <v>811</v>
      </c>
      <c r="I1059" s="1" t="s">
        <v>816</v>
      </c>
      <c r="J1059" s="1" t="s">
        <v>817</v>
      </c>
      <c r="K1059" s="1" t="s">
        <v>821</v>
      </c>
      <c r="L1059" s="1" t="s">
        <v>840</v>
      </c>
      <c r="M1059" s="1">
        <v>1</v>
      </c>
      <c r="N1059" s="1">
        <v>2646.8</v>
      </c>
      <c r="O1059" s="1">
        <v>2819.74</v>
      </c>
      <c r="P1059" s="1">
        <v>0</v>
      </c>
      <c r="Q1059" s="1">
        <v>2968.15</v>
      </c>
      <c r="R1059" s="1">
        <v>1867.77</v>
      </c>
      <c r="S1059" s="1">
        <f t="shared" si="33"/>
        <v>1100.3800000000001</v>
      </c>
      <c r="T1059" s="1" t="s">
        <v>876</v>
      </c>
      <c r="U1059" s="1" t="s">
        <v>879</v>
      </c>
      <c r="V1059" s="5" t="s">
        <v>884</v>
      </c>
    </row>
    <row r="1060" spans="1:22" x14ac:dyDescent="0.3">
      <c r="A1060" s="4" t="s">
        <v>82</v>
      </c>
      <c r="B1060" s="3">
        <v>45492</v>
      </c>
      <c r="C1060" s="1" t="str">
        <f t="shared" si="32"/>
        <v>July</v>
      </c>
      <c r="D1060" s="1" t="s">
        <v>353</v>
      </c>
      <c r="E1060" s="1" t="s">
        <v>567</v>
      </c>
      <c r="F1060" s="1" t="s">
        <v>802</v>
      </c>
      <c r="G1060" s="1" t="s">
        <v>807</v>
      </c>
      <c r="H1060" s="1" t="s">
        <v>810</v>
      </c>
      <c r="I1060" s="1" t="s">
        <v>816</v>
      </c>
      <c r="J1060" s="1" t="s">
        <v>817</v>
      </c>
      <c r="K1060" s="1" t="s">
        <v>820</v>
      </c>
      <c r="L1060" s="1" t="s">
        <v>844</v>
      </c>
      <c r="M1060" s="1">
        <v>2.96</v>
      </c>
      <c r="N1060" s="1">
        <v>1123.8399999999999</v>
      </c>
      <c r="O1060" s="1">
        <v>3258.58</v>
      </c>
      <c r="P1060" s="1">
        <v>0</v>
      </c>
      <c r="Q1060" s="1">
        <v>3315.96</v>
      </c>
      <c r="R1060" s="1">
        <v>2582.84</v>
      </c>
      <c r="S1060" s="1">
        <f t="shared" si="33"/>
        <v>733.11999999999989</v>
      </c>
      <c r="T1060" s="1" t="s">
        <v>876</v>
      </c>
      <c r="U1060" s="1" t="s">
        <v>880</v>
      </c>
      <c r="V1060" s="5" t="s">
        <v>882</v>
      </c>
    </row>
    <row r="1061" spans="1:22" x14ac:dyDescent="0.3">
      <c r="A1061" s="4" t="s">
        <v>113</v>
      </c>
      <c r="B1061" s="3">
        <v>45470</v>
      </c>
      <c r="C1061" s="1" t="str">
        <f t="shared" si="32"/>
        <v>June</v>
      </c>
      <c r="D1061" s="1" t="s">
        <v>403</v>
      </c>
      <c r="E1061" s="1" t="s">
        <v>598</v>
      </c>
      <c r="F1061" s="1" t="s">
        <v>802</v>
      </c>
      <c r="G1061" s="1" t="s">
        <v>807</v>
      </c>
      <c r="H1061" s="1" t="s">
        <v>808</v>
      </c>
      <c r="I1061" s="1" t="s">
        <v>813</v>
      </c>
      <c r="J1061" s="1" t="s">
        <v>819</v>
      </c>
      <c r="K1061" s="1" t="s">
        <v>820</v>
      </c>
      <c r="L1061" s="1" t="s">
        <v>845</v>
      </c>
      <c r="M1061" s="1">
        <v>1.99</v>
      </c>
      <c r="N1061" s="1">
        <v>1717.51</v>
      </c>
      <c r="O1061" s="1">
        <v>4047.85</v>
      </c>
      <c r="P1061" s="1">
        <v>0.05</v>
      </c>
      <c r="Q1061" s="1">
        <v>4150.54</v>
      </c>
      <c r="R1061" s="1">
        <v>3130.24</v>
      </c>
      <c r="S1061" s="1">
        <f t="shared" si="33"/>
        <v>1020.3000000000002</v>
      </c>
      <c r="T1061" s="1" t="s">
        <v>875</v>
      </c>
      <c r="U1061" s="1" t="s">
        <v>878</v>
      </c>
      <c r="V1061" s="5" t="s">
        <v>882</v>
      </c>
    </row>
    <row r="1062" spans="1:22" x14ac:dyDescent="0.3">
      <c r="A1062" s="4" t="s">
        <v>60</v>
      </c>
      <c r="B1062" s="3">
        <v>45522</v>
      </c>
      <c r="C1062" s="1" t="str">
        <f t="shared" si="32"/>
        <v>August</v>
      </c>
      <c r="D1062" s="1" t="s">
        <v>434</v>
      </c>
      <c r="E1062" s="1" t="s">
        <v>545</v>
      </c>
      <c r="F1062" s="1" t="s">
        <v>803</v>
      </c>
      <c r="G1062" s="1" t="s">
        <v>807</v>
      </c>
      <c r="H1062" s="1" t="s">
        <v>812</v>
      </c>
      <c r="I1062" s="1" t="s">
        <v>813</v>
      </c>
      <c r="J1062" s="1" t="s">
        <v>818</v>
      </c>
      <c r="K1062" s="1" t="s">
        <v>821</v>
      </c>
      <c r="L1062" s="1" t="s">
        <v>842</v>
      </c>
      <c r="M1062" s="1">
        <v>7.07</v>
      </c>
      <c r="N1062" s="1">
        <v>992.42</v>
      </c>
      <c r="O1062" s="1">
        <v>6395.53</v>
      </c>
      <c r="P1062" s="1">
        <v>0.05</v>
      </c>
      <c r="Q1062" s="1">
        <v>6325.01</v>
      </c>
      <c r="R1062" s="1">
        <v>4224.33</v>
      </c>
      <c r="S1062" s="1">
        <f t="shared" si="33"/>
        <v>2100.6800000000003</v>
      </c>
      <c r="T1062" s="1" t="s">
        <v>874</v>
      </c>
      <c r="U1062" s="1" t="s">
        <v>877</v>
      </c>
      <c r="V1062" s="5" t="s">
        <v>883</v>
      </c>
    </row>
    <row r="1063" spans="1:22" x14ac:dyDescent="0.3">
      <c r="A1063" s="4" t="s">
        <v>205</v>
      </c>
      <c r="B1063" s="3">
        <v>45516</v>
      </c>
      <c r="C1063" s="1" t="str">
        <f t="shared" si="32"/>
        <v>August</v>
      </c>
      <c r="D1063" s="1" t="s">
        <v>482</v>
      </c>
      <c r="E1063" s="1" t="s">
        <v>689</v>
      </c>
      <c r="F1063" s="1" t="s">
        <v>801</v>
      </c>
      <c r="G1063" s="1" t="s">
        <v>807</v>
      </c>
      <c r="H1063" s="1" t="s">
        <v>809</v>
      </c>
      <c r="I1063" s="1" t="s">
        <v>816</v>
      </c>
      <c r="J1063" s="1" t="s">
        <v>818</v>
      </c>
      <c r="K1063" s="1" t="s">
        <v>821</v>
      </c>
      <c r="L1063" s="1" t="s">
        <v>836</v>
      </c>
      <c r="M1063" s="1">
        <v>10.36</v>
      </c>
      <c r="N1063" s="1">
        <v>3063.52</v>
      </c>
      <c r="O1063" s="1">
        <v>47806.45</v>
      </c>
      <c r="P1063" s="1">
        <v>0.05</v>
      </c>
      <c r="Q1063" s="1">
        <v>38577.53</v>
      </c>
      <c r="R1063" s="1">
        <v>27685.83</v>
      </c>
      <c r="S1063" s="1">
        <f t="shared" si="33"/>
        <v>10891.699999999997</v>
      </c>
      <c r="T1063" s="1" t="s">
        <v>875</v>
      </c>
      <c r="U1063" s="1" t="s">
        <v>878</v>
      </c>
      <c r="V1063" s="5" t="s">
        <v>882</v>
      </c>
    </row>
    <row r="1064" spans="1:22" x14ac:dyDescent="0.3">
      <c r="A1064" s="4" t="s">
        <v>286</v>
      </c>
      <c r="B1064" s="3">
        <v>45376</v>
      </c>
      <c r="C1064" s="1" t="str">
        <f t="shared" si="32"/>
        <v>March</v>
      </c>
      <c r="D1064" s="1" t="s">
        <v>499</v>
      </c>
      <c r="E1064" s="1" t="s">
        <v>769</v>
      </c>
      <c r="F1064" s="1" t="s">
        <v>802</v>
      </c>
      <c r="G1064" s="1" t="s">
        <v>807</v>
      </c>
      <c r="H1064" s="1" t="s">
        <v>811</v>
      </c>
      <c r="I1064" s="1" t="s">
        <v>816</v>
      </c>
      <c r="J1064" s="1" t="s">
        <v>819</v>
      </c>
      <c r="K1064" s="1" t="s">
        <v>822</v>
      </c>
      <c r="L1064" s="1" t="s">
        <v>836</v>
      </c>
      <c r="M1064" s="1">
        <v>3.4</v>
      </c>
      <c r="N1064" s="1">
        <v>3462.45</v>
      </c>
      <c r="O1064" s="1">
        <v>9004.01</v>
      </c>
      <c r="P1064" s="1">
        <v>0</v>
      </c>
      <c r="Q1064" s="1">
        <v>11168.03</v>
      </c>
      <c r="R1064" s="1">
        <v>8464.26</v>
      </c>
      <c r="S1064" s="1">
        <f t="shared" si="33"/>
        <v>2703.7700000000004</v>
      </c>
      <c r="T1064" s="1" t="s">
        <v>875</v>
      </c>
      <c r="U1064" s="1" t="s">
        <v>880</v>
      </c>
      <c r="V1064" s="5" t="s">
        <v>883</v>
      </c>
    </row>
    <row r="1065" spans="1:22" x14ac:dyDescent="0.3">
      <c r="A1065" s="4" t="s">
        <v>111</v>
      </c>
      <c r="B1065" s="3">
        <v>45425</v>
      </c>
      <c r="C1065" s="1" t="str">
        <f t="shared" si="32"/>
        <v>May</v>
      </c>
      <c r="D1065" s="1" t="s">
        <v>354</v>
      </c>
      <c r="E1065" s="1" t="s">
        <v>596</v>
      </c>
      <c r="F1065" s="1" t="s">
        <v>801</v>
      </c>
      <c r="G1065" s="1" t="s">
        <v>805</v>
      </c>
      <c r="H1065" s="1" t="s">
        <v>812</v>
      </c>
      <c r="I1065" s="1" t="s">
        <v>814</v>
      </c>
      <c r="J1065" s="1" t="s">
        <v>818</v>
      </c>
      <c r="K1065" s="1" t="s">
        <v>820</v>
      </c>
      <c r="L1065" s="1" t="s">
        <v>858</v>
      </c>
      <c r="M1065" s="1">
        <v>4.8600000000000003</v>
      </c>
      <c r="N1065" s="1">
        <v>1368.92</v>
      </c>
      <c r="O1065" s="1">
        <v>7846.06</v>
      </c>
      <c r="P1065" s="1">
        <v>0.09</v>
      </c>
      <c r="Q1065" s="1">
        <v>6313.51</v>
      </c>
      <c r="R1065" s="1">
        <v>4023.53</v>
      </c>
      <c r="S1065" s="1">
        <f t="shared" si="33"/>
        <v>2289.98</v>
      </c>
      <c r="T1065" s="1" t="s">
        <v>876</v>
      </c>
      <c r="U1065" s="1" t="s">
        <v>878</v>
      </c>
      <c r="V1065" s="5" t="s">
        <v>883</v>
      </c>
    </row>
    <row r="1066" spans="1:22" x14ac:dyDescent="0.3">
      <c r="A1066" s="4" t="s">
        <v>102</v>
      </c>
      <c r="B1066" s="3">
        <v>45582</v>
      </c>
      <c r="C1066" s="1" t="str">
        <f t="shared" si="32"/>
        <v>October</v>
      </c>
      <c r="D1066" s="1" t="s">
        <v>392</v>
      </c>
      <c r="E1066" s="1" t="s">
        <v>587</v>
      </c>
      <c r="F1066" s="1" t="s">
        <v>802</v>
      </c>
      <c r="G1066" s="1" t="s">
        <v>807</v>
      </c>
      <c r="H1066" s="1" t="s">
        <v>808</v>
      </c>
      <c r="I1066" s="1" t="s">
        <v>813</v>
      </c>
      <c r="J1066" s="1" t="s">
        <v>817</v>
      </c>
      <c r="K1066" s="1" t="s">
        <v>822</v>
      </c>
      <c r="L1066" s="1" t="s">
        <v>825</v>
      </c>
      <c r="M1066" s="1">
        <v>4.84</v>
      </c>
      <c r="N1066" s="1">
        <v>705.06</v>
      </c>
      <c r="O1066" s="1">
        <v>3607.56</v>
      </c>
      <c r="P1066" s="1">
        <v>0.1</v>
      </c>
      <c r="Q1066" s="1">
        <v>3279.54</v>
      </c>
      <c r="R1066" s="1">
        <v>2510.38</v>
      </c>
      <c r="S1066" s="1">
        <f t="shared" si="33"/>
        <v>769.15999999999985</v>
      </c>
      <c r="T1066" s="1" t="s">
        <v>873</v>
      </c>
      <c r="U1066" s="1" t="s">
        <v>880</v>
      </c>
      <c r="V1066" s="5" t="s">
        <v>882</v>
      </c>
    </row>
    <row r="1067" spans="1:22" x14ac:dyDescent="0.3">
      <c r="A1067" s="4" t="s">
        <v>42</v>
      </c>
      <c r="B1067" s="3">
        <v>45552</v>
      </c>
      <c r="C1067" s="1" t="str">
        <f t="shared" si="32"/>
        <v>September</v>
      </c>
      <c r="D1067" s="1" t="s">
        <v>363</v>
      </c>
      <c r="E1067" s="1" t="s">
        <v>527</v>
      </c>
      <c r="F1067" s="1" t="s">
        <v>802</v>
      </c>
      <c r="G1067" s="1" t="s">
        <v>806</v>
      </c>
      <c r="H1067" s="1" t="s">
        <v>811</v>
      </c>
      <c r="I1067" s="1" t="s">
        <v>813</v>
      </c>
      <c r="J1067" s="1" t="s">
        <v>819</v>
      </c>
      <c r="K1067" s="1" t="s">
        <v>820</v>
      </c>
      <c r="L1067" s="1" t="s">
        <v>832</v>
      </c>
      <c r="M1067" s="1">
        <v>7.18</v>
      </c>
      <c r="N1067" s="1">
        <v>1954.7</v>
      </c>
      <c r="O1067" s="1">
        <v>18182.96</v>
      </c>
      <c r="P1067" s="1">
        <v>0.05</v>
      </c>
      <c r="Q1067" s="1">
        <v>14840.18</v>
      </c>
      <c r="R1067" s="1">
        <v>12934.26</v>
      </c>
      <c r="S1067" s="1">
        <f t="shared" si="33"/>
        <v>1905.92</v>
      </c>
      <c r="T1067" s="1" t="s">
        <v>873</v>
      </c>
      <c r="U1067" s="1" t="s">
        <v>879</v>
      </c>
      <c r="V1067" s="5" t="s">
        <v>882</v>
      </c>
    </row>
    <row r="1068" spans="1:22" x14ac:dyDescent="0.3">
      <c r="A1068" s="4" t="s">
        <v>315</v>
      </c>
      <c r="B1068" s="3">
        <v>45463</v>
      </c>
      <c r="C1068" s="1" t="str">
        <f t="shared" si="32"/>
        <v>June</v>
      </c>
      <c r="D1068" s="1" t="s">
        <v>407</v>
      </c>
      <c r="E1068" s="1" t="s">
        <v>797</v>
      </c>
      <c r="F1068" s="1" t="s">
        <v>803</v>
      </c>
      <c r="G1068" s="1" t="s">
        <v>807</v>
      </c>
      <c r="H1068" s="1" t="s">
        <v>812</v>
      </c>
      <c r="I1068" s="1" t="s">
        <v>813</v>
      </c>
      <c r="J1068" s="1" t="s">
        <v>817</v>
      </c>
      <c r="K1068" s="1" t="s">
        <v>820</v>
      </c>
      <c r="L1068" s="1" t="s">
        <v>841</v>
      </c>
      <c r="M1068" s="1">
        <v>10.3</v>
      </c>
      <c r="N1068" s="1">
        <v>451.65</v>
      </c>
      <c r="O1068" s="1">
        <v>4087.83</v>
      </c>
      <c r="P1068" s="1">
        <v>0.05</v>
      </c>
      <c r="Q1068" s="1">
        <v>3757.08</v>
      </c>
      <c r="R1068" s="1">
        <v>2517.86</v>
      </c>
      <c r="S1068" s="1">
        <f t="shared" si="33"/>
        <v>1239.2199999999998</v>
      </c>
      <c r="T1068" s="1" t="s">
        <v>876</v>
      </c>
      <c r="U1068" s="1" t="s">
        <v>877</v>
      </c>
      <c r="V1068" s="5" t="s">
        <v>884</v>
      </c>
    </row>
    <row r="1069" spans="1:22" x14ac:dyDescent="0.3">
      <c r="A1069" s="4" t="s">
        <v>314</v>
      </c>
      <c r="B1069" s="3">
        <v>45501</v>
      </c>
      <c r="C1069" s="1" t="str">
        <f t="shared" si="32"/>
        <v>July</v>
      </c>
      <c r="D1069" s="1" t="s">
        <v>357</v>
      </c>
      <c r="E1069" s="1" t="s">
        <v>796</v>
      </c>
      <c r="F1069" s="1" t="s">
        <v>801</v>
      </c>
      <c r="G1069" s="1" t="s">
        <v>807</v>
      </c>
      <c r="H1069" s="1" t="s">
        <v>810</v>
      </c>
      <c r="I1069" s="1" t="s">
        <v>809</v>
      </c>
      <c r="J1069" s="1" t="s">
        <v>819</v>
      </c>
      <c r="K1069" s="1" t="s">
        <v>820</v>
      </c>
      <c r="L1069" s="1" t="s">
        <v>834</v>
      </c>
      <c r="M1069" s="1">
        <v>12.47</v>
      </c>
      <c r="N1069" s="1">
        <v>914.27</v>
      </c>
      <c r="O1069" s="1">
        <v>11576.3</v>
      </c>
      <c r="P1069" s="1">
        <v>0</v>
      </c>
      <c r="Q1069" s="1">
        <v>11443.5</v>
      </c>
      <c r="R1069" s="1">
        <v>8633.52</v>
      </c>
      <c r="S1069" s="1">
        <f t="shared" si="33"/>
        <v>2809.9799999999996</v>
      </c>
      <c r="T1069" s="1" t="s">
        <v>875</v>
      </c>
      <c r="U1069" s="1" t="s">
        <v>879</v>
      </c>
      <c r="V1069" s="5" t="s">
        <v>883</v>
      </c>
    </row>
    <row r="1070" spans="1:22" x14ac:dyDescent="0.3">
      <c r="A1070" s="4" t="s">
        <v>111</v>
      </c>
      <c r="B1070" s="3">
        <v>45425</v>
      </c>
      <c r="C1070" s="1" t="str">
        <f t="shared" si="32"/>
        <v>May</v>
      </c>
      <c r="D1070" s="1" t="s">
        <v>354</v>
      </c>
      <c r="E1070" s="1" t="s">
        <v>596</v>
      </c>
      <c r="F1070" s="1" t="s">
        <v>801</v>
      </c>
      <c r="G1070" s="1" t="s">
        <v>805</v>
      </c>
      <c r="H1070" s="1" t="s">
        <v>812</v>
      </c>
      <c r="I1070" s="1" t="s">
        <v>814</v>
      </c>
      <c r="J1070" s="1" t="s">
        <v>818</v>
      </c>
      <c r="K1070" s="1" t="s">
        <v>820</v>
      </c>
      <c r="L1070" s="1" t="s">
        <v>858</v>
      </c>
      <c r="M1070" s="1">
        <v>6.05</v>
      </c>
      <c r="N1070" s="1">
        <v>1068.54</v>
      </c>
      <c r="O1070" s="1">
        <v>5841.48</v>
      </c>
      <c r="P1070" s="1">
        <v>0.09</v>
      </c>
      <c r="Q1070" s="1">
        <v>6922.84</v>
      </c>
      <c r="R1070" s="1">
        <v>4073.13</v>
      </c>
      <c r="S1070" s="1">
        <f t="shared" si="33"/>
        <v>2849.71</v>
      </c>
      <c r="T1070" s="1" t="s">
        <v>876</v>
      </c>
      <c r="U1070" s="1" t="s">
        <v>878</v>
      </c>
      <c r="V1070" s="5" t="s">
        <v>883</v>
      </c>
    </row>
    <row r="1071" spans="1:22" x14ac:dyDescent="0.3">
      <c r="A1071" s="4" t="s">
        <v>243</v>
      </c>
      <c r="B1071" s="3">
        <v>45478</v>
      </c>
      <c r="C1071" s="1" t="str">
        <f t="shared" si="32"/>
        <v>July</v>
      </c>
      <c r="D1071" s="1" t="s">
        <v>484</v>
      </c>
      <c r="E1071" s="1" t="s">
        <v>726</v>
      </c>
      <c r="F1071" s="1" t="s">
        <v>803</v>
      </c>
      <c r="G1071" s="1" t="s">
        <v>805</v>
      </c>
      <c r="H1071" s="1" t="s">
        <v>810</v>
      </c>
      <c r="I1071" s="1" t="s">
        <v>809</v>
      </c>
      <c r="J1071" s="1" t="s">
        <v>819</v>
      </c>
      <c r="K1071" s="1" t="s">
        <v>822</v>
      </c>
      <c r="L1071" s="1" t="s">
        <v>831</v>
      </c>
      <c r="M1071" s="1">
        <v>3.73</v>
      </c>
      <c r="N1071" s="1">
        <v>2096.52</v>
      </c>
      <c r="O1071" s="1">
        <v>7506.75</v>
      </c>
      <c r="P1071" s="1">
        <v>0.1</v>
      </c>
      <c r="Q1071" s="1">
        <v>7416.07</v>
      </c>
      <c r="R1071" s="1">
        <v>4821.62</v>
      </c>
      <c r="S1071" s="1">
        <f t="shared" si="33"/>
        <v>2594.4499999999998</v>
      </c>
      <c r="T1071" s="1" t="s">
        <v>873</v>
      </c>
      <c r="U1071" s="1" t="s">
        <v>877</v>
      </c>
      <c r="V1071" s="5" t="s">
        <v>884</v>
      </c>
    </row>
    <row r="1072" spans="1:22" x14ac:dyDescent="0.3">
      <c r="A1072" s="4" t="s">
        <v>111</v>
      </c>
      <c r="B1072" s="3">
        <v>45425</v>
      </c>
      <c r="C1072" s="1" t="str">
        <f t="shared" si="32"/>
        <v>May</v>
      </c>
      <c r="D1072" s="1" t="s">
        <v>354</v>
      </c>
      <c r="E1072" s="1" t="s">
        <v>596</v>
      </c>
      <c r="F1072" s="1" t="s">
        <v>801</v>
      </c>
      <c r="G1072" s="1" t="s">
        <v>805</v>
      </c>
      <c r="H1072" s="1" t="s">
        <v>812</v>
      </c>
      <c r="I1072" s="1" t="s">
        <v>814</v>
      </c>
      <c r="J1072" s="1" t="s">
        <v>818</v>
      </c>
      <c r="K1072" s="1" t="s">
        <v>820</v>
      </c>
      <c r="L1072" s="1" t="s">
        <v>858</v>
      </c>
      <c r="M1072" s="1">
        <v>6.16</v>
      </c>
      <c r="N1072" s="1">
        <v>1282.06</v>
      </c>
      <c r="O1072" s="1">
        <v>7228.49</v>
      </c>
      <c r="P1072" s="1">
        <v>0.11</v>
      </c>
      <c r="Q1072" s="1">
        <v>5643.71</v>
      </c>
      <c r="R1072" s="1">
        <v>4223.8100000000004</v>
      </c>
      <c r="S1072" s="1">
        <f t="shared" si="33"/>
        <v>1419.8999999999996</v>
      </c>
      <c r="T1072" s="1" t="s">
        <v>876</v>
      </c>
      <c r="U1072" s="1" t="s">
        <v>878</v>
      </c>
      <c r="V1072" s="5" t="s">
        <v>883</v>
      </c>
    </row>
    <row r="1073" spans="1:22" x14ac:dyDescent="0.3">
      <c r="A1073" s="4" t="s">
        <v>254</v>
      </c>
      <c r="B1073" s="3">
        <v>45359</v>
      </c>
      <c r="C1073" s="1" t="str">
        <f t="shared" si="32"/>
        <v>March</v>
      </c>
      <c r="D1073" s="1" t="s">
        <v>435</v>
      </c>
      <c r="E1073" s="1" t="s">
        <v>737</v>
      </c>
      <c r="F1073" s="1" t="s">
        <v>802</v>
      </c>
      <c r="G1073" s="1" t="s">
        <v>806</v>
      </c>
      <c r="H1073" s="1" t="s">
        <v>812</v>
      </c>
      <c r="I1073" s="1" t="s">
        <v>815</v>
      </c>
      <c r="J1073" s="1" t="s">
        <v>817</v>
      </c>
      <c r="K1073" s="1" t="s">
        <v>822</v>
      </c>
      <c r="L1073" s="1" t="s">
        <v>850</v>
      </c>
      <c r="M1073" s="1">
        <v>4.43</v>
      </c>
      <c r="N1073" s="1">
        <v>2172.92</v>
      </c>
      <c r="O1073" s="1">
        <v>7843.11</v>
      </c>
      <c r="P1073" s="1">
        <v>0.11</v>
      </c>
      <c r="Q1073" s="1">
        <v>7491.79</v>
      </c>
      <c r="R1073" s="1">
        <v>6676.82</v>
      </c>
      <c r="S1073" s="1">
        <f t="shared" si="33"/>
        <v>814.97000000000025</v>
      </c>
      <c r="T1073" s="1" t="s">
        <v>876</v>
      </c>
      <c r="U1073" s="1" t="s">
        <v>879</v>
      </c>
      <c r="V1073" s="5" t="s">
        <v>882</v>
      </c>
    </row>
    <row r="1074" spans="1:22" x14ac:dyDescent="0.3">
      <c r="A1074" s="4" t="s">
        <v>207</v>
      </c>
      <c r="B1074" s="3">
        <v>45362</v>
      </c>
      <c r="C1074" s="1" t="str">
        <f t="shared" si="32"/>
        <v>March</v>
      </c>
      <c r="D1074" s="1" t="s">
        <v>483</v>
      </c>
      <c r="E1074" s="1" t="s">
        <v>691</v>
      </c>
      <c r="F1074" s="1" t="s">
        <v>802</v>
      </c>
      <c r="G1074" s="1" t="s">
        <v>805</v>
      </c>
      <c r="H1074" s="1" t="s">
        <v>809</v>
      </c>
      <c r="I1074" s="1" t="s">
        <v>813</v>
      </c>
      <c r="J1074" s="1" t="s">
        <v>818</v>
      </c>
      <c r="K1074" s="1" t="s">
        <v>821</v>
      </c>
      <c r="L1074" s="1" t="s">
        <v>831</v>
      </c>
      <c r="M1074" s="1">
        <v>5.8</v>
      </c>
      <c r="N1074" s="1">
        <v>1854.56</v>
      </c>
      <c r="O1074" s="1">
        <v>11943.78</v>
      </c>
      <c r="P1074" s="1">
        <v>0</v>
      </c>
      <c r="Q1074" s="1">
        <v>15320.68</v>
      </c>
      <c r="R1074" s="1">
        <v>10127.209999999999</v>
      </c>
      <c r="S1074" s="1">
        <f t="shared" si="33"/>
        <v>5193.4700000000012</v>
      </c>
      <c r="T1074" s="1" t="s">
        <v>873</v>
      </c>
      <c r="U1074" s="1" t="s">
        <v>879</v>
      </c>
      <c r="V1074" s="5" t="s">
        <v>883</v>
      </c>
    </row>
    <row r="1075" spans="1:22" x14ac:dyDescent="0.3">
      <c r="A1075" s="4" t="s">
        <v>304</v>
      </c>
      <c r="B1075" s="3">
        <v>45335</v>
      </c>
      <c r="C1075" s="1" t="str">
        <f t="shared" si="32"/>
        <v>February</v>
      </c>
      <c r="D1075" s="1" t="s">
        <v>380</v>
      </c>
      <c r="E1075" s="1" t="s">
        <v>786</v>
      </c>
      <c r="F1075" s="1" t="s">
        <v>802</v>
      </c>
      <c r="G1075" s="1" t="s">
        <v>807</v>
      </c>
      <c r="H1075" s="1" t="s">
        <v>811</v>
      </c>
      <c r="I1075" s="1" t="s">
        <v>816</v>
      </c>
      <c r="J1075" s="1" t="s">
        <v>818</v>
      </c>
      <c r="K1075" s="1" t="s">
        <v>820</v>
      </c>
      <c r="L1075" s="1" t="s">
        <v>846</v>
      </c>
      <c r="M1075" s="1">
        <v>8.89</v>
      </c>
      <c r="N1075" s="1">
        <v>2410.75</v>
      </c>
      <c r="O1075" s="1">
        <v>17565.88</v>
      </c>
      <c r="P1075" s="1">
        <v>0</v>
      </c>
      <c r="Q1075" s="1">
        <v>21194.05</v>
      </c>
      <c r="R1075" s="1">
        <v>16540.63</v>
      </c>
      <c r="S1075" s="1">
        <f t="shared" si="33"/>
        <v>4653.4199999999983</v>
      </c>
      <c r="T1075" s="1" t="s">
        <v>875</v>
      </c>
      <c r="U1075" s="1" t="s">
        <v>877</v>
      </c>
      <c r="V1075" s="5" t="s">
        <v>882</v>
      </c>
    </row>
    <row r="1076" spans="1:22" x14ac:dyDescent="0.3">
      <c r="A1076" s="4" t="s">
        <v>215</v>
      </c>
      <c r="B1076" s="3">
        <v>45548</v>
      </c>
      <c r="C1076" s="1" t="str">
        <f t="shared" si="32"/>
        <v>September</v>
      </c>
      <c r="D1076" s="1" t="s">
        <v>333</v>
      </c>
      <c r="E1076" s="1" t="s">
        <v>698</v>
      </c>
      <c r="F1076" s="1" t="s">
        <v>801</v>
      </c>
      <c r="G1076" s="1" t="s">
        <v>806</v>
      </c>
      <c r="H1076" s="1" t="s">
        <v>811</v>
      </c>
      <c r="I1076" s="1" t="s">
        <v>816</v>
      </c>
      <c r="J1076" s="1" t="s">
        <v>817</v>
      </c>
      <c r="K1076" s="1" t="s">
        <v>821</v>
      </c>
      <c r="L1076" s="1" t="s">
        <v>840</v>
      </c>
      <c r="M1076" s="1">
        <v>0.98</v>
      </c>
      <c r="N1076" s="1">
        <v>2921.89</v>
      </c>
      <c r="O1076" s="1">
        <v>2847.51</v>
      </c>
      <c r="P1076" s="1">
        <v>0</v>
      </c>
      <c r="Q1076" s="1">
        <v>3232.88</v>
      </c>
      <c r="R1076" s="1">
        <v>1707.72</v>
      </c>
      <c r="S1076" s="1">
        <f t="shared" si="33"/>
        <v>1525.16</v>
      </c>
      <c r="T1076" s="1" t="s">
        <v>876</v>
      </c>
      <c r="U1076" s="1" t="s">
        <v>879</v>
      </c>
      <c r="V1076" s="5" t="s">
        <v>884</v>
      </c>
    </row>
    <row r="1077" spans="1:22" x14ac:dyDescent="0.3">
      <c r="A1077" s="4" t="s">
        <v>187</v>
      </c>
      <c r="B1077" s="3">
        <v>45531</v>
      </c>
      <c r="C1077" s="1" t="str">
        <f t="shared" si="32"/>
        <v>August</v>
      </c>
      <c r="D1077" s="1" t="s">
        <v>478</v>
      </c>
      <c r="E1077" s="1" t="s">
        <v>671</v>
      </c>
      <c r="F1077" s="1" t="s">
        <v>801</v>
      </c>
      <c r="G1077" s="1" t="s">
        <v>806</v>
      </c>
      <c r="H1077" s="1" t="s">
        <v>812</v>
      </c>
      <c r="I1077" s="1" t="s">
        <v>816</v>
      </c>
      <c r="J1077" s="1" t="s">
        <v>818</v>
      </c>
      <c r="K1077" s="1" t="s">
        <v>820</v>
      </c>
      <c r="L1077" s="1" t="s">
        <v>830</v>
      </c>
      <c r="M1077" s="1">
        <v>3.66</v>
      </c>
      <c r="N1077" s="1">
        <v>921.94</v>
      </c>
      <c r="O1077" s="1">
        <v>4001.56</v>
      </c>
      <c r="P1077" s="1">
        <v>0.11</v>
      </c>
      <c r="Q1077" s="1">
        <v>3192.16</v>
      </c>
      <c r="R1077" s="1">
        <v>2270.0100000000002</v>
      </c>
      <c r="S1077" s="1">
        <f t="shared" si="33"/>
        <v>922.14999999999964</v>
      </c>
      <c r="T1077" s="1" t="s">
        <v>873</v>
      </c>
      <c r="U1077" s="1" t="s">
        <v>880</v>
      </c>
      <c r="V1077" s="5" t="s">
        <v>883</v>
      </c>
    </row>
    <row r="1078" spans="1:22" x14ac:dyDescent="0.3">
      <c r="A1078" s="4" t="s">
        <v>252</v>
      </c>
      <c r="B1078" s="3">
        <v>45505</v>
      </c>
      <c r="C1078" s="1" t="str">
        <f t="shared" si="32"/>
        <v>August</v>
      </c>
      <c r="D1078" s="1" t="s">
        <v>493</v>
      </c>
      <c r="E1078" s="1" t="s">
        <v>735</v>
      </c>
      <c r="F1078" s="1" t="s">
        <v>801</v>
      </c>
      <c r="G1078" s="1" t="s">
        <v>807</v>
      </c>
      <c r="H1078" s="1" t="s">
        <v>810</v>
      </c>
      <c r="I1078" s="1" t="s">
        <v>814</v>
      </c>
      <c r="J1078" s="1" t="s">
        <v>817</v>
      </c>
      <c r="K1078" s="1" t="s">
        <v>820</v>
      </c>
      <c r="L1078" s="1" t="s">
        <v>869</v>
      </c>
      <c r="M1078" s="1">
        <v>9.7100000000000009</v>
      </c>
      <c r="N1078" s="1">
        <v>864.85</v>
      </c>
      <c r="O1078" s="1">
        <v>7889.37</v>
      </c>
      <c r="P1078" s="1">
        <v>0.17</v>
      </c>
      <c r="Q1078" s="1">
        <v>6786.75</v>
      </c>
      <c r="R1078" s="1">
        <v>5736.82</v>
      </c>
      <c r="S1078" s="1">
        <f t="shared" si="33"/>
        <v>1049.9300000000003</v>
      </c>
      <c r="T1078" s="1" t="s">
        <v>874</v>
      </c>
      <c r="U1078" s="1" t="s">
        <v>881</v>
      </c>
      <c r="V1078" s="5" t="s">
        <v>884</v>
      </c>
    </row>
    <row r="1079" spans="1:22" x14ac:dyDescent="0.3">
      <c r="A1079" s="4" t="s">
        <v>183</v>
      </c>
      <c r="B1079" s="3">
        <v>45314</v>
      </c>
      <c r="C1079" s="1" t="str">
        <f t="shared" si="32"/>
        <v>January</v>
      </c>
      <c r="D1079" s="1" t="s">
        <v>362</v>
      </c>
      <c r="E1079" s="1" t="s">
        <v>667</v>
      </c>
      <c r="F1079" s="1" t="s">
        <v>802</v>
      </c>
      <c r="G1079" s="1" t="s">
        <v>806</v>
      </c>
      <c r="H1079" s="1" t="s">
        <v>812</v>
      </c>
      <c r="I1079" s="1" t="s">
        <v>809</v>
      </c>
      <c r="J1079" s="1" t="s">
        <v>819</v>
      </c>
      <c r="K1079" s="1" t="s">
        <v>822</v>
      </c>
      <c r="L1079" s="1" t="s">
        <v>858</v>
      </c>
      <c r="M1079" s="1">
        <v>1.0900000000000001</v>
      </c>
      <c r="N1079" s="1">
        <v>2477.39</v>
      </c>
      <c r="O1079" s="1">
        <v>2736.16</v>
      </c>
      <c r="P1079" s="1">
        <v>0.05</v>
      </c>
      <c r="Q1079" s="1">
        <v>1820.9</v>
      </c>
      <c r="R1079" s="1">
        <v>1496.12</v>
      </c>
      <c r="S1079" s="1">
        <f t="shared" si="33"/>
        <v>324.7800000000002</v>
      </c>
      <c r="T1079" s="1" t="s">
        <v>874</v>
      </c>
      <c r="U1079" s="1" t="s">
        <v>878</v>
      </c>
      <c r="V1079" s="5" t="s">
        <v>882</v>
      </c>
    </row>
    <row r="1080" spans="1:22" x14ac:dyDescent="0.3">
      <c r="A1080" s="4" t="s">
        <v>200</v>
      </c>
      <c r="B1080" s="3">
        <v>45347</v>
      </c>
      <c r="C1080" s="1" t="str">
        <f t="shared" si="32"/>
        <v>February</v>
      </c>
      <c r="D1080" s="1" t="s">
        <v>481</v>
      </c>
      <c r="E1080" s="1" t="s">
        <v>684</v>
      </c>
      <c r="F1080" s="1" t="s">
        <v>801</v>
      </c>
      <c r="G1080" s="1" t="s">
        <v>804</v>
      </c>
      <c r="H1080" s="1" t="s">
        <v>812</v>
      </c>
      <c r="I1080" s="1" t="s">
        <v>809</v>
      </c>
      <c r="J1080" s="1" t="s">
        <v>818</v>
      </c>
      <c r="K1080" s="1" t="s">
        <v>822</v>
      </c>
      <c r="L1080" s="1" t="s">
        <v>862</v>
      </c>
      <c r="M1080" s="1">
        <v>7.92</v>
      </c>
      <c r="N1080" s="1">
        <v>3442.4</v>
      </c>
      <c r="O1080" s="1">
        <v>27522.85</v>
      </c>
      <c r="P1080" s="1">
        <v>0.14000000000000001</v>
      </c>
      <c r="Q1080" s="1">
        <v>22278.16</v>
      </c>
      <c r="R1080" s="1">
        <v>15128.89</v>
      </c>
      <c r="S1080" s="1">
        <f t="shared" si="33"/>
        <v>7149.27</v>
      </c>
      <c r="T1080" s="1" t="s">
        <v>874</v>
      </c>
      <c r="U1080" s="1" t="s">
        <v>880</v>
      </c>
      <c r="V1080" s="5" t="s">
        <v>882</v>
      </c>
    </row>
    <row r="1081" spans="1:22" x14ac:dyDescent="0.3">
      <c r="A1081" s="4" t="s">
        <v>84</v>
      </c>
      <c r="B1081" s="3">
        <v>45425</v>
      </c>
      <c r="C1081" s="1" t="str">
        <f t="shared" si="32"/>
        <v>May</v>
      </c>
      <c r="D1081" s="1" t="s">
        <v>367</v>
      </c>
      <c r="E1081" s="1" t="s">
        <v>569</v>
      </c>
      <c r="F1081" s="1" t="s">
        <v>802</v>
      </c>
      <c r="G1081" s="1" t="s">
        <v>806</v>
      </c>
      <c r="H1081" s="1" t="s">
        <v>812</v>
      </c>
      <c r="I1081" s="1" t="s">
        <v>809</v>
      </c>
      <c r="J1081" s="1" t="s">
        <v>819</v>
      </c>
      <c r="K1081" s="1" t="s">
        <v>822</v>
      </c>
      <c r="L1081" s="1" t="s">
        <v>829</v>
      </c>
      <c r="M1081" s="1">
        <v>7.91</v>
      </c>
      <c r="N1081" s="1">
        <v>1271.02</v>
      </c>
      <c r="O1081" s="1">
        <v>8442.68</v>
      </c>
      <c r="P1081" s="1">
        <v>0.05</v>
      </c>
      <c r="Q1081" s="1">
        <v>8691.2999999999993</v>
      </c>
      <c r="R1081" s="1">
        <v>5886.03</v>
      </c>
      <c r="S1081" s="1">
        <f t="shared" si="33"/>
        <v>2805.2699999999995</v>
      </c>
      <c r="T1081" s="1" t="s">
        <v>875</v>
      </c>
      <c r="U1081" s="1" t="s">
        <v>877</v>
      </c>
      <c r="V1081" s="5" t="s">
        <v>883</v>
      </c>
    </row>
    <row r="1082" spans="1:22" x14ac:dyDescent="0.3">
      <c r="A1082" s="4" t="s">
        <v>29</v>
      </c>
      <c r="B1082" s="3">
        <v>45369</v>
      </c>
      <c r="C1082" s="1" t="str">
        <f t="shared" si="32"/>
        <v>March</v>
      </c>
      <c r="D1082" s="1" t="s">
        <v>400</v>
      </c>
      <c r="E1082" s="1" t="s">
        <v>514</v>
      </c>
      <c r="F1082" s="1" t="s">
        <v>801</v>
      </c>
      <c r="G1082" s="1" t="s">
        <v>807</v>
      </c>
      <c r="H1082" s="1" t="s">
        <v>809</v>
      </c>
      <c r="I1082" s="1" t="s">
        <v>813</v>
      </c>
      <c r="J1082" s="1" t="s">
        <v>819</v>
      </c>
      <c r="K1082" s="1" t="s">
        <v>821</v>
      </c>
      <c r="L1082" s="1" t="s">
        <v>831</v>
      </c>
      <c r="M1082" s="1">
        <v>11.59</v>
      </c>
      <c r="N1082" s="1">
        <v>1129.3800000000001</v>
      </c>
      <c r="O1082" s="1">
        <v>12983.06</v>
      </c>
      <c r="P1082" s="1">
        <v>0.14000000000000001</v>
      </c>
      <c r="Q1082" s="1">
        <v>9916.44</v>
      </c>
      <c r="R1082" s="1">
        <v>8712</v>
      </c>
      <c r="S1082" s="1">
        <f t="shared" si="33"/>
        <v>1204.4400000000005</v>
      </c>
      <c r="T1082" s="1" t="s">
        <v>874</v>
      </c>
      <c r="U1082" s="1" t="s">
        <v>880</v>
      </c>
      <c r="V1082" s="5" t="s">
        <v>883</v>
      </c>
    </row>
    <row r="1083" spans="1:22" x14ac:dyDescent="0.3">
      <c r="A1083" s="4" t="s">
        <v>35</v>
      </c>
      <c r="B1083" s="3">
        <v>45533</v>
      </c>
      <c r="C1083" s="1" t="str">
        <f t="shared" si="32"/>
        <v>August</v>
      </c>
      <c r="D1083" s="1" t="s">
        <v>370</v>
      </c>
      <c r="E1083" s="1" t="s">
        <v>520</v>
      </c>
      <c r="F1083" s="1" t="s">
        <v>801</v>
      </c>
      <c r="G1083" s="1" t="s">
        <v>804</v>
      </c>
      <c r="H1083" s="1" t="s">
        <v>810</v>
      </c>
      <c r="I1083" s="1" t="s">
        <v>809</v>
      </c>
      <c r="J1083" s="1" t="s">
        <v>817</v>
      </c>
      <c r="K1083" s="1" t="s">
        <v>822</v>
      </c>
      <c r="L1083" s="1" t="s">
        <v>837</v>
      </c>
      <c r="M1083" s="1">
        <v>3.82</v>
      </c>
      <c r="N1083" s="1">
        <v>2793.44</v>
      </c>
      <c r="O1083" s="1">
        <v>10260.59</v>
      </c>
      <c r="P1083" s="1">
        <v>0.1</v>
      </c>
      <c r="Q1083" s="1">
        <v>8315.25</v>
      </c>
      <c r="R1083" s="1">
        <v>6515.63</v>
      </c>
      <c r="S1083" s="1">
        <f t="shared" si="33"/>
        <v>1799.62</v>
      </c>
      <c r="T1083" s="1" t="s">
        <v>874</v>
      </c>
      <c r="U1083" s="1" t="s">
        <v>880</v>
      </c>
      <c r="V1083" s="5" t="s">
        <v>884</v>
      </c>
    </row>
    <row r="1084" spans="1:22" x14ac:dyDescent="0.3">
      <c r="A1084" s="4" t="s">
        <v>92</v>
      </c>
      <c r="B1084" s="3">
        <v>45617</v>
      </c>
      <c r="C1084" s="1" t="str">
        <f t="shared" si="32"/>
        <v>November</v>
      </c>
      <c r="D1084" s="1" t="s">
        <v>448</v>
      </c>
      <c r="E1084" s="1" t="s">
        <v>577</v>
      </c>
      <c r="F1084" s="1" t="s">
        <v>802</v>
      </c>
      <c r="G1084" s="1" t="s">
        <v>805</v>
      </c>
      <c r="H1084" s="1" t="s">
        <v>808</v>
      </c>
      <c r="I1084" s="1" t="s">
        <v>813</v>
      </c>
      <c r="J1084" s="1" t="s">
        <v>819</v>
      </c>
      <c r="K1084" s="1" t="s">
        <v>820</v>
      </c>
      <c r="L1084" s="1" t="s">
        <v>860</v>
      </c>
      <c r="M1084" s="1">
        <v>2.08</v>
      </c>
      <c r="N1084" s="1">
        <v>2949.15</v>
      </c>
      <c r="O1084" s="1">
        <v>5970.49</v>
      </c>
      <c r="P1084" s="1">
        <v>0.05</v>
      </c>
      <c r="Q1084" s="1">
        <v>5702.95</v>
      </c>
      <c r="R1084" s="1">
        <v>4320.6000000000004</v>
      </c>
      <c r="S1084" s="1">
        <f t="shared" si="33"/>
        <v>1382.3499999999995</v>
      </c>
      <c r="T1084" s="1" t="s">
        <v>875</v>
      </c>
      <c r="U1084" s="1" t="s">
        <v>877</v>
      </c>
      <c r="V1084" s="5" t="s">
        <v>884</v>
      </c>
    </row>
    <row r="1085" spans="1:22" x14ac:dyDescent="0.3">
      <c r="A1085" s="4" t="s">
        <v>217</v>
      </c>
      <c r="B1085" s="3">
        <v>45588</v>
      </c>
      <c r="C1085" s="1" t="str">
        <f t="shared" si="32"/>
        <v>October</v>
      </c>
      <c r="D1085" s="1" t="s">
        <v>425</v>
      </c>
      <c r="E1085" s="1" t="s">
        <v>700</v>
      </c>
      <c r="F1085" s="1" t="s">
        <v>802</v>
      </c>
      <c r="G1085" s="1" t="s">
        <v>806</v>
      </c>
      <c r="H1085" s="1" t="s">
        <v>810</v>
      </c>
      <c r="I1085" s="1" t="s">
        <v>815</v>
      </c>
      <c r="J1085" s="1" t="s">
        <v>819</v>
      </c>
      <c r="K1085" s="1" t="s">
        <v>822</v>
      </c>
      <c r="L1085" s="1" t="s">
        <v>863</v>
      </c>
      <c r="M1085" s="1">
        <v>5.96</v>
      </c>
      <c r="N1085" s="1">
        <v>1007.89</v>
      </c>
      <c r="O1085" s="1">
        <v>7186.94</v>
      </c>
      <c r="P1085" s="1">
        <v>0.05</v>
      </c>
      <c r="Q1085" s="1">
        <v>6059.21</v>
      </c>
      <c r="R1085" s="1">
        <v>4854.1000000000004</v>
      </c>
      <c r="S1085" s="1">
        <f t="shared" si="33"/>
        <v>1205.1099999999997</v>
      </c>
      <c r="T1085" s="1" t="s">
        <v>874</v>
      </c>
      <c r="U1085" s="1" t="s">
        <v>879</v>
      </c>
      <c r="V1085" s="5" t="s">
        <v>883</v>
      </c>
    </row>
    <row r="1086" spans="1:22" x14ac:dyDescent="0.3">
      <c r="A1086" s="4" t="s">
        <v>175</v>
      </c>
      <c r="B1086" s="3">
        <v>45366</v>
      </c>
      <c r="C1086" s="1" t="str">
        <f t="shared" si="32"/>
        <v>March</v>
      </c>
      <c r="D1086" s="1" t="s">
        <v>416</v>
      </c>
      <c r="E1086" s="1" t="s">
        <v>660</v>
      </c>
      <c r="F1086" s="1" t="s">
        <v>801</v>
      </c>
      <c r="G1086" s="1" t="s">
        <v>806</v>
      </c>
      <c r="H1086" s="1" t="s">
        <v>812</v>
      </c>
      <c r="I1086" s="1" t="s">
        <v>813</v>
      </c>
      <c r="J1086" s="1" t="s">
        <v>819</v>
      </c>
      <c r="K1086" s="1" t="s">
        <v>820</v>
      </c>
      <c r="L1086" s="1" t="s">
        <v>856</v>
      </c>
      <c r="M1086" s="1">
        <v>9.42</v>
      </c>
      <c r="N1086" s="1">
        <v>1600.03</v>
      </c>
      <c r="O1086" s="1">
        <v>19637.54</v>
      </c>
      <c r="P1086" s="1">
        <v>0.05</v>
      </c>
      <c r="Q1086" s="1">
        <v>17352.93</v>
      </c>
      <c r="R1086" s="1">
        <v>9633.43</v>
      </c>
      <c r="S1086" s="1">
        <f t="shared" si="33"/>
        <v>7719.5</v>
      </c>
      <c r="T1086" s="1" t="s">
        <v>876</v>
      </c>
      <c r="U1086" s="1" t="s">
        <v>879</v>
      </c>
      <c r="V1086" s="5" t="s">
        <v>883</v>
      </c>
    </row>
    <row r="1087" spans="1:22" x14ac:dyDescent="0.3">
      <c r="A1087" s="4" t="s">
        <v>59</v>
      </c>
      <c r="B1087" s="3">
        <v>45542</v>
      </c>
      <c r="C1087" s="1" t="str">
        <f t="shared" si="32"/>
        <v>September</v>
      </c>
      <c r="D1087" s="1" t="s">
        <v>351</v>
      </c>
      <c r="E1087" s="1" t="s">
        <v>544</v>
      </c>
      <c r="F1087" s="1" t="s">
        <v>802</v>
      </c>
      <c r="G1087" s="1" t="s">
        <v>806</v>
      </c>
      <c r="H1087" s="1" t="s">
        <v>812</v>
      </c>
      <c r="I1087" s="1" t="s">
        <v>809</v>
      </c>
      <c r="J1087" s="1" t="s">
        <v>819</v>
      </c>
      <c r="K1087" s="1" t="s">
        <v>820</v>
      </c>
      <c r="L1087" s="1" t="s">
        <v>839</v>
      </c>
      <c r="M1087" s="1">
        <v>12.85</v>
      </c>
      <c r="N1087" s="1">
        <v>1863.04</v>
      </c>
      <c r="O1087" s="1">
        <v>22300.080000000002</v>
      </c>
      <c r="P1087" s="1">
        <v>0.14000000000000001</v>
      </c>
      <c r="Q1087" s="1">
        <v>18857.310000000001</v>
      </c>
      <c r="R1087" s="1">
        <v>15260.85</v>
      </c>
      <c r="S1087" s="1">
        <f t="shared" si="33"/>
        <v>3596.4600000000009</v>
      </c>
      <c r="T1087" s="1" t="s">
        <v>873</v>
      </c>
      <c r="U1087" s="1" t="s">
        <v>877</v>
      </c>
      <c r="V1087" s="5" t="s">
        <v>883</v>
      </c>
    </row>
    <row r="1088" spans="1:22" x14ac:dyDescent="0.3">
      <c r="A1088" s="4" t="s">
        <v>22</v>
      </c>
      <c r="B1088" s="3">
        <v>45338</v>
      </c>
      <c r="C1088" s="1" t="str">
        <f t="shared" si="32"/>
        <v>February</v>
      </c>
      <c r="D1088" s="1" t="s">
        <v>405</v>
      </c>
      <c r="E1088" s="1" t="s">
        <v>507</v>
      </c>
      <c r="F1088" s="1" t="s">
        <v>802</v>
      </c>
      <c r="G1088" s="1" t="s">
        <v>805</v>
      </c>
      <c r="H1088" s="1" t="s">
        <v>809</v>
      </c>
      <c r="I1088" s="1" t="s">
        <v>813</v>
      </c>
      <c r="J1088" s="1" t="s">
        <v>817</v>
      </c>
      <c r="K1088" s="1" t="s">
        <v>821</v>
      </c>
      <c r="L1088" s="1" t="s">
        <v>824</v>
      </c>
      <c r="M1088" s="1">
        <v>6.62</v>
      </c>
      <c r="N1088" s="1">
        <v>562.05999999999995</v>
      </c>
      <c r="O1088" s="1">
        <v>4032.55</v>
      </c>
      <c r="P1088" s="1">
        <v>0</v>
      </c>
      <c r="Q1088" s="1">
        <v>3895.78</v>
      </c>
      <c r="R1088" s="1">
        <v>3147.96</v>
      </c>
      <c r="S1088" s="1">
        <f t="shared" si="33"/>
        <v>747.82000000000016</v>
      </c>
      <c r="T1088" s="1" t="s">
        <v>874</v>
      </c>
      <c r="U1088" s="1" t="s">
        <v>878</v>
      </c>
      <c r="V1088" s="5" t="s">
        <v>882</v>
      </c>
    </row>
    <row r="1089" spans="1:22" x14ac:dyDescent="0.3">
      <c r="A1089" s="4" t="s">
        <v>43</v>
      </c>
      <c r="B1089" s="3">
        <v>45415</v>
      </c>
      <c r="C1089" s="1" t="str">
        <f t="shared" si="32"/>
        <v>May</v>
      </c>
      <c r="D1089" s="1" t="s">
        <v>332</v>
      </c>
      <c r="E1089" s="1" t="s">
        <v>528</v>
      </c>
      <c r="F1089" s="1" t="s">
        <v>802</v>
      </c>
      <c r="G1089" s="1" t="s">
        <v>807</v>
      </c>
      <c r="H1089" s="1" t="s">
        <v>810</v>
      </c>
      <c r="I1089" s="1" t="s">
        <v>815</v>
      </c>
      <c r="J1089" s="1" t="s">
        <v>817</v>
      </c>
      <c r="K1089" s="1" t="s">
        <v>822</v>
      </c>
      <c r="L1089" s="1" t="s">
        <v>830</v>
      </c>
      <c r="M1089" s="1">
        <v>2.14</v>
      </c>
      <c r="N1089" s="1">
        <v>1094.33</v>
      </c>
      <c r="O1089" s="1">
        <v>1945.87</v>
      </c>
      <c r="P1089" s="1">
        <v>0.1</v>
      </c>
      <c r="Q1089" s="1">
        <v>1873.02</v>
      </c>
      <c r="R1089" s="1">
        <v>1525.61</v>
      </c>
      <c r="S1089" s="1">
        <f t="shared" si="33"/>
        <v>347.41000000000008</v>
      </c>
      <c r="T1089" s="1" t="s">
        <v>876</v>
      </c>
      <c r="U1089" s="1" t="s">
        <v>878</v>
      </c>
      <c r="V1089" s="5" t="s">
        <v>884</v>
      </c>
    </row>
    <row r="1090" spans="1:22" x14ac:dyDescent="0.3">
      <c r="A1090" s="4" t="s">
        <v>311</v>
      </c>
      <c r="B1090" s="3">
        <v>45439</v>
      </c>
      <c r="C1090" s="1" t="str">
        <f t="shared" ref="C1090:C1153" si="34">TEXT(B1090,"MMMM")</f>
        <v>May</v>
      </c>
      <c r="D1090" s="1" t="s">
        <v>504</v>
      </c>
      <c r="E1090" s="1" t="s">
        <v>793</v>
      </c>
      <c r="F1090" s="1" t="s">
        <v>802</v>
      </c>
      <c r="G1090" s="1" t="s">
        <v>805</v>
      </c>
      <c r="H1090" s="1" t="s">
        <v>808</v>
      </c>
      <c r="I1090" s="1" t="s">
        <v>813</v>
      </c>
      <c r="J1090" s="1" t="s">
        <v>818</v>
      </c>
      <c r="K1090" s="1" t="s">
        <v>821</v>
      </c>
      <c r="L1090" s="1" t="s">
        <v>839</v>
      </c>
      <c r="M1090" s="1">
        <v>1.1100000000000001</v>
      </c>
      <c r="N1090" s="1">
        <v>2563.09</v>
      </c>
      <c r="O1090" s="1">
        <v>2416.7800000000002</v>
      </c>
      <c r="P1090" s="1">
        <v>0.14000000000000001</v>
      </c>
      <c r="Q1090" s="1">
        <v>2230.17</v>
      </c>
      <c r="R1090" s="1">
        <v>1982.27</v>
      </c>
      <c r="S1090" s="1">
        <f t="shared" ref="S1090:S1153" si="35">Q1090-R1090</f>
        <v>247.90000000000009</v>
      </c>
      <c r="T1090" s="1" t="s">
        <v>873</v>
      </c>
      <c r="U1090" s="1" t="s">
        <v>880</v>
      </c>
      <c r="V1090" s="5" t="s">
        <v>884</v>
      </c>
    </row>
    <row r="1091" spans="1:22" x14ac:dyDescent="0.3">
      <c r="A1091" s="4" t="s">
        <v>181</v>
      </c>
      <c r="B1091" s="3">
        <v>45552</v>
      </c>
      <c r="C1091" s="1" t="str">
        <f t="shared" si="34"/>
        <v>September</v>
      </c>
      <c r="D1091" s="1" t="s">
        <v>398</v>
      </c>
      <c r="E1091" s="1" t="s">
        <v>665</v>
      </c>
      <c r="F1091" s="1" t="s">
        <v>801</v>
      </c>
      <c r="G1091" s="1" t="s">
        <v>805</v>
      </c>
      <c r="H1091" s="1" t="s">
        <v>809</v>
      </c>
      <c r="I1091" s="1" t="s">
        <v>809</v>
      </c>
      <c r="J1091" s="1" t="s">
        <v>818</v>
      </c>
      <c r="K1091" s="1" t="s">
        <v>821</v>
      </c>
      <c r="L1091" s="1" t="s">
        <v>827</v>
      </c>
      <c r="M1091" s="1">
        <v>1.03</v>
      </c>
      <c r="N1091" s="1">
        <v>728.02</v>
      </c>
      <c r="O1091" s="1">
        <v>717.32</v>
      </c>
      <c r="P1091" s="1">
        <v>0.05</v>
      </c>
      <c r="Q1091" s="1">
        <v>717.38</v>
      </c>
      <c r="R1091" s="1">
        <v>591.41999999999996</v>
      </c>
      <c r="S1091" s="1">
        <f t="shared" si="35"/>
        <v>125.96000000000004</v>
      </c>
      <c r="T1091" s="1" t="s">
        <v>875</v>
      </c>
      <c r="U1091" s="1" t="s">
        <v>880</v>
      </c>
      <c r="V1091" s="5" t="s">
        <v>884</v>
      </c>
    </row>
    <row r="1092" spans="1:22" x14ac:dyDescent="0.3">
      <c r="A1092" s="4" t="s">
        <v>71</v>
      </c>
      <c r="B1092" s="3">
        <v>45420</v>
      </c>
      <c r="C1092" s="1" t="str">
        <f t="shared" si="34"/>
        <v>May</v>
      </c>
      <c r="D1092" s="1" t="s">
        <v>358</v>
      </c>
      <c r="E1092" s="1" t="s">
        <v>556</v>
      </c>
      <c r="F1092" s="1" t="s">
        <v>802</v>
      </c>
      <c r="G1092" s="1" t="s">
        <v>806</v>
      </c>
      <c r="H1092" s="1" t="s">
        <v>811</v>
      </c>
      <c r="I1092" s="1" t="s">
        <v>815</v>
      </c>
      <c r="J1092" s="1" t="s">
        <v>817</v>
      </c>
      <c r="K1092" s="1" t="s">
        <v>821</v>
      </c>
      <c r="L1092" s="1" t="s">
        <v>851</v>
      </c>
      <c r="M1092" s="1">
        <v>10.91</v>
      </c>
      <c r="N1092" s="1">
        <v>1649.79</v>
      </c>
      <c r="O1092" s="1">
        <v>21936.639999999999</v>
      </c>
      <c r="P1092" s="1">
        <v>0</v>
      </c>
      <c r="Q1092" s="1">
        <v>17343.36</v>
      </c>
      <c r="R1092" s="1">
        <v>11406.3</v>
      </c>
      <c r="S1092" s="1">
        <f t="shared" si="35"/>
        <v>5937.0600000000013</v>
      </c>
      <c r="T1092" s="1" t="s">
        <v>876</v>
      </c>
      <c r="U1092" s="1" t="s">
        <v>881</v>
      </c>
      <c r="V1092" s="5" t="s">
        <v>884</v>
      </c>
    </row>
    <row r="1093" spans="1:22" x14ac:dyDescent="0.3">
      <c r="A1093" s="4" t="s">
        <v>256</v>
      </c>
      <c r="B1093" s="3">
        <v>45396</v>
      </c>
      <c r="C1093" s="1" t="str">
        <f t="shared" si="34"/>
        <v>April</v>
      </c>
      <c r="D1093" s="1" t="s">
        <v>372</v>
      </c>
      <c r="E1093" s="1" t="s">
        <v>739</v>
      </c>
      <c r="F1093" s="1" t="s">
        <v>802</v>
      </c>
      <c r="G1093" s="1" t="s">
        <v>805</v>
      </c>
      <c r="H1093" s="1" t="s">
        <v>810</v>
      </c>
      <c r="I1093" s="1" t="s">
        <v>809</v>
      </c>
      <c r="J1093" s="1" t="s">
        <v>818</v>
      </c>
      <c r="K1093" s="1" t="s">
        <v>821</v>
      </c>
      <c r="L1093" s="1" t="s">
        <v>855</v>
      </c>
      <c r="M1093" s="1">
        <v>3.31</v>
      </c>
      <c r="N1093" s="1">
        <v>1566.58</v>
      </c>
      <c r="O1093" s="1">
        <v>5386.27</v>
      </c>
      <c r="P1093" s="1">
        <v>0</v>
      </c>
      <c r="Q1093" s="1">
        <v>6040.73</v>
      </c>
      <c r="R1093" s="1">
        <v>3366.15</v>
      </c>
      <c r="S1093" s="1">
        <f t="shared" si="35"/>
        <v>2674.5799999999995</v>
      </c>
      <c r="T1093" s="1" t="s">
        <v>875</v>
      </c>
      <c r="U1093" s="1" t="s">
        <v>878</v>
      </c>
      <c r="V1093" s="5" t="s">
        <v>882</v>
      </c>
    </row>
    <row r="1094" spans="1:22" x14ac:dyDescent="0.3">
      <c r="A1094" s="4" t="s">
        <v>283</v>
      </c>
      <c r="B1094" s="3">
        <v>45609</v>
      </c>
      <c r="C1094" s="1" t="str">
        <f t="shared" si="34"/>
        <v>November</v>
      </c>
      <c r="D1094" s="1" t="s">
        <v>473</v>
      </c>
      <c r="E1094" s="1" t="s">
        <v>766</v>
      </c>
      <c r="F1094" s="1" t="s">
        <v>801</v>
      </c>
      <c r="G1094" s="1" t="s">
        <v>805</v>
      </c>
      <c r="H1094" s="1" t="s">
        <v>812</v>
      </c>
      <c r="I1094" s="1" t="s">
        <v>809</v>
      </c>
      <c r="J1094" s="1" t="s">
        <v>817</v>
      </c>
      <c r="K1094" s="1" t="s">
        <v>821</v>
      </c>
      <c r="L1094" s="1" t="s">
        <v>871</v>
      </c>
      <c r="M1094" s="1">
        <v>9.81</v>
      </c>
      <c r="N1094" s="1">
        <v>1821.52</v>
      </c>
      <c r="O1094" s="1">
        <v>15627.93</v>
      </c>
      <c r="P1094" s="1">
        <v>0.09</v>
      </c>
      <c r="Q1094" s="1">
        <v>12326.68</v>
      </c>
      <c r="R1094" s="1">
        <v>7879.45</v>
      </c>
      <c r="S1094" s="1">
        <f t="shared" si="35"/>
        <v>4447.2300000000005</v>
      </c>
      <c r="T1094" s="1" t="s">
        <v>873</v>
      </c>
      <c r="U1094" s="1" t="s">
        <v>880</v>
      </c>
      <c r="V1094" s="5" t="s">
        <v>884</v>
      </c>
    </row>
    <row r="1095" spans="1:22" x14ac:dyDescent="0.3">
      <c r="A1095" s="4" t="s">
        <v>198</v>
      </c>
      <c r="B1095" s="3">
        <v>45499</v>
      </c>
      <c r="C1095" s="1" t="str">
        <f t="shared" si="34"/>
        <v>July</v>
      </c>
      <c r="D1095" s="1" t="s">
        <v>480</v>
      </c>
      <c r="E1095" s="1" t="s">
        <v>682</v>
      </c>
      <c r="F1095" s="1" t="s">
        <v>803</v>
      </c>
      <c r="G1095" s="1" t="s">
        <v>804</v>
      </c>
      <c r="H1095" s="1" t="s">
        <v>809</v>
      </c>
      <c r="I1095" s="1" t="s">
        <v>815</v>
      </c>
      <c r="J1095" s="1" t="s">
        <v>819</v>
      </c>
      <c r="K1095" s="1" t="s">
        <v>820</v>
      </c>
      <c r="L1095" s="1" t="s">
        <v>866</v>
      </c>
      <c r="M1095" s="1">
        <v>4.41</v>
      </c>
      <c r="N1095" s="1">
        <v>672.64</v>
      </c>
      <c r="O1095" s="1">
        <v>3057.48</v>
      </c>
      <c r="P1095" s="1">
        <v>0.1</v>
      </c>
      <c r="Q1095" s="1">
        <v>2467.89</v>
      </c>
      <c r="R1095" s="1">
        <v>1389.42</v>
      </c>
      <c r="S1095" s="1">
        <f t="shared" si="35"/>
        <v>1078.4699999999998</v>
      </c>
      <c r="T1095" s="1" t="s">
        <v>874</v>
      </c>
      <c r="U1095" s="1" t="s">
        <v>878</v>
      </c>
      <c r="V1095" s="5" t="s">
        <v>882</v>
      </c>
    </row>
    <row r="1096" spans="1:22" x14ac:dyDescent="0.3">
      <c r="A1096" s="4" t="s">
        <v>39</v>
      </c>
      <c r="B1096" s="3">
        <v>45424</v>
      </c>
      <c r="C1096" s="1" t="str">
        <f t="shared" si="34"/>
        <v>May</v>
      </c>
      <c r="D1096" s="1" t="s">
        <v>337</v>
      </c>
      <c r="E1096" s="1" t="s">
        <v>524</v>
      </c>
      <c r="F1096" s="1" t="s">
        <v>801</v>
      </c>
      <c r="G1096" s="1" t="s">
        <v>805</v>
      </c>
      <c r="H1096" s="1" t="s">
        <v>808</v>
      </c>
      <c r="I1096" s="1" t="s">
        <v>813</v>
      </c>
      <c r="J1096" s="1" t="s">
        <v>818</v>
      </c>
      <c r="K1096" s="1" t="s">
        <v>820</v>
      </c>
      <c r="L1096" s="1" t="s">
        <v>840</v>
      </c>
      <c r="M1096" s="1">
        <v>8.09</v>
      </c>
      <c r="N1096" s="1">
        <v>2809.12</v>
      </c>
      <c r="O1096" s="1">
        <v>20855.939999999999</v>
      </c>
      <c r="P1096" s="1">
        <v>0</v>
      </c>
      <c r="Q1096" s="1">
        <v>22617.56</v>
      </c>
      <c r="R1096" s="1">
        <v>19687.009999999998</v>
      </c>
      <c r="S1096" s="1">
        <f t="shared" si="35"/>
        <v>2930.5500000000029</v>
      </c>
      <c r="T1096" s="1" t="s">
        <v>876</v>
      </c>
      <c r="U1096" s="1" t="s">
        <v>878</v>
      </c>
      <c r="V1096" s="5" t="s">
        <v>882</v>
      </c>
    </row>
    <row r="1097" spans="1:22" x14ac:dyDescent="0.3">
      <c r="A1097" s="4" t="s">
        <v>78</v>
      </c>
      <c r="B1097" s="3">
        <v>45450</v>
      </c>
      <c r="C1097" s="1" t="str">
        <f t="shared" si="34"/>
        <v>June</v>
      </c>
      <c r="D1097" s="1" t="s">
        <v>319</v>
      </c>
      <c r="E1097" s="1" t="s">
        <v>563</v>
      </c>
      <c r="F1097" s="1" t="s">
        <v>801</v>
      </c>
      <c r="G1097" s="1" t="s">
        <v>806</v>
      </c>
      <c r="H1097" s="1" t="s">
        <v>812</v>
      </c>
      <c r="I1097" s="1" t="s">
        <v>815</v>
      </c>
      <c r="J1097" s="1" t="s">
        <v>818</v>
      </c>
      <c r="K1097" s="1" t="s">
        <v>822</v>
      </c>
      <c r="L1097" s="1" t="s">
        <v>856</v>
      </c>
      <c r="M1097" s="1">
        <v>6.53</v>
      </c>
      <c r="N1097" s="1">
        <v>712.27</v>
      </c>
      <c r="O1097" s="1">
        <v>4751.38</v>
      </c>
      <c r="P1097" s="1">
        <v>0.13</v>
      </c>
      <c r="Q1097" s="1">
        <v>4268.37</v>
      </c>
      <c r="R1097" s="1">
        <v>2907.71</v>
      </c>
      <c r="S1097" s="1">
        <f t="shared" si="35"/>
        <v>1360.6599999999999</v>
      </c>
      <c r="T1097" s="1" t="s">
        <v>873</v>
      </c>
      <c r="U1097" s="1" t="s">
        <v>880</v>
      </c>
      <c r="V1097" s="5" t="s">
        <v>883</v>
      </c>
    </row>
    <row r="1098" spans="1:22" x14ac:dyDescent="0.3">
      <c r="A1098" s="4" t="s">
        <v>220</v>
      </c>
      <c r="B1098" s="3">
        <v>45369</v>
      </c>
      <c r="C1098" s="1" t="str">
        <f t="shared" si="34"/>
        <v>March</v>
      </c>
      <c r="D1098" s="1" t="s">
        <v>400</v>
      </c>
      <c r="E1098" s="1" t="s">
        <v>703</v>
      </c>
      <c r="F1098" s="1" t="s">
        <v>802</v>
      </c>
      <c r="G1098" s="1" t="s">
        <v>807</v>
      </c>
      <c r="H1098" s="1" t="s">
        <v>810</v>
      </c>
      <c r="I1098" s="1" t="s">
        <v>814</v>
      </c>
      <c r="J1098" s="1" t="s">
        <v>817</v>
      </c>
      <c r="K1098" s="1" t="s">
        <v>820</v>
      </c>
      <c r="L1098" s="1" t="s">
        <v>852</v>
      </c>
      <c r="M1098" s="1">
        <v>4.17</v>
      </c>
      <c r="N1098" s="1">
        <v>419.51</v>
      </c>
      <c r="O1098" s="1">
        <v>1757.75</v>
      </c>
      <c r="P1098" s="1">
        <v>0.12</v>
      </c>
      <c r="Q1098" s="1">
        <v>1233.1099999999999</v>
      </c>
      <c r="R1098" s="1">
        <v>964.98</v>
      </c>
      <c r="S1098" s="1">
        <f t="shared" si="35"/>
        <v>268.12999999999988</v>
      </c>
      <c r="T1098" s="1" t="s">
        <v>874</v>
      </c>
      <c r="U1098" s="1" t="s">
        <v>879</v>
      </c>
      <c r="V1098" s="5" t="s">
        <v>883</v>
      </c>
    </row>
    <row r="1099" spans="1:22" x14ac:dyDescent="0.3">
      <c r="A1099" s="4" t="s">
        <v>187</v>
      </c>
      <c r="B1099" s="3">
        <v>45531</v>
      </c>
      <c r="C1099" s="1" t="str">
        <f t="shared" si="34"/>
        <v>August</v>
      </c>
      <c r="D1099" s="1" t="s">
        <v>478</v>
      </c>
      <c r="E1099" s="1" t="s">
        <v>671</v>
      </c>
      <c r="F1099" s="1" t="s">
        <v>801</v>
      </c>
      <c r="G1099" s="1" t="s">
        <v>806</v>
      </c>
      <c r="H1099" s="1" t="s">
        <v>812</v>
      </c>
      <c r="I1099" s="1" t="s">
        <v>816</v>
      </c>
      <c r="J1099" s="1" t="s">
        <v>818</v>
      </c>
      <c r="K1099" s="1" t="s">
        <v>820</v>
      </c>
      <c r="L1099" s="1" t="s">
        <v>830</v>
      </c>
      <c r="M1099" s="1">
        <v>3.95</v>
      </c>
      <c r="N1099" s="1">
        <v>845.96</v>
      </c>
      <c r="O1099" s="1">
        <v>3041.59</v>
      </c>
      <c r="P1099" s="1">
        <v>0.11</v>
      </c>
      <c r="Q1099" s="1">
        <v>3232.02</v>
      </c>
      <c r="R1099" s="1">
        <v>1993.96</v>
      </c>
      <c r="S1099" s="1">
        <f t="shared" si="35"/>
        <v>1238.06</v>
      </c>
      <c r="T1099" s="1" t="s">
        <v>873</v>
      </c>
      <c r="U1099" s="1" t="s">
        <v>880</v>
      </c>
      <c r="V1099" s="5" t="s">
        <v>883</v>
      </c>
    </row>
    <row r="1100" spans="1:22" x14ac:dyDescent="0.3">
      <c r="A1100" s="4" t="s">
        <v>217</v>
      </c>
      <c r="B1100" s="3">
        <v>45588</v>
      </c>
      <c r="C1100" s="1" t="str">
        <f t="shared" si="34"/>
        <v>October</v>
      </c>
      <c r="D1100" s="1" t="s">
        <v>425</v>
      </c>
      <c r="E1100" s="1" t="s">
        <v>700</v>
      </c>
      <c r="F1100" s="1" t="s">
        <v>802</v>
      </c>
      <c r="G1100" s="1" t="s">
        <v>806</v>
      </c>
      <c r="H1100" s="1" t="s">
        <v>810</v>
      </c>
      <c r="I1100" s="1" t="s">
        <v>815</v>
      </c>
      <c r="J1100" s="1" t="s">
        <v>819</v>
      </c>
      <c r="K1100" s="1" t="s">
        <v>822</v>
      </c>
      <c r="L1100" s="1" t="s">
        <v>863</v>
      </c>
      <c r="M1100" s="1">
        <v>5.82</v>
      </c>
      <c r="N1100" s="1">
        <v>1100.01</v>
      </c>
      <c r="O1100" s="1">
        <v>7226.39</v>
      </c>
      <c r="P1100" s="1">
        <v>0.05</v>
      </c>
      <c r="Q1100" s="1">
        <v>6148.61</v>
      </c>
      <c r="R1100" s="1">
        <v>5062.3599999999997</v>
      </c>
      <c r="S1100" s="1">
        <f t="shared" si="35"/>
        <v>1086.25</v>
      </c>
      <c r="T1100" s="1" t="s">
        <v>874</v>
      </c>
      <c r="U1100" s="1" t="s">
        <v>879</v>
      </c>
      <c r="V1100" s="5" t="s">
        <v>883</v>
      </c>
    </row>
    <row r="1101" spans="1:22" x14ac:dyDescent="0.3">
      <c r="A1101" s="4" t="s">
        <v>318</v>
      </c>
      <c r="B1101" s="3">
        <v>45620</v>
      </c>
      <c r="C1101" s="1" t="str">
        <f t="shared" si="34"/>
        <v>November</v>
      </c>
      <c r="D1101" s="1" t="s">
        <v>505</v>
      </c>
      <c r="E1101" s="1" t="s">
        <v>800</v>
      </c>
      <c r="F1101" s="1" t="s">
        <v>801</v>
      </c>
      <c r="G1101" s="1" t="s">
        <v>806</v>
      </c>
      <c r="H1101" s="1" t="s">
        <v>812</v>
      </c>
      <c r="I1101" s="1" t="s">
        <v>809</v>
      </c>
      <c r="J1101" s="1" t="s">
        <v>819</v>
      </c>
      <c r="K1101" s="1" t="s">
        <v>822</v>
      </c>
      <c r="L1101" s="1" t="s">
        <v>826</v>
      </c>
      <c r="M1101" s="1">
        <v>5.1100000000000003</v>
      </c>
      <c r="N1101" s="1">
        <v>2951.92</v>
      </c>
      <c r="O1101" s="1">
        <v>17006.669999999998</v>
      </c>
      <c r="P1101" s="1">
        <v>0</v>
      </c>
      <c r="Q1101" s="1">
        <v>16059.83</v>
      </c>
      <c r="R1101" s="1">
        <v>9603.09</v>
      </c>
      <c r="S1101" s="1">
        <f t="shared" si="35"/>
        <v>6456.74</v>
      </c>
      <c r="T1101" s="1" t="s">
        <v>876</v>
      </c>
      <c r="U1101" s="1" t="s">
        <v>877</v>
      </c>
      <c r="V1101" s="5" t="s">
        <v>884</v>
      </c>
    </row>
    <row r="1102" spans="1:22" x14ac:dyDescent="0.3">
      <c r="A1102" s="4" t="s">
        <v>51</v>
      </c>
      <c r="B1102" s="3">
        <v>45319</v>
      </c>
      <c r="C1102" s="1" t="str">
        <f t="shared" si="34"/>
        <v>January</v>
      </c>
      <c r="D1102" s="1" t="s">
        <v>396</v>
      </c>
      <c r="E1102" s="1" t="s">
        <v>536</v>
      </c>
      <c r="F1102" s="1" t="s">
        <v>803</v>
      </c>
      <c r="G1102" s="1" t="s">
        <v>805</v>
      </c>
      <c r="H1102" s="1" t="s">
        <v>808</v>
      </c>
      <c r="I1102" s="1" t="s">
        <v>815</v>
      </c>
      <c r="J1102" s="1" t="s">
        <v>818</v>
      </c>
      <c r="K1102" s="1" t="s">
        <v>820</v>
      </c>
      <c r="L1102" s="1" t="s">
        <v>845</v>
      </c>
      <c r="M1102" s="1">
        <v>3.01</v>
      </c>
      <c r="N1102" s="1">
        <v>428.35</v>
      </c>
      <c r="O1102" s="1">
        <v>1360.68</v>
      </c>
      <c r="P1102" s="1">
        <v>0.1</v>
      </c>
      <c r="Q1102" s="1">
        <v>1244.43</v>
      </c>
      <c r="R1102" s="1">
        <v>843.1</v>
      </c>
      <c r="S1102" s="1">
        <f t="shared" si="35"/>
        <v>401.33000000000004</v>
      </c>
      <c r="T1102" s="1" t="s">
        <v>874</v>
      </c>
      <c r="U1102" s="1" t="s">
        <v>877</v>
      </c>
      <c r="V1102" s="5" t="s">
        <v>884</v>
      </c>
    </row>
    <row r="1103" spans="1:22" x14ac:dyDescent="0.3">
      <c r="A1103" s="4" t="s">
        <v>45</v>
      </c>
      <c r="B1103" s="3">
        <v>45575</v>
      </c>
      <c r="C1103" s="1" t="str">
        <f t="shared" si="34"/>
        <v>October</v>
      </c>
      <c r="D1103" s="1" t="s">
        <v>444</v>
      </c>
      <c r="E1103" s="1" t="s">
        <v>530</v>
      </c>
      <c r="F1103" s="1" t="s">
        <v>802</v>
      </c>
      <c r="G1103" s="1" t="s">
        <v>804</v>
      </c>
      <c r="H1103" s="1" t="s">
        <v>809</v>
      </c>
      <c r="I1103" s="1" t="s">
        <v>813</v>
      </c>
      <c r="J1103" s="1" t="s">
        <v>817</v>
      </c>
      <c r="K1103" s="1" t="s">
        <v>820</v>
      </c>
      <c r="L1103" s="1" t="s">
        <v>844</v>
      </c>
      <c r="M1103" s="1">
        <v>8.2899999999999991</v>
      </c>
      <c r="N1103" s="1">
        <v>2424.61</v>
      </c>
      <c r="O1103" s="1">
        <v>23348.32</v>
      </c>
      <c r="P1103" s="1">
        <v>0.14000000000000001</v>
      </c>
      <c r="Q1103" s="1">
        <v>17483.45</v>
      </c>
      <c r="R1103" s="1">
        <v>9764.69</v>
      </c>
      <c r="S1103" s="1">
        <f t="shared" si="35"/>
        <v>7718.76</v>
      </c>
      <c r="T1103" s="1" t="s">
        <v>874</v>
      </c>
      <c r="U1103" s="1" t="s">
        <v>877</v>
      </c>
      <c r="V1103" s="5" t="s">
        <v>882</v>
      </c>
    </row>
    <row r="1104" spans="1:22" x14ac:dyDescent="0.3">
      <c r="A1104" s="4" t="s">
        <v>131</v>
      </c>
      <c r="B1104" s="3">
        <v>45376</v>
      </c>
      <c r="C1104" s="1" t="str">
        <f t="shared" si="34"/>
        <v>March</v>
      </c>
      <c r="D1104" s="1" t="s">
        <v>431</v>
      </c>
      <c r="E1104" s="1" t="s">
        <v>616</v>
      </c>
      <c r="F1104" s="1" t="s">
        <v>801</v>
      </c>
      <c r="G1104" s="1" t="s">
        <v>805</v>
      </c>
      <c r="H1104" s="1" t="s">
        <v>812</v>
      </c>
      <c r="I1104" s="1" t="s">
        <v>816</v>
      </c>
      <c r="J1104" s="1" t="s">
        <v>819</v>
      </c>
      <c r="K1104" s="1" t="s">
        <v>822</v>
      </c>
      <c r="L1104" s="1" t="s">
        <v>858</v>
      </c>
      <c r="M1104" s="1">
        <v>9.09</v>
      </c>
      <c r="N1104" s="1">
        <v>3233.47</v>
      </c>
      <c r="O1104" s="1">
        <v>33838.46</v>
      </c>
      <c r="P1104" s="1">
        <v>0</v>
      </c>
      <c r="Q1104" s="1">
        <v>29519.63</v>
      </c>
      <c r="R1104" s="1">
        <v>17766.560000000001</v>
      </c>
      <c r="S1104" s="1">
        <f t="shared" si="35"/>
        <v>11753.07</v>
      </c>
      <c r="T1104" s="1" t="s">
        <v>876</v>
      </c>
      <c r="U1104" s="1" t="s">
        <v>880</v>
      </c>
      <c r="V1104" s="5" t="s">
        <v>883</v>
      </c>
    </row>
    <row r="1105" spans="1:22" x14ac:dyDescent="0.3">
      <c r="A1105" s="4" t="s">
        <v>310</v>
      </c>
      <c r="B1105" s="3">
        <v>45613</v>
      </c>
      <c r="C1105" s="1" t="str">
        <f t="shared" si="34"/>
        <v>November</v>
      </c>
      <c r="D1105" s="1" t="s">
        <v>417</v>
      </c>
      <c r="E1105" s="1" t="s">
        <v>792</v>
      </c>
      <c r="F1105" s="1" t="s">
        <v>803</v>
      </c>
      <c r="G1105" s="1" t="s">
        <v>804</v>
      </c>
      <c r="H1105" s="1" t="s">
        <v>808</v>
      </c>
      <c r="I1105" s="1" t="s">
        <v>813</v>
      </c>
      <c r="J1105" s="1" t="s">
        <v>819</v>
      </c>
      <c r="K1105" s="1" t="s">
        <v>821</v>
      </c>
      <c r="L1105" s="1" t="s">
        <v>845</v>
      </c>
      <c r="M1105" s="1">
        <v>6.26</v>
      </c>
      <c r="N1105" s="1">
        <v>635.49</v>
      </c>
      <c r="O1105" s="1">
        <v>3351.2</v>
      </c>
      <c r="P1105" s="1">
        <v>0</v>
      </c>
      <c r="Q1105" s="1">
        <v>3609.86</v>
      </c>
      <c r="R1105" s="1">
        <v>2872.09</v>
      </c>
      <c r="S1105" s="1">
        <f t="shared" si="35"/>
        <v>737.77</v>
      </c>
      <c r="T1105" s="1" t="s">
        <v>876</v>
      </c>
      <c r="U1105" s="1" t="s">
        <v>880</v>
      </c>
      <c r="V1105" s="5" t="s">
        <v>882</v>
      </c>
    </row>
    <row r="1106" spans="1:22" x14ac:dyDescent="0.3">
      <c r="A1106" s="4" t="s">
        <v>237</v>
      </c>
      <c r="B1106" s="3">
        <v>45546</v>
      </c>
      <c r="C1106" s="1" t="str">
        <f t="shared" si="34"/>
        <v>September</v>
      </c>
      <c r="D1106" s="1" t="s">
        <v>350</v>
      </c>
      <c r="E1106" s="1" t="s">
        <v>720</v>
      </c>
      <c r="F1106" s="1" t="s">
        <v>802</v>
      </c>
      <c r="G1106" s="1" t="s">
        <v>806</v>
      </c>
      <c r="H1106" s="1" t="s">
        <v>809</v>
      </c>
      <c r="I1106" s="1" t="s">
        <v>815</v>
      </c>
      <c r="J1106" s="1" t="s">
        <v>819</v>
      </c>
      <c r="K1106" s="1" t="s">
        <v>820</v>
      </c>
      <c r="L1106" s="1" t="s">
        <v>847</v>
      </c>
      <c r="M1106" s="1">
        <v>6.2</v>
      </c>
      <c r="N1106" s="1">
        <v>3118.17</v>
      </c>
      <c r="O1106" s="1">
        <v>18424.79</v>
      </c>
      <c r="P1106" s="1">
        <v>0.05</v>
      </c>
      <c r="Q1106" s="1">
        <v>19088.36</v>
      </c>
      <c r="R1106" s="1">
        <v>16621.59</v>
      </c>
      <c r="S1106" s="1">
        <f t="shared" si="35"/>
        <v>2466.7700000000004</v>
      </c>
      <c r="T1106" s="1" t="s">
        <v>875</v>
      </c>
      <c r="U1106" s="1" t="s">
        <v>881</v>
      </c>
      <c r="V1106" s="5" t="s">
        <v>882</v>
      </c>
    </row>
    <row r="1107" spans="1:22" x14ac:dyDescent="0.3">
      <c r="A1107" s="4" t="s">
        <v>217</v>
      </c>
      <c r="B1107" s="3">
        <v>45588</v>
      </c>
      <c r="C1107" s="1" t="str">
        <f t="shared" si="34"/>
        <v>October</v>
      </c>
      <c r="D1107" s="1" t="s">
        <v>425</v>
      </c>
      <c r="E1107" s="1" t="s">
        <v>700</v>
      </c>
      <c r="F1107" s="1" t="s">
        <v>802</v>
      </c>
      <c r="G1107" s="1" t="s">
        <v>806</v>
      </c>
      <c r="H1107" s="1" t="s">
        <v>810</v>
      </c>
      <c r="I1107" s="1" t="s">
        <v>815</v>
      </c>
      <c r="J1107" s="1" t="s">
        <v>819</v>
      </c>
      <c r="K1107" s="1" t="s">
        <v>822</v>
      </c>
      <c r="L1107" s="1" t="s">
        <v>863</v>
      </c>
      <c r="M1107" s="1">
        <v>5.17</v>
      </c>
      <c r="N1107" s="1">
        <v>1213.73</v>
      </c>
      <c r="O1107" s="1">
        <v>6894.02</v>
      </c>
      <c r="P1107" s="1">
        <v>0.05</v>
      </c>
      <c r="Q1107" s="1">
        <v>7233.33</v>
      </c>
      <c r="R1107" s="1">
        <v>4780.6400000000003</v>
      </c>
      <c r="S1107" s="1">
        <f t="shared" si="35"/>
        <v>2452.6899999999996</v>
      </c>
      <c r="T1107" s="1" t="s">
        <v>874</v>
      </c>
      <c r="U1107" s="1" t="s">
        <v>879</v>
      </c>
      <c r="V1107" s="5" t="s">
        <v>883</v>
      </c>
    </row>
    <row r="1108" spans="1:22" x14ac:dyDescent="0.3">
      <c r="A1108" s="4" t="s">
        <v>176</v>
      </c>
      <c r="B1108" s="3">
        <v>45546</v>
      </c>
      <c r="C1108" s="1" t="str">
        <f t="shared" si="34"/>
        <v>September</v>
      </c>
      <c r="D1108" s="1" t="s">
        <v>475</v>
      </c>
      <c r="E1108" s="1" t="s">
        <v>632</v>
      </c>
      <c r="F1108" s="1" t="s">
        <v>802</v>
      </c>
      <c r="G1108" s="1" t="s">
        <v>805</v>
      </c>
      <c r="H1108" s="1" t="s">
        <v>811</v>
      </c>
      <c r="I1108" s="1" t="s">
        <v>816</v>
      </c>
      <c r="J1108" s="1" t="s">
        <v>819</v>
      </c>
      <c r="K1108" s="1" t="s">
        <v>820</v>
      </c>
      <c r="L1108" s="1" t="s">
        <v>854</v>
      </c>
      <c r="M1108" s="1">
        <v>8.57</v>
      </c>
      <c r="N1108" s="1">
        <v>2859.21</v>
      </c>
      <c r="O1108" s="1">
        <v>23597.040000000001</v>
      </c>
      <c r="P1108" s="1">
        <v>0.15</v>
      </c>
      <c r="Q1108" s="1">
        <v>24516.37</v>
      </c>
      <c r="R1108" s="1">
        <v>15392.31</v>
      </c>
      <c r="S1108" s="1">
        <f t="shared" si="35"/>
        <v>9124.06</v>
      </c>
      <c r="T1108" s="1" t="s">
        <v>874</v>
      </c>
      <c r="U1108" s="1" t="s">
        <v>878</v>
      </c>
      <c r="V1108" s="5" t="s">
        <v>882</v>
      </c>
    </row>
    <row r="1109" spans="1:22" x14ac:dyDescent="0.3">
      <c r="A1109" s="4" t="s">
        <v>92</v>
      </c>
      <c r="B1109" s="3">
        <v>45617</v>
      </c>
      <c r="C1109" s="1" t="str">
        <f t="shared" si="34"/>
        <v>November</v>
      </c>
      <c r="D1109" s="1" t="s">
        <v>448</v>
      </c>
      <c r="E1109" s="1" t="s">
        <v>577</v>
      </c>
      <c r="F1109" s="1" t="s">
        <v>802</v>
      </c>
      <c r="G1109" s="1" t="s">
        <v>805</v>
      </c>
      <c r="H1109" s="1" t="s">
        <v>808</v>
      </c>
      <c r="I1109" s="1" t="s">
        <v>813</v>
      </c>
      <c r="J1109" s="1" t="s">
        <v>819</v>
      </c>
      <c r="K1109" s="1" t="s">
        <v>820</v>
      </c>
      <c r="L1109" s="1" t="s">
        <v>860</v>
      </c>
      <c r="M1109" s="1">
        <v>2.11</v>
      </c>
      <c r="N1109" s="1">
        <v>3029.96</v>
      </c>
      <c r="O1109" s="1">
        <v>6883.67</v>
      </c>
      <c r="P1109" s="1">
        <v>0.05</v>
      </c>
      <c r="Q1109" s="1">
        <v>6009.38</v>
      </c>
      <c r="R1109" s="1">
        <v>5004.66</v>
      </c>
      <c r="S1109" s="1">
        <f t="shared" si="35"/>
        <v>1004.7200000000003</v>
      </c>
      <c r="T1109" s="1" t="s">
        <v>875</v>
      </c>
      <c r="U1109" s="1" t="s">
        <v>877</v>
      </c>
      <c r="V1109" s="5" t="s">
        <v>884</v>
      </c>
    </row>
    <row r="1110" spans="1:22" x14ac:dyDescent="0.3">
      <c r="A1110" s="4" t="s">
        <v>74</v>
      </c>
      <c r="B1110" s="3">
        <v>45494</v>
      </c>
      <c r="C1110" s="1" t="str">
        <f t="shared" si="34"/>
        <v>July</v>
      </c>
      <c r="D1110" s="1" t="s">
        <v>375</v>
      </c>
      <c r="E1110" s="1" t="s">
        <v>559</v>
      </c>
      <c r="F1110" s="1" t="s">
        <v>801</v>
      </c>
      <c r="G1110" s="1" t="s">
        <v>806</v>
      </c>
      <c r="H1110" s="1" t="s">
        <v>810</v>
      </c>
      <c r="I1110" s="1" t="s">
        <v>816</v>
      </c>
      <c r="J1110" s="1" t="s">
        <v>817</v>
      </c>
      <c r="K1110" s="1" t="s">
        <v>822</v>
      </c>
      <c r="L1110" s="1" t="s">
        <v>853</v>
      </c>
      <c r="M1110" s="1">
        <v>1.06</v>
      </c>
      <c r="N1110" s="1">
        <v>3133.33</v>
      </c>
      <c r="O1110" s="1">
        <v>2803.85</v>
      </c>
      <c r="P1110" s="1">
        <v>0</v>
      </c>
      <c r="Q1110" s="1">
        <v>2981.15</v>
      </c>
      <c r="R1110" s="1">
        <v>1683.2</v>
      </c>
      <c r="S1110" s="1">
        <f t="shared" si="35"/>
        <v>1297.95</v>
      </c>
      <c r="T1110" s="1" t="s">
        <v>874</v>
      </c>
      <c r="U1110" s="1" t="s">
        <v>877</v>
      </c>
      <c r="V1110" s="5" t="s">
        <v>883</v>
      </c>
    </row>
    <row r="1111" spans="1:22" x14ac:dyDescent="0.3">
      <c r="A1111" s="4" t="s">
        <v>239</v>
      </c>
      <c r="B1111" s="3">
        <v>45508</v>
      </c>
      <c r="C1111" s="1" t="str">
        <f t="shared" si="34"/>
        <v>August</v>
      </c>
      <c r="D1111" s="1" t="s">
        <v>409</v>
      </c>
      <c r="E1111" s="1" t="s">
        <v>722</v>
      </c>
      <c r="F1111" s="1" t="s">
        <v>801</v>
      </c>
      <c r="G1111" s="1" t="s">
        <v>806</v>
      </c>
      <c r="H1111" s="1" t="s">
        <v>809</v>
      </c>
      <c r="I1111" s="1" t="s">
        <v>813</v>
      </c>
      <c r="J1111" s="1" t="s">
        <v>818</v>
      </c>
      <c r="K1111" s="1" t="s">
        <v>821</v>
      </c>
      <c r="L1111" s="1" t="s">
        <v>844</v>
      </c>
      <c r="M1111" s="1">
        <v>8.65</v>
      </c>
      <c r="N1111" s="1">
        <v>1804.01</v>
      </c>
      <c r="O1111" s="1">
        <v>14833.01</v>
      </c>
      <c r="P1111" s="1">
        <v>0.05</v>
      </c>
      <c r="Q1111" s="1">
        <v>15339.99</v>
      </c>
      <c r="R1111" s="1">
        <v>10188.42</v>
      </c>
      <c r="S1111" s="1">
        <f t="shared" si="35"/>
        <v>5151.57</v>
      </c>
      <c r="T1111" s="1" t="s">
        <v>873</v>
      </c>
      <c r="U1111" s="1" t="s">
        <v>880</v>
      </c>
      <c r="V1111" s="5" t="s">
        <v>882</v>
      </c>
    </row>
    <row r="1112" spans="1:22" x14ac:dyDescent="0.3">
      <c r="A1112" s="4" t="s">
        <v>206</v>
      </c>
      <c r="B1112" s="3">
        <v>45569</v>
      </c>
      <c r="C1112" s="1" t="str">
        <f t="shared" si="34"/>
        <v>October</v>
      </c>
      <c r="D1112" s="1" t="s">
        <v>330</v>
      </c>
      <c r="E1112" s="1" t="s">
        <v>690</v>
      </c>
      <c r="F1112" s="1" t="s">
        <v>803</v>
      </c>
      <c r="G1112" s="1" t="s">
        <v>807</v>
      </c>
      <c r="H1112" s="1" t="s">
        <v>808</v>
      </c>
      <c r="I1112" s="1" t="s">
        <v>815</v>
      </c>
      <c r="J1112" s="1" t="s">
        <v>818</v>
      </c>
      <c r="K1112" s="1" t="s">
        <v>821</v>
      </c>
      <c r="L1112" s="1" t="s">
        <v>858</v>
      </c>
      <c r="M1112" s="1">
        <v>9.33</v>
      </c>
      <c r="N1112" s="1">
        <v>1835.8</v>
      </c>
      <c r="O1112" s="1">
        <v>14548.82</v>
      </c>
      <c r="P1112" s="1">
        <v>0.05</v>
      </c>
      <c r="Q1112" s="1">
        <v>14890.75</v>
      </c>
      <c r="R1112" s="1">
        <v>13471.39</v>
      </c>
      <c r="S1112" s="1">
        <f t="shared" si="35"/>
        <v>1419.3600000000006</v>
      </c>
      <c r="T1112" s="1" t="s">
        <v>874</v>
      </c>
      <c r="U1112" s="1" t="s">
        <v>878</v>
      </c>
      <c r="V1112" s="5" t="s">
        <v>883</v>
      </c>
    </row>
    <row r="1113" spans="1:22" x14ac:dyDescent="0.3">
      <c r="A1113" s="4" t="s">
        <v>45</v>
      </c>
      <c r="B1113" s="3">
        <v>45575</v>
      </c>
      <c r="C1113" s="1" t="str">
        <f t="shared" si="34"/>
        <v>October</v>
      </c>
      <c r="D1113" s="1" t="s">
        <v>444</v>
      </c>
      <c r="E1113" s="1" t="s">
        <v>530</v>
      </c>
      <c r="F1113" s="1" t="s">
        <v>802</v>
      </c>
      <c r="G1113" s="1" t="s">
        <v>804</v>
      </c>
      <c r="H1113" s="1" t="s">
        <v>809</v>
      </c>
      <c r="I1113" s="1" t="s">
        <v>813</v>
      </c>
      <c r="J1113" s="1" t="s">
        <v>817</v>
      </c>
      <c r="K1113" s="1" t="s">
        <v>820</v>
      </c>
      <c r="L1113" s="1" t="s">
        <v>844</v>
      </c>
      <c r="M1113" s="1">
        <v>7.1</v>
      </c>
      <c r="N1113" s="1">
        <v>2579.4</v>
      </c>
      <c r="O1113" s="1">
        <v>18973.68</v>
      </c>
      <c r="P1113" s="1">
        <v>0.15</v>
      </c>
      <c r="Q1113" s="1">
        <v>14144.41</v>
      </c>
      <c r="R1113" s="1">
        <v>9608.3799999999992</v>
      </c>
      <c r="S1113" s="1">
        <f t="shared" si="35"/>
        <v>4536.0300000000007</v>
      </c>
      <c r="T1113" s="1" t="s">
        <v>874</v>
      </c>
      <c r="U1113" s="1" t="s">
        <v>877</v>
      </c>
      <c r="V1113" s="5" t="s">
        <v>882</v>
      </c>
    </row>
    <row r="1114" spans="1:22" x14ac:dyDescent="0.3">
      <c r="A1114" s="4" t="s">
        <v>217</v>
      </c>
      <c r="B1114" s="3">
        <v>45588</v>
      </c>
      <c r="C1114" s="1" t="str">
        <f t="shared" si="34"/>
        <v>October</v>
      </c>
      <c r="D1114" s="1" t="s">
        <v>425</v>
      </c>
      <c r="E1114" s="1" t="s">
        <v>700</v>
      </c>
      <c r="F1114" s="1" t="s">
        <v>802</v>
      </c>
      <c r="G1114" s="1" t="s">
        <v>806</v>
      </c>
      <c r="H1114" s="1" t="s">
        <v>810</v>
      </c>
      <c r="I1114" s="1" t="s">
        <v>815</v>
      </c>
      <c r="J1114" s="1" t="s">
        <v>819</v>
      </c>
      <c r="K1114" s="1" t="s">
        <v>822</v>
      </c>
      <c r="L1114" s="1" t="s">
        <v>863</v>
      </c>
      <c r="M1114" s="1">
        <v>5.72</v>
      </c>
      <c r="N1114" s="1">
        <v>1245.18</v>
      </c>
      <c r="O1114" s="1">
        <v>4729.7299999999996</v>
      </c>
      <c r="P1114" s="1">
        <v>0.05</v>
      </c>
      <c r="Q1114" s="1">
        <v>6507.16</v>
      </c>
      <c r="R1114" s="1">
        <v>4535.5200000000004</v>
      </c>
      <c r="S1114" s="1">
        <f t="shared" si="35"/>
        <v>1971.6399999999994</v>
      </c>
      <c r="T1114" s="1" t="s">
        <v>874</v>
      </c>
      <c r="U1114" s="1" t="s">
        <v>879</v>
      </c>
      <c r="V1114" s="5" t="s">
        <v>883</v>
      </c>
    </row>
    <row r="1115" spans="1:22" x14ac:dyDescent="0.3">
      <c r="A1115" s="4" t="s">
        <v>213</v>
      </c>
      <c r="B1115" s="3">
        <v>45343</v>
      </c>
      <c r="C1115" s="1" t="str">
        <f t="shared" si="34"/>
        <v>February</v>
      </c>
      <c r="D1115" s="1" t="s">
        <v>465</v>
      </c>
      <c r="E1115" s="1" t="s">
        <v>696</v>
      </c>
      <c r="F1115" s="1" t="s">
        <v>801</v>
      </c>
      <c r="G1115" s="1" t="s">
        <v>807</v>
      </c>
      <c r="H1115" s="1" t="s">
        <v>810</v>
      </c>
      <c r="I1115" s="1" t="s">
        <v>816</v>
      </c>
      <c r="J1115" s="1" t="s">
        <v>817</v>
      </c>
      <c r="K1115" s="1" t="s">
        <v>821</v>
      </c>
      <c r="L1115" s="1" t="s">
        <v>871</v>
      </c>
      <c r="M1115" s="1">
        <v>9.02</v>
      </c>
      <c r="N1115" s="1">
        <v>1490.88</v>
      </c>
      <c r="O1115" s="1">
        <v>13514.62</v>
      </c>
      <c r="P1115" s="1">
        <v>0</v>
      </c>
      <c r="Q1115" s="1">
        <v>12551.97</v>
      </c>
      <c r="R1115" s="1">
        <v>7755.96</v>
      </c>
      <c r="S1115" s="1">
        <f t="shared" si="35"/>
        <v>4796.0099999999993</v>
      </c>
      <c r="T1115" s="1" t="s">
        <v>876</v>
      </c>
      <c r="U1115" s="1" t="s">
        <v>877</v>
      </c>
      <c r="V1115" s="5" t="s">
        <v>884</v>
      </c>
    </row>
    <row r="1116" spans="1:22" x14ac:dyDescent="0.3">
      <c r="A1116" s="4" t="s">
        <v>25</v>
      </c>
      <c r="B1116" s="3">
        <v>45603</v>
      </c>
      <c r="C1116" s="1" t="str">
        <f t="shared" si="34"/>
        <v>November</v>
      </c>
      <c r="D1116" s="1" t="s">
        <v>439</v>
      </c>
      <c r="E1116" s="1" t="s">
        <v>510</v>
      </c>
      <c r="F1116" s="1" t="s">
        <v>801</v>
      </c>
      <c r="G1116" s="1" t="s">
        <v>805</v>
      </c>
      <c r="H1116" s="1" t="s">
        <v>809</v>
      </c>
      <c r="I1116" s="1" t="s">
        <v>809</v>
      </c>
      <c r="J1116" s="1" t="s">
        <v>818</v>
      </c>
      <c r="K1116" s="1" t="s">
        <v>821</v>
      </c>
      <c r="L1116" s="1" t="s">
        <v>827</v>
      </c>
      <c r="M1116" s="1">
        <v>1.93</v>
      </c>
      <c r="N1116" s="1">
        <v>1990.31</v>
      </c>
      <c r="O1116" s="1">
        <v>4278.28</v>
      </c>
      <c r="P1116" s="1">
        <v>0.05</v>
      </c>
      <c r="Q1116" s="1">
        <v>4117.6899999999996</v>
      </c>
      <c r="R1116" s="1">
        <v>2800.64</v>
      </c>
      <c r="S1116" s="1">
        <f t="shared" si="35"/>
        <v>1317.0499999999997</v>
      </c>
      <c r="T1116" s="1" t="s">
        <v>874</v>
      </c>
      <c r="U1116" s="1" t="s">
        <v>879</v>
      </c>
      <c r="V1116" s="5" t="s">
        <v>883</v>
      </c>
    </row>
    <row r="1117" spans="1:22" x14ac:dyDescent="0.3">
      <c r="A1117" s="4" t="s">
        <v>145</v>
      </c>
      <c r="B1117" s="3">
        <v>45335</v>
      </c>
      <c r="C1117" s="1" t="str">
        <f t="shared" si="34"/>
        <v>February</v>
      </c>
      <c r="D1117" s="1" t="s">
        <v>380</v>
      </c>
      <c r="E1117" s="1" t="s">
        <v>630</v>
      </c>
      <c r="F1117" s="1" t="s">
        <v>801</v>
      </c>
      <c r="G1117" s="1" t="s">
        <v>804</v>
      </c>
      <c r="H1117" s="1" t="s">
        <v>811</v>
      </c>
      <c r="I1117" s="1" t="s">
        <v>816</v>
      </c>
      <c r="J1117" s="1" t="s">
        <v>818</v>
      </c>
      <c r="K1117" s="1" t="s">
        <v>820</v>
      </c>
      <c r="L1117" s="1" t="s">
        <v>844</v>
      </c>
      <c r="M1117" s="1">
        <v>9.0399999999999991</v>
      </c>
      <c r="N1117" s="1">
        <v>2024.04</v>
      </c>
      <c r="O1117" s="1">
        <v>15629.04</v>
      </c>
      <c r="P1117" s="1">
        <v>0.14000000000000001</v>
      </c>
      <c r="Q1117" s="1">
        <v>13133.86</v>
      </c>
      <c r="R1117" s="1">
        <v>8801.89</v>
      </c>
      <c r="S1117" s="1">
        <f t="shared" si="35"/>
        <v>4331.9700000000012</v>
      </c>
      <c r="T1117" s="1" t="s">
        <v>876</v>
      </c>
      <c r="U1117" s="1" t="s">
        <v>878</v>
      </c>
      <c r="V1117" s="5" t="s">
        <v>884</v>
      </c>
    </row>
    <row r="1118" spans="1:22" x14ac:dyDescent="0.3">
      <c r="A1118" s="4" t="s">
        <v>160</v>
      </c>
      <c r="B1118" s="3">
        <v>45479</v>
      </c>
      <c r="C1118" s="1" t="str">
        <f t="shared" si="34"/>
        <v>July</v>
      </c>
      <c r="D1118" s="1" t="s">
        <v>368</v>
      </c>
      <c r="E1118" s="1" t="s">
        <v>645</v>
      </c>
      <c r="F1118" s="1" t="s">
        <v>802</v>
      </c>
      <c r="G1118" s="1" t="s">
        <v>804</v>
      </c>
      <c r="H1118" s="1" t="s">
        <v>809</v>
      </c>
      <c r="I1118" s="1" t="s">
        <v>815</v>
      </c>
      <c r="J1118" s="1" t="s">
        <v>818</v>
      </c>
      <c r="K1118" s="1" t="s">
        <v>820</v>
      </c>
      <c r="L1118" s="1" t="s">
        <v>827</v>
      </c>
      <c r="M1118" s="1">
        <v>2.89</v>
      </c>
      <c r="N1118" s="1">
        <v>2986.61</v>
      </c>
      <c r="O1118" s="1">
        <v>9372.64</v>
      </c>
      <c r="P1118" s="1">
        <v>0</v>
      </c>
      <c r="Q1118" s="1">
        <v>8181.88</v>
      </c>
      <c r="R1118" s="1">
        <v>4376.03</v>
      </c>
      <c r="S1118" s="1">
        <f t="shared" si="35"/>
        <v>3805.8500000000004</v>
      </c>
      <c r="T1118" s="1" t="s">
        <v>873</v>
      </c>
      <c r="U1118" s="1" t="s">
        <v>881</v>
      </c>
      <c r="V1118" s="5" t="s">
        <v>882</v>
      </c>
    </row>
    <row r="1119" spans="1:22" x14ac:dyDescent="0.3">
      <c r="A1119" s="4" t="s">
        <v>315</v>
      </c>
      <c r="B1119" s="3">
        <v>45463</v>
      </c>
      <c r="C1119" s="1" t="str">
        <f t="shared" si="34"/>
        <v>June</v>
      </c>
      <c r="D1119" s="1" t="s">
        <v>407</v>
      </c>
      <c r="E1119" s="1" t="s">
        <v>797</v>
      </c>
      <c r="F1119" s="1" t="s">
        <v>803</v>
      </c>
      <c r="G1119" s="1" t="s">
        <v>807</v>
      </c>
      <c r="H1119" s="1" t="s">
        <v>812</v>
      </c>
      <c r="I1119" s="1" t="s">
        <v>813</v>
      </c>
      <c r="J1119" s="1" t="s">
        <v>817</v>
      </c>
      <c r="K1119" s="1" t="s">
        <v>820</v>
      </c>
      <c r="L1119" s="1" t="s">
        <v>841</v>
      </c>
      <c r="M1119" s="1">
        <v>10.23</v>
      </c>
      <c r="N1119" s="1">
        <v>518.39</v>
      </c>
      <c r="O1119" s="1">
        <v>3326.25</v>
      </c>
      <c r="P1119" s="1">
        <v>0.05</v>
      </c>
      <c r="Q1119" s="1">
        <v>3762.25</v>
      </c>
      <c r="R1119" s="1">
        <v>2395.4499999999998</v>
      </c>
      <c r="S1119" s="1">
        <f t="shared" si="35"/>
        <v>1366.8000000000002</v>
      </c>
      <c r="T1119" s="1" t="s">
        <v>876</v>
      </c>
      <c r="U1119" s="1" t="s">
        <v>877</v>
      </c>
      <c r="V1119" s="5" t="s">
        <v>884</v>
      </c>
    </row>
    <row r="1120" spans="1:22" x14ac:dyDescent="0.3">
      <c r="A1120" s="4" t="s">
        <v>51</v>
      </c>
      <c r="B1120" s="3">
        <v>45319</v>
      </c>
      <c r="C1120" s="1" t="str">
        <f t="shared" si="34"/>
        <v>January</v>
      </c>
      <c r="D1120" s="1" t="s">
        <v>396</v>
      </c>
      <c r="E1120" s="1" t="s">
        <v>536</v>
      </c>
      <c r="F1120" s="1" t="s">
        <v>803</v>
      </c>
      <c r="G1120" s="1" t="s">
        <v>805</v>
      </c>
      <c r="H1120" s="1" t="s">
        <v>808</v>
      </c>
      <c r="I1120" s="1" t="s">
        <v>815</v>
      </c>
      <c r="J1120" s="1" t="s">
        <v>818</v>
      </c>
      <c r="K1120" s="1" t="s">
        <v>820</v>
      </c>
      <c r="L1120" s="1" t="s">
        <v>845</v>
      </c>
      <c r="M1120" s="1">
        <v>3.2</v>
      </c>
      <c r="N1120" s="1">
        <v>407.03</v>
      </c>
      <c r="O1120" s="1">
        <v>1338.82</v>
      </c>
      <c r="P1120" s="1">
        <v>0.09</v>
      </c>
      <c r="Q1120" s="1">
        <v>1104</v>
      </c>
      <c r="R1120" s="1">
        <v>862.72</v>
      </c>
      <c r="S1120" s="1">
        <f t="shared" si="35"/>
        <v>241.27999999999997</v>
      </c>
      <c r="T1120" s="1" t="s">
        <v>874</v>
      </c>
      <c r="U1120" s="1" t="s">
        <v>877</v>
      </c>
      <c r="V1120" s="5" t="s">
        <v>884</v>
      </c>
    </row>
    <row r="1121" spans="1:22" x14ac:dyDescent="0.3">
      <c r="A1121" s="4" t="s">
        <v>56</v>
      </c>
      <c r="B1121" s="3">
        <v>45484</v>
      </c>
      <c r="C1121" s="1" t="str">
        <f t="shared" si="34"/>
        <v>July</v>
      </c>
      <c r="D1121" s="1" t="s">
        <v>376</v>
      </c>
      <c r="E1121" s="1" t="s">
        <v>541</v>
      </c>
      <c r="F1121" s="1" t="s">
        <v>801</v>
      </c>
      <c r="G1121" s="1" t="s">
        <v>807</v>
      </c>
      <c r="H1121" s="1" t="s">
        <v>809</v>
      </c>
      <c r="I1121" s="1" t="s">
        <v>816</v>
      </c>
      <c r="J1121" s="1" t="s">
        <v>817</v>
      </c>
      <c r="K1121" s="1" t="s">
        <v>821</v>
      </c>
      <c r="L1121" s="1" t="s">
        <v>842</v>
      </c>
      <c r="M1121" s="1">
        <v>7.26</v>
      </c>
      <c r="N1121" s="1">
        <v>2111.5300000000002</v>
      </c>
      <c r="O1121" s="1">
        <v>16129.97</v>
      </c>
      <c r="P1121" s="1">
        <v>0</v>
      </c>
      <c r="Q1121" s="1">
        <v>16949.54</v>
      </c>
      <c r="R1121" s="1">
        <v>12505.41</v>
      </c>
      <c r="S1121" s="1">
        <f t="shared" si="35"/>
        <v>4444.130000000001</v>
      </c>
      <c r="T1121" s="1" t="s">
        <v>876</v>
      </c>
      <c r="U1121" s="1" t="s">
        <v>881</v>
      </c>
      <c r="V1121" s="5" t="s">
        <v>882</v>
      </c>
    </row>
    <row r="1122" spans="1:22" x14ac:dyDescent="0.3">
      <c r="A1122" s="4" t="s">
        <v>205</v>
      </c>
      <c r="B1122" s="3">
        <v>45516</v>
      </c>
      <c r="C1122" s="1" t="str">
        <f t="shared" si="34"/>
        <v>August</v>
      </c>
      <c r="D1122" s="1" t="s">
        <v>482</v>
      </c>
      <c r="E1122" s="1" t="s">
        <v>689</v>
      </c>
      <c r="F1122" s="1" t="s">
        <v>801</v>
      </c>
      <c r="G1122" s="1" t="s">
        <v>807</v>
      </c>
      <c r="H1122" s="1" t="s">
        <v>809</v>
      </c>
      <c r="I1122" s="1" t="s">
        <v>816</v>
      </c>
      <c r="J1122" s="1" t="s">
        <v>818</v>
      </c>
      <c r="K1122" s="1" t="s">
        <v>821</v>
      </c>
      <c r="L1122" s="1" t="s">
        <v>836</v>
      </c>
      <c r="M1122" s="1">
        <v>8.6199999999999992</v>
      </c>
      <c r="N1122" s="1">
        <v>3973.05</v>
      </c>
      <c r="O1122" s="1">
        <v>38616.78</v>
      </c>
      <c r="P1122" s="1">
        <v>0.05</v>
      </c>
      <c r="Q1122" s="1">
        <v>37017.15</v>
      </c>
      <c r="R1122" s="1">
        <v>28923.26</v>
      </c>
      <c r="S1122" s="1">
        <f t="shared" si="35"/>
        <v>8093.8900000000031</v>
      </c>
      <c r="T1122" s="1" t="s">
        <v>875</v>
      </c>
      <c r="U1122" s="1" t="s">
        <v>878</v>
      </c>
      <c r="V1122" s="5" t="s">
        <v>882</v>
      </c>
    </row>
    <row r="1123" spans="1:22" x14ac:dyDescent="0.3">
      <c r="A1123" s="4" t="s">
        <v>175</v>
      </c>
      <c r="B1123" s="3">
        <v>45366</v>
      </c>
      <c r="C1123" s="1" t="str">
        <f t="shared" si="34"/>
        <v>March</v>
      </c>
      <c r="D1123" s="1" t="s">
        <v>416</v>
      </c>
      <c r="E1123" s="1" t="s">
        <v>660</v>
      </c>
      <c r="F1123" s="1" t="s">
        <v>801</v>
      </c>
      <c r="G1123" s="1" t="s">
        <v>806</v>
      </c>
      <c r="H1123" s="1" t="s">
        <v>812</v>
      </c>
      <c r="I1123" s="1" t="s">
        <v>813</v>
      </c>
      <c r="J1123" s="1" t="s">
        <v>819</v>
      </c>
      <c r="K1123" s="1" t="s">
        <v>820</v>
      </c>
      <c r="L1123" s="1" t="s">
        <v>856</v>
      </c>
      <c r="M1123" s="1">
        <v>10.43</v>
      </c>
      <c r="N1123" s="1">
        <v>1406.67</v>
      </c>
      <c r="O1123" s="1">
        <v>14302.3</v>
      </c>
      <c r="P1123" s="1">
        <v>0.05</v>
      </c>
      <c r="Q1123" s="1">
        <v>16105.84</v>
      </c>
      <c r="R1123" s="1">
        <v>9696.1299999999992</v>
      </c>
      <c r="S1123" s="1">
        <f t="shared" si="35"/>
        <v>6409.7100000000009</v>
      </c>
      <c r="T1123" s="1" t="s">
        <v>876</v>
      </c>
      <c r="U1123" s="1" t="s">
        <v>879</v>
      </c>
      <c r="V1123" s="5" t="s">
        <v>883</v>
      </c>
    </row>
    <row r="1124" spans="1:22" x14ac:dyDescent="0.3">
      <c r="A1124" s="4" t="s">
        <v>141</v>
      </c>
      <c r="B1124" s="3">
        <v>45422</v>
      </c>
      <c r="C1124" s="1" t="str">
        <f t="shared" si="34"/>
        <v>May</v>
      </c>
      <c r="D1124" s="1" t="s">
        <v>420</v>
      </c>
      <c r="E1124" s="1" t="s">
        <v>626</v>
      </c>
      <c r="F1124" s="1" t="s">
        <v>801</v>
      </c>
      <c r="G1124" s="1" t="s">
        <v>807</v>
      </c>
      <c r="H1124" s="1" t="s">
        <v>812</v>
      </c>
      <c r="I1124" s="1" t="s">
        <v>814</v>
      </c>
      <c r="J1124" s="1" t="s">
        <v>817</v>
      </c>
      <c r="K1124" s="1" t="s">
        <v>822</v>
      </c>
      <c r="L1124" s="1" t="s">
        <v>854</v>
      </c>
      <c r="M1124" s="1">
        <v>13.81</v>
      </c>
      <c r="N1124" s="1">
        <v>489.88</v>
      </c>
      <c r="O1124" s="1">
        <v>6451.29</v>
      </c>
      <c r="P1124" s="1">
        <v>0</v>
      </c>
      <c r="Q1124" s="1">
        <v>5497.47</v>
      </c>
      <c r="R1124" s="1">
        <v>3228.73</v>
      </c>
      <c r="S1124" s="1">
        <f t="shared" si="35"/>
        <v>2268.7400000000002</v>
      </c>
      <c r="T1124" s="1" t="s">
        <v>876</v>
      </c>
      <c r="U1124" s="1" t="s">
        <v>879</v>
      </c>
      <c r="V1124" s="5" t="s">
        <v>884</v>
      </c>
    </row>
    <row r="1125" spans="1:22" x14ac:dyDescent="0.3">
      <c r="A1125" s="4" t="s">
        <v>139</v>
      </c>
      <c r="B1125" s="3">
        <v>45572</v>
      </c>
      <c r="C1125" s="1" t="str">
        <f t="shared" si="34"/>
        <v>October</v>
      </c>
      <c r="D1125" s="1" t="s">
        <v>468</v>
      </c>
      <c r="E1125" s="1" t="s">
        <v>624</v>
      </c>
      <c r="F1125" s="1" t="s">
        <v>801</v>
      </c>
      <c r="G1125" s="1" t="s">
        <v>804</v>
      </c>
      <c r="H1125" s="1" t="s">
        <v>809</v>
      </c>
      <c r="I1125" s="1" t="s">
        <v>809</v>
      </c>
      <c r="J1125" s="1" t="s">
        <v>817</v>
      </c>
      <c r="K1125" s="1" t="s">
        <v>820</v>
      </c>
      <c r="L1125" s="1" t="s">
        <v>866</v>
      </c>
      <c r="M1125" s="1">
        <v>1.96</v>
      </c>
      <c r="N1125" s="1">
        <v>2174.1799999999998</v>
      </c>
      <c r="O1125" s="1">
        <v>5449.84</v>
      </c>
      <c r="P1125" s="1">
        <v>0.05</v>
      </c>
      <c r="Q1125" s="1">
        <v>4930.5</v>
      </c>
      <c r="R1125" s="1">
        <v>3932.97</v>
      </c>
      <c r="S1125" s="1">
        <f t="shared" si="35"/>
        <v>997.5300000000002</v>
      </c>
      <c r="T1125" s="1" t="s">
        <v>875</v>
      </c>
      <c r="U1125" s="1" t="s">
        <v>878</v>
      </c>
      <c r="V1125" s="5" t="s">
        <v>882</v>
      </c>
    </row>
    <row r="1126" spans="1:22" x14ac:dyDescent="0.3">
      <c r="A1126" s="4" t="s">
        <v>80</v>
      </c>
      <c r="B1126" s="3">
        <v>45426</v>
      </c>
      <c r="C1126" s="1" t="str">
        <f t="shared" si="34"/>
        <v>May</v>
      </c>
      <c r="D1126" s="1" t="s">
        <v>454</v>
      </c>
      <c r="E1126" s="1" t="s">
        <v>565</v>
      </c>
      <c r="F1126" s="1" t="s">
        <v>803</v>
      </c>
      <c r="G1126" s="1" t="s">
        <v>806</v>
      </c>
      <c r="H1126" s="1" t="s">
        <v>809</v>
      </c>
      <c r="I1126" s="1" t="s">
        <v>816</v>
      </c>
      <c r="J1126" s="1" t="s">
        <v>818</v>
      </c>
      <c r="K1126" s="1" t="s">
        <v>822</v>
      </c>
      <c r="L1126" s="1" t="s">
        <v>857</v>
      </c>
      <c r="M1126" s="1">
        <v>10.01</v>
      </c>
      <c r="N1126" s="1">
        <v>2466.02</v>
      </c>
      <c r="O1126" s="1">
        <v>31161.63</v>
      </c>
      <c r="P1126" s="1">
        <v>0.12</v>
      </c>
      <c r="Q1126" s="1">
        <v>30909.040000000001</v>
      </c>
      <c r="R1126" s="1">
        <v>20727.79</v>
      </c>
      <c r="S1126" s="1">
        <f t="shared" si="35"/>
        <v>10181.25</v>
      </c>
      <c r="T1126" s="1" t="s">
        <v>873</v>
      </c>
      <c r="U1126" s="1" t="s">
        <v>879</v>
      </c>
      <c r="V1126" s="5" t="s">
        <v>884</v>
      </c>
    </row>
    <row r="1127" spans="1:22" x14ac:dyDescent="0.3">
      <c r="A1127" s="4" t="s">
        <v>27</v>
      </c>
      <c r="B1127" s="3">
        <v>45489</v>
      </c>
      <c r="C1127" s="1" t="str">
        <f t="shared" si="34"/>
        <v>July</v>
      </c>
      <c r="D1127" s="1" t="s">
        <v>440</v>
      </c>
      <c r="E1127" s="1" t="s">
        <v>512</v>
      </c>
      <c r="F1127" s="1" t="s">
        <v>801</v>
      </c>
      <c r="G1127" s="1" t="s">
        <v>804</v>
      </c>
      <c r="H1127" s="1" t="s">
        <v>810</v>
      </c>
      <c r="I1127" s="1" t="s">
        <v>815</v>
      </c>
      <c r="J1127" s="1" t="s">
        <v>817</v>
      </c>
      <c r="K1127" s="1" t="s">
        <v>821</v>
      </c>
      <c r="L1127" s="1" t="s">
        <v>829</v>
      </c>
      <c r="M1127" s="1">
        <v>6.85</v>
      </c>
      <c r="N1127" s="1">
        <v>399.85</v>
      </c>
      <c r="O1127" s="1">
        <v>2565.1</v>
      </c>
      <c r="P1127" s="1">
        <v>0.14000000000000001</v>
      </c>
      <c r="Q1127" s="1">
        <v>1897.07</v>
      </c>
      <c r="R1127" s="1">
        <v>1600.98</v>
      </c>
      <c r="S1127" s="1">
        <f t="shared" si="35"/>
        <v>296.08999999999992</v>
      </c>
      <c r="T1127" s="1" t="s">
        <v>873</v>
      </c>
      <c r="U1127" s="1" t="s">
        <v>878</v>
      </c>
      <c r="V1127" s="5" t="s">
        <v>884</v>
      </c>
    </row>
    <row r="1128" spans="1:22" x14ac:dyDescent="0.3">
      <c r="A1128" s="4" t="s">
        <v>296</v>
      </c>
      <c r="B1128" s="3">
        <v>45381</v>
      </c>
      <c r="C1128" s="1" t="str">
        <f t="shared" si="34"/>
        <v>March</v>
      </c>
      <c r="D1128" s="1" t="s">
        <v>502</v>
      </c>
      <c r="E1128" s="1" t="s">
        <v>778</v>
      </c>
      <c r="F1128" s="1" t="s">
        <v>803</v>
      </c>
      <c r="G1128" s="1" t="s">
        <v>807</v>
      </c>
      <c r="H1128" s="1" t="s">
        <v>809</v>
      </c>
      <c r="I1128" s="1" t="s">
        <v>813</v>
      </c>
      <c r="J1128" s="1" t="s">
        <v>819</v>
      </c>
      <c r="K1128" s="1" t="s">
        <v>822</v>
      </c>
      <c r="L1128" s="1" t="s">
        <v>826</v>
      </c>
      <c r="M1128" s="1">
        <v>5.53</v>
      </c>
      <c r="N1128" s="1">
        <v>1667.22</v>
      </c>
      <c r="O1128" s="1">
        <v>10518.63</v>
      </c>
      <c r="P1128" s="1">
        <v>0</v>
      </c>
      <c r="Q1128" s="1">
        <v>10721.11</v>
      </c>
      <c r="R1128" s="1">
        <v>6937.67</v>
      </c>
      <c r="S1128" s="1">
        <f t="shared" si="35"/>
        <v>3783.4400000000005</v>
      </c>
      <c r="T1128" s="1" t="s">
        <v>876</v>
      </c>
      <c r="U1128" s="1" t="s">
        <v>879</v>
      </c>
      <c r="V1128" s="5" t="s">
        <v>884</v>
      </c>
    </row>
    <row r="1129" spans="1:22" x14ac:dyDescent="0.3">
      <c r="A1129" s="4" t="s">
        <v>256</v>
      </c>
      <c r="B1129" s="3">
        <v>45396</v>
      </c>
      <c r="C1129" s="1" t="str">
        <f t="shared" si="34"/>
        <v>April</v>
      </c>
      <c r="D1129" s="1" t="s">
        <v>372</v>
      </c>
      <c r="E1129" s="1" t="s">
        <v>739</v>
      </c>
      <c r="F1129" s="1" t="s">
        <v>802</v>
      </c>
      <c r="G1129" s="1" t="s">
        <v>805</v>
      </c>
      <c r="H1129" s="1" t="s">
        <v>810</v>
      </c>
      <c r="I1129" s="1" t="s">
        <v>809</v>
      </c>
      <c r="J1129" s="1" t="s">
        <v>818</v>
      </c>
      <c r="K1129" s="1" t="s">
        <v>821</v>
      </c>
      <c r="L1129" s="1" t="s">
        <v>855</v>
      </c>
      <c r="M1129" s="1">
        <v>3.06</v>
      </c>
      <c r="N1129" s="1">
        <v>1636.66</v>
      </c>
      <c r="O1129" s="1">
        <v>5369.72</v>
      </c>
      <c r="P1129" s="1">
        <v>0</v>
      </c>
      <c r="Q1129" s="1">
        <v>5063.66</v>
      </c>
      <c r="R1129" s="1">
        <v>2885.98</v>
      </c>
      <c r="S1129" s="1">
        <f t="shared" si="35"/>
        <v>2177.6799999999998</v>
      </c>
      <c r="T1129" s="1" t="s">
        <v>875</v>
      </c>
      <c r="U1129" s="1" t="s">
        <v>878</v>
      </c>
      <c r="V1129" s="5" t="s">
        <v>882</v>
      </c>
    </row>
    <row r="1130" spans="1:22" x14ac:dyDescent="0.3">
      <c r="A1130" s="4" t="s">
        <v>302</v>
      </c>
      <c r="B1130" s="3">
        <v>45394</v>
      </c>
      <c r="C1130" s="1" t="str">
        <f t="shared" si="34"/>
        <v>April</v>
      </c>
      <c r="D1130" s="1" t="s">
        <v>412</v>
      </c>
      <c r="E1130" s="1" t="s">
        <v>784</v>
      </c>
      <c r="F1130" s="1" t="s">
        <v>802</v>
      </c>
      <c r="G1130" s="1" t="s">
        <v>804</v>
      </c>
      <c r="H1130" s="1" t="s">
        <v>808</v>
      </c>
      <c r="I1130" s="1" t="s">
        <v>814</v>
      </c>
      <c r="J1130" s="1" t="s">
        <v>819</v>
      </c>
      <c r="K1130" s="1" t="s">
        <v>822</v>
      </c>
      <c r="L1130" s="1" t="s">
        <v>847</v>
      </c>
      <c r="M1130" s="1">
        <v>1.05</v>
      </c>
      <c r="N1130" s="1">
        <v>510.4</v>
      </c>
      <c r="O1130" s="1">
        <v>469.82</v>
      </c>
      <c r="P1130" s="1">
        <v>0</v>
      </c>
      <c r="Q1130" s="1">
        <v>454.47</v>
      </c>
      <c r="R1130" s="1">
        <v>416.96</v>
      </c>
      <c r="S1130" s="1">
        <f t="shared" si="35"/>
        <v>37.510000000000048</v>
      </c>
      <c r="T1130" s="1" t="s">
        <v>875</v>
      </c>
      <c r="U1130" s="1" t="s">
        <v>878</v>
      </c>
      <c r="V1130" s="5" t="s">
        <v>882</v>
      </c>
    </row>
    <row r="1131" spans="1:22" x14ac:dyDescent="0.3">
      <c r="A1131" s="4" t="s">
        <v>256</v>
      </c>
      <c r="B1131" s="3">
        <v>45396</v>
      </c>
      <c r="C1131" s="1" t="str">
        <f t="shared" si="34"/>
        <v>April</v>
      </c>
      <c r="D1131" s="1" t="s">
        <v>372</v>
      </c>
      <c r="E1131" s="1" t="s">
        <v>739</v>
      </c>
      <c r="F1131" s="1" t="s">
        <v>802</v>
      </c>
      <c r="G1131" s="1" t="s">
        <v>805</v>
      </c>
      <c r="H1131" s="1" t="s">
        <v>810</v>
      </c>
      <c r="I1131" s="1" t="s">
        <v>809</v>
      </c>
      <c r="J1131" s="1" t="s">
        <v>818</v>
      </c>
      <c r="K1131" s="1" t="s">
        <v>821</v>
      </c>
      <c r="L1131" s="1" t="s">
        <v>855</v>
      </c>
      <c r="M1131" s="1">
        <v>3.13</v>
      </c>
      <c r="N1131" s="1">
        <v>1507.57</v>
      </c>
      <c r="O1131" s="1">
        <v>5388.14</v>
      </c>
      <c r="P1131" s="1">
        <v>0</v>
      </c>
      <c r="Q1131" s="1">
        <v>6115.31</v>
      </c>
      <c r="R1131" s="1">
        <v>3371.18</v>
      </c>
      <c r="S1131" s="1">
        <f t="shared" si="35"/>
        <v>2744.1300000000006</v>
      </c>
      <c r="T1131" s="1" t="s">
        <v>875</v>
      </c>
      <c r="U1131" s="1" t="s">
        <v>878</v>
      </c>
      <c r="V1131" s="5" t="s">
        <v>882</v>
      </c>
    </row>
    <row r="1132" spans="1:22" x14ac:dyDescent="0.3">
      <c r="A1132" s="4" t="s">
        <v>174</v>
      </c>
      <c r="B1132" s="3">
        <v>45526</v>
      </c>
      <c r="C1132" s="1" t="str">
        <f t="shared" si="34"/>
        <v>August</v>
      </c>
      <c r="D1132" s="1" t="s">
        <v>359</v>
      </c>
      <c r="E1132" s="1" t="s">
        <v>659</v>
      </c>
      <c r="F1132" s="1" t="s">
        <v>802</v>
      </c>
      <c r="G1132" s="1" t="s">
        <v>807</v>
      </c>
      <c r="H1132" s="1" t="s">
        <v>809</v>
      </c>
      <c r="I1132" s="1" t="s">
        <v>816</v>
      </c>
      <c r="J1132" s="1" t="s">
        <v>819</v>
      </c>
      <c r="K1132" s="1" t="s">
        <v>822</v>
      </c>
      <c r="L1132" s="1" t="s">
        <v>852</v>
      </c>
      <c r="M1132" s="1">
        <v>11.09</v>
      </c>
      <c r="N1132" s="1">
        <v>1508.92</v>
      </c>
      <c r="O1132" s="1">
        <v>17623.57</v>
      </c>
      <c r="P1132" s="1">
        <v>0.1</v>
      </c>
      <c r="Q1132" s="1">
        <v>16092.51</v>
      </c>
      <c r="R1132" s="1">
        <v>11422.15</v>
      </c>
      <c r="S1132" s="1">
        <f t="shared" si="35"/>
        <v>4670.3600000000006</v>
      </c>
      <c r="T1132" s="1" t="s">
        <v>875</v>
      </c>
      <c r="U1132" s="1" t="s">
        <v>881</v>
      </c>
      <c r="V1132" s="5" t="s">
        <v>884</v>
      </c>
    </row>
    <row r="1133" spans="1:22" x14ac:dyDescent="0.3">
      <c r="A1133" s="4" t="s">
        <v>212</v>
      </c>
      <c r="B1133" s="3">
        <v>45479</v>
      </c>
      <c r="C1133" s="1" t="str">
        <f t="shared" si="34"/>
        <v>July</v>
      </c>
      <c r="D1133" s="1" t="s">
        <v>352</v>
      </c>
      <c r="E1133" s="1" t="s">
        <v>695</v>
      </c>
      <c r="F1133" s="1" t="s">
        <v>803</v>
      </c>
      <c r="G1133" s="1" t="s">
        <v>807</v>
      </c>
      <c r="H1133" s="1" t="s">
        <v>808</v>
      </c>
      <c r="I1133" s="1" t="s">
        <v>814</v>
      </c>
      <c r="J1133" s="1" t="s">
        <v>819</v>
      </c>
      <c r="K1133" s="1" t="s">
        <v>821</v>
      </c>
      <c r="L1133" s="1" t="s">
        <v>826</v>
      </c>
      <c r="M1133" s="1">
        <v>4.2</v>
      </c>
      <c r="N1133" s="1">
        <v>2899.33</v>
      </c>
      <c r="O1133" s="1">
        <v>14818.49</v>
      </c>
      <c r="P1133" s="1">
        <v>0</v>
      </c>
      <c r="Q1133" s="1">
        <v>16857.2</v>
      </c>
      <c r="R1133" s="1">
        <v>13704.53</v>
      </c>
      <c r="S1133" s="1">
        <f t="shared" si="35"/>
        <v>3152.67</v>
      </c>
      <c r="T1133" s="1" t="s">
        <v>876</v>
      </c>
      <c r="U1133" s="1" t="s">
        <v>881</v>
      </c>
      <c r="V1133" s="5" t="s">
        <v>884</v>
      </c>
    </row>
    <row r="1134" spans="1:22" x14ac:dyDescent="0.3">
      <c r="A1134" s="4" t="s">
        <v>41</v>
      </c>
      <c r="B1134" s="3">
        <v>45419</v>
      </c>
      <c r="C1134" s="1" t="str">
        <f t="shared" si="34"/>
        <v>May</v>
      </c>
      <c r="D1134" s="1" t="s">
        <v>326</v>
      </c>
      <c r="E1134" s="1" t="s">
        <v>526</v>
      </c>
      <c r="F1134" s="1" t="s">
        <v>803</v>
      </c>
      <c r="G1134" s="1" t="s">
        <v>805</v>
      </c>
      <c r="H1134" s="1" t="s">
        <v>812</v>
      </c>
      <c r="I1134" s="1" t="s">
        <v>814</v>
      </c>
      <c r="J1134" s="1" t="s">
        <v>818</v>
      </c>
      <c r="K1134" s="1" t="s">
        <v>821</v>
      </c>
      <c r="L1134" s="1" t="s">
        <v>842</v>
      </c>
      <c r="M1134" s="1">
        <v>4.78</v>
      </c>
      <c r="N1134" s="1">
        <v>560.16999999999996</v>
      </c>
      <c r="O1134" s="1">
        <v>2601.0700000000002</v>
      </c>
      <c r="P1134" s="1">
        <v>0</v>
      </c>
      <c r="Q1134" s="1">
        <v>3029.82</v>
      </c>
      <c r="R1134" s="1">
        <v>1801.12</v>
      </c>
      <c r="S1134" s="1">
        <f t="shared" si="35"/>
        <v>1228.7000000000003</v>
      </c>
      <c r="T1134" s="1" t="s">
        <v>875</v>
      </c>
      <c r="U1134" s="1" t="s">
        <v>879</v>
      </c>
      <c r="V1134" s="5" t="s">
        <v>884</v>
      </c>
    </row>
    <row r="1135" spans="1:22" x14ac:dyDescent="0.3">
      <c r="A1135" s="4" t="s">
        <v>205</v>
      </c>
      <c r="B1135" s="3">
        <v>45516</v>
      </c>
      <c r="C1135" s="1" t="str">
        <f t="shared" si="34"/>
        <v>August</v>
      </c>
      <c r="D1135" s="1" t="s">
        <v>482</v>
      </c>
      <c r="E1135" s="1" t="s">
        <v>689</v>
      </c>
      <c r="F1135" s="1" t="s">
        <v>801</v>
      </c>
      <c r="G1135" s="1" t="s">
        <v>807</v>
      </c>
      <c r="H1135" s="1" t="s">
        <v>809</v>
      </c>
      <c r="I1135" s="1" t="s">
        <v>816</v>
      </c>
      <c r="J1135" s="1" t="s">
        <v>818</v>
      </c>
      <c r="K1135" s="1" t="s">
        <v>821</v>
      </c>
      <c r="L1135" s="1" t="s">
        <v>836</v>
      </c>
      <c r="M1135" s="1">
        <v>11.45</v>
      </c>
      <c r="N1135" s="1">
        <v>3670.48</v>
      </c>
      <c r="O1135" s="1">
        <v>46888.12</v>
      </c>
      <c r="P1135" s="1">
        <v>0.05</v>
      </c>
      <c r="Q1135" s="1">
        <v>36907.1</v>
      </c>
      <c r="R1135" s="1">
        <v>31280.05</v>
      </c>
      <c r="S1135" s="1">
        <f t="shared" si="35"/>
        <v>5627.0499999999993</v>
      </c>
      <c r="T1135" s="1" t="s">
        <v>875</v>
      </c>
      <c r="U1135" s="1" t="s">
        <v>878</v>
      </c>
      <c r="V1135" s="5" t="s">
        <v>882</v>
      </c>
    </row>
    <row r="1136" spans="1:22" x14ac:dyDescent="0.3">
      <c r="A1136" s="4" t="s">
        <v>29</v>
      </c>
      <c r="B1136" s="3">
        <v>45369</v>
      </c>
      <c r="C1136" s="1" t="str">
        <f t="shared" si="34"/>
        <v>March</v>
      </c>
      <c r="D1136" s="1" t="s">
        <v>400</v>
      </c>
      <c r="E1136" s="1" t="s">
        <v>514</v>
      </c>
      <c r="F1136" s="1" t="s">
        <v>801</v>
      </c>
      <c r="G1136" s="1" t="s">
        <v>807</v>
      </c>
      <c r="H1136" s="1" t="s">
        <v>809</v>
      </c>
      <c r="I1136" s="1" t="s">
        <v>813</v>
      </c>
      <c r="J1136" s="1" t="s">
        <v>819</v>
      </c>
      <c r="K1136" s="1" t="s">
        <v>821</v>
      </c>
      <c r="L1136" s="1" t="s">
        <v>831</v>
      </c>
      <c r="M1136" s="1">
        <v>11</v>
      </c>
      <c r="N1136" s="1">
        <v>1123.3399999999999</v>
      </c>
      <c r="O1136" s="1">
        <v>12356.74</v>
      </c>
      <c r="P1136" s="1">
        <v>0.15</v>
      </c>
      <c r="Q1136" s="1">
        <v>10503.23</v>
      </c>
      <c r="R1136" s="1">
        <v>8484.23</v>
      </c>
      <c r="S1136" s="1">
        <f t="shared" si="35"/>
        <v>2019</v>
      </c>
      <c r="T1136" s="1" t="s">
        <v>874</v>
      </c>
      <c r="U1136" s="1" t="s">
        <v>880</v>
      </c>
      <c r="V1136" s="5" t="s">
        <v>883</v>
      </c>
    </row>
    <row r="1137" spans="1:22" x14ac:dyDescent="0.3">
      <c r="A1137" s="4" t="s">
        <v>33</v>
      </c>
      <c r="B1137" s="3">
        <v>45374</v>
      </c>
      <c r="C1137" s="1" t="str">
        <f t="shared" si="34"/>
        <v>March</v>
      </c>
      <c r="D1137" s="1" t="s">
        <v>422</v>
      </c>
      <c r="E1137" s="1" t="s">
        <v>518</v>
      </c>
      <c r="F1137" s="1" t="s">
        <v>803</v>
      </c>
      <c r="G1137" s="1" t="s">
        <v>807</v>
      </c>
      <c r="H1137" s="1" t="s">
        <v>809</v>
      </c>
      <c r="I1137" s="1" t="s">
        <v>815</v>
      </c>
      <c r="J1137" s="1" t="s">
        <v>818</v>
      </c>
      <c r="K1137" s="1" t="s">
        <v>822</v>
      </c>
      <c r="L1137" s="1" t="s">
        <v>835</v>
      </c>
      <c r="M1137" s="1">
        <v>1</v>
      </c>
      <c r="N1137" s="1">
        <v>1036.17</v>
      </c>
      <c r="O1137" s="1">
        <v>1036.17</v>
      </c>
      <c r="P1137" s="1">
        <v>0.1</v>
      </c>
      <c r="Q1137" s="1">
        <v>932.55</v>
      </c>
      <c r="R1137" s="1">
        <v>593.71</v>
      </c>
      <c r="S1137" s="1">
        <f t="shared" si="35"/>
        <v>338.83999999999992</v>
      </c>
      <c r="T1137" s="1" t="s">
        <v>874</v>
      </c>
      <c r="U1137" s="1" t="s">
        <v>880</v>
      </c>
      <c r="V1137" s="5" t="s">
        <v>883</v>
      </c>
    </row>
    <row r="1138" spans="1:22" x14ac:dyDescent="0.3">
      <c r="A1138" s="4" t="s">
        <v>42</v>
      </c>
      <c r="B1138" s="3">
        <v>45552</v>
      </c>
      <c r="C1138" s="1" t="str">
        <f t="shared" si="34"/>
        <v>September</v>
      </c>
      <c r="D1138" s="1" t="s">
        <v>363</v>
      </c>
      <c r="E1138" s="1" t="s">
        <v>527</v>
      </c>
      <c r="F1138" s="1" t="s">
        <v>802</v>
      </c>
      <c r="G1138" s="1" t="s">
        <v>806</v>
      </c>
      <c r="H1138" s="1" t="s">
        <v>811</v>
      </c>
      <c r="I1138" s="1" t="s">
        <v>813</v>
      </c>
      <c r="J1138" s="1" t="s">
        <v>819</v>
      </c>
      <c r="K1138" s="1" t="s">
        <v>820</v>
      </c>
      <c r="L1138" s="1" t="s">
        <v>832</v>
      </c>
      <c r="M1138" s="1">
        <v>8</v>
      </c>
      <c r="N1138" s="1">
        <v>1974.03</v>
      </c>
      <c r="O1138" s="1">
        <v>15792.24</v>
      </c>
      <c r="P1138" s="1">
        <v>0.05</v>
      </c>
      <c r="Q1138" s="1">
        <v>15002.63</v>
      </c>
      <c r="R1138" s="1">
        <v>11624.1</v>
      </c>
      <c r="S1138" s="1">
        <f t="shared" si="35"/>
        <v>3378.5299999999988</v>
      </c>
      <c r="T1138" s="1" t="s">
        <v>873</v>
      </c>
      <c r="U1138" s="1" t="s">
        <v>879</v>
      </c>
      <c r="V1138" s="5" t="s">
        <v>882</v>
      </c>
    </row>
    <row r="1139" spans="1:22" x14ac:dyDescent="0.3">
      <c r="A1139" s="4" t="s">
        <v>43</v>
      </c>
      <c r="B1139" s="3">
        <v>45415</v>
      </c>
      <c r="C1139" s="1" t="str">
        <f t="shared" si="34"/>
        <v>May</v>
      </c>
      <c r="D1139" s="1" t="s">
        <v>332</v>
      </c>
      <c r="E1139" s="1" t="s">
        <v>528</v>
      </c>
      <c r="F1139" s="1" t="s">
        <v>802</v>
      </c>
      <c r="G1139" s="1" t="s">
        <v>807</v>
      </c>
      <c r="H1139" s="1" t="s">
        <v>810</v>
      </c>
      <c r="I1139" s="1" t="s">
        <v>815</v>
      </c>
      <c r="J1139" s="1" t="s">
        <v>817</v>
      </c>
      <c r="K1139" s="1" t="s">
        <v>822</v>
      </c>
      <c r="L1139" s="1" t="s">
        <v>830</v>
      </c>
      <c r="M1139" s="1">
        <v>2</v>
      </c>
      <c r="N1139" s="1">
        <v>1059.3399999999999</v>
      </c>
      <c r="O1139" s="1">
        <v>2118.6799999999998</v>
      </c>
      <c r="P1139" s="1">
        <v>0.1</v>
      </c>
      <c r="Q1139" s="1">
        <v>1906.81</v>
      </c>
      <c r="R1139" s="1">
        <v>1517.79</v>
      </c>
      <c r="S1139" s="1">
        <f t="shared" si="35"/>
        <v>389.02</v>
      </c>
      <c r="T1139" s="1" t="s">
        <v>876</v>
      </c>
      <c r="U1139" s="1" t="s">
        <v>878</v>
      </c>
      <c r="V1139" s="5" t="s">
        <v>884</v>
      </c>
    </row>
    <row r="1140" spans="1:22" x14ac:dyDescent="0.3">
      <c r="A1140" s="4" t="s">
        <v>49</v>
      </c>
      <c r="B1140" s="3">
        <v>45548</v>
      </c>
      <c r="C1140" s="1" t="str">
        <f t="shared" si="34"/>
        <v>September</v>
      </c>
      <c r="D1140" s="1" t="s">
        <v>339</v>
      </c>
      <c r="E1140" s="1" t="s">
        <v>534</v>
      </c>
      <c r="F1140" s="1" t="s">
        <v>803</v>
      </c>
      <c r="G1140" s="1" t="s">
        <v>804</v>
      </c>
      <c r="H1140" s="1" t="s">
        <v>808</v>
      </c>
      <c r="I1140" s="1" t="s">
        <v>814</v>
      </c>
      <c r="J1140" s="1" t="s">
        <v>817</v>
      </c>
      <c r="K1140" s="1" t="s">
        <v>821</v>
      </c>
      <c r="L1140" s="1" t="s">
        <v>841</v>
      </c>
      <c r="M1140" s="1">
        <v>3</v>
      </c>
      <c r="N1140" s="1">
        <v>1238.6199999999999</v>
      </c>
      <c r="O1140" s="1">
        <v>3715.86</v>
      </c>
      <c r="P1140" s="1">
        <v>0</v>
      </c>
      <c r="Q1140" s="1">
        <v>3715.86</v>
      </c>
      <c r="R1140" s="1">
        <v>3153.37</v>
      </c>
      <c r="S1140" s="1">
        <f t="shared" si="35"/>
        <v>562.49000000000024</v>
      </c>
      <c r="T1140" s="1" t="s">
        <v>875</v>
      </c>
      <c r="U1140" s="1" t="s">
        <v>878</v>
      </c>
      <c r="V1140" s="5" t="s">
        <v>882</v>
      </c>
    </row>
    <row r="1141" spans="1:22" x14ac:dyDescent="0.3">
      <c r="A1141" s="4" t="s">
        <v>53</v>
      </c>
      <c r="B1141" s="3">
        <v>45487</v>
      </c>
      <c r="C1141" s="1" t="str">
        <f t="shared" si="34"/>
        <v>July</v>
      </c>
      <c r="D1141" s="1" t="s">
        <v>428</v>
      </c>
      <c r="E1141" s="1" t="s">
        <v>538</v>
      </c>
      <c r="F1141" s="1" t="s">
        <v>803</v>
      </c>
      <c r="G1141" s="1" t="s">
        <v>807</v>
      </c>
      <c r="H1141" s="1" t="s">
        <v>809</v>
      </c>
      <c r="I1141" s="1" t="s">
        <v>813</v>
      </c>
      <c r="J1141" s="1" t="s">
        <v>819</v>
      </c>
      <c r="K1141" s="1" t="s">
        <v>821</v>
      </c>
      <c r="L1141" s="1" t="s">
        <v>847</v>
      </c>
      <c r="M1141" s="1">
        <v>8</v>
      </c>
      <c r="N1141" s="1">
        <v>1264.68</v>
      </c>
      <c r="O1141" s="1">
        <v>10117.44</v>
      </c>
      <c r="P1141" s="1">
        <v>0.05</v>
      </c>
      <c r="Q1141" s="1">
        <v>9611.57</v>
      </c>
      <c r="R1141" s="1">
        <v>6363.29</v>
      </c>
      <c r="S1141" s="1">
        <f t="shared" si="35"/>
        <v>3248.2799999999997</v>
      </c>
      <c r="T1141" s="1" t="s">
        <v>873</v>
      </c>
      <c r="U1141" s="1" t="s">
        <v>877</v>
      </c>
      <c r="V1141" s="5" t="s">
        <v>884</v>
      </c>
    </row>
    <row r="1142" spans="1:22" x14ac:dyDescent="0.3">
      <c r="A1142" s="4" t="s">
        <v>55</v>
      </c>
      <c r="B1142" s="3">
        <v>45554</v>
      </c>
      <c r="C1142" s="1" t="str">
        <f t="shared" si="34"/>
        <v>September</v>
      </c>
      <c r="D1142" s="1" t="s">
        <v>441</v>
      </c>
      <c r="E1142" s="1" t="s">
        <v>540</v>
      </c>
      <c r="F1142" s="1" t="s">
        <v>802</v>
      </c>
      <c r="G1142" s="1" t="s">
        <v>804</v>
      </c>
      <c r="H1142" s="1" t="s">
        <v>808</v>
      </c>
      <c r="I1142" s="1" t="s">
        <v>813</v>
      </c>
      <c r="J1142" s="1" t="s">
        <v>817</v>
      </c>
      <c r="K1142" s="1" t="s">
        <v>820</v>
      </c>
      <c r="L1142" s="1" t="s">
        <v>847</v>
      </c>
      <c r="M1142" s="1">
        <v>7</v>
      </c>
      <c r="N1142" s="1">
        <v>2674.94</v>
      </c>
      <c r="O1142" s="1">
        <v>18724.580000000002</v>
      </c>
      <c r="P1142" s="1">
        <v>0.05</v>
      </c>
      <c r="Q1142" s="1">
        <v>17788.349999999999</v>
      </c>
      <c r="R1142" s="1">
        <v>14719.36</v>
      </c>
      <c r="S1142" s="1">
        <f t="shared" si="35"/>
        <v>3068.989999999998</v>
      </c>
      <c r="T1142" s="1" t="s">
        <v>875</v>
      </c>
      <c r="U1142" s="1" t="s">
        <v>879</v>
      </c>
      <c r="V1142" s="5" t="s">
        <v>882</v>
      </c>
    </row>
    <row r="1143" spans="1:22" x14ac:dyDescent="0.3">
      <c r="A1143" s="4" t="s">
        <v>62</v>
      </c>
      <c r="B1143" s="3">
        <v>45453</v>
      </c>
      <c r="C1143" s="1" t="str">
        <f t="shared" si="34"/>
        <v>June</v>
      </c>
      <c r="D1143" s="1" t="s">
        <v>449</v>
      </c>
      <c r="E1143" s="1" t="s">
        <v>547</v>
      </c>
      <c r="F1143" s="1" t="s">
        <v>803</v>
      </c>
      <c r="G1143" s="1" t="s">
        <v>804</v>
      </c>
      <c r="H1143" s="1" t="s">
        <v>812</v>
      </c>
      <c r="I1143" s="1" t="s">
        <v>815</v>
      </c>
      <c r="J1143" s="1" t="s">
        <v>819</v>
      </c>
      <c r="K1143" s="1" t="s">
        <v>820</v>
      </c>
      <c r="L1143" s="1" t="s">
        <v>832</v>
      </c>
      <c r="M1143" s="1">
        <v>6</v>
      </c>
      <c r="N1143" s="1">
        <v>405.4</v>
      </c>
      <c r="O1143" s="1">
        <v>2432.4</v>
      </c>
      <c r="P1143" s="1">
        <v>0.1</v>
      </c>
      <c r="Q1143" s="1">
        <v>2189.16</v>
      </c>
      <c r="R1143" s="1">
        <v>1772.73</v>
      </c>
      <c r="S1143" s="1">
        <f t="shared" si="35"/>
        <v>416.42999999999984</v>
      </c>
      <c r="T1143" s="1" t="s">
        <v>873</v>
      </c>
      <c r="U1143" s="1" t="s">
        <v>881</v>
      </c>
      <c r="V1143" s="5" t="s">
        <v>882</v>
      </c>
    </row>
    <row r="1144" spans="1:22" x14ac:dyDescent="0.3">
      <c r="A1144" s="4" t="s">
        <v>65</v>
      </c>
      <c r="B1144" s="3">
        <v>45357</v>
      </c>
      <c r="C1144" s="1" t="str">
        <f t="shared" si="34"/>
        <v>March</v>
      </c>
      <c r="D1144" s="1" t="s">
        <v>419</v>
      </c>
      <c r="E1144" s="1" t="s">
        <v>550</v>
      </c>
      <c r="F1144" s="1" t="s">
        <v>801</v>
      </c>
      <c r="G1144" s="1" t="s">
        <v>806</v>
      </c>
      <c r="H1144" s="1" t="s">
        <v>812</v>
      </c>
      <c r="I1144" s="1" t="s">
        <v>816</v>
      </c>
      <c r="J1144" s="1" t="s">
        <v>818</v>
      </c>
      <c r="K1144" s="1" t="s">
        <v>821</v>
      </c>
      <c r="L1144" s="1" t="s">
        <v>832</v>
      </c>
      <c r="M1144" s="1">
        <v>8</v>
      </c>
      <c r="N1144" s="1">
        <v>1686.09</v>
      </c>
      <c r="O1144" s="1">
        <v>13488.72</v>
      </c>
      <c r="P1144" s="1">
        <v>0.1</v>
      </c>
      <c r="Q1144" s="1">
        <v>12139.85</v>
      </c>
      <c r="R1144" s="1">
        <v>8187.64</v>
      </c>
      <c r="S1144" s="1">
        <f t="shared" si="35"/>
        <v>3952.21</v>
      </c>
      <c r="T1144" s="1" t="s">
        <v>876</v>
      </c>
      <c r="U1144" s="1" t="s">
        <v>880</v>
      </c>
      <c r="V1144" s="5" t="s">
        <v>883</v>
      </c>
    </row>
    <row r="1145" spans="1:22" x14ac:dyDescent="0.3">
      <c r="A1145" s="4" t="s">
        <v>212</v>
      </c>
      <c r="B1145" s="3">
        <v>45479</v>
      </c>
      <c r="C1145" s="1" t="str">
        <f t="shared" si="34"/>
        <v>July</v>
      </c>
      <c r="D1145" s="1" t="s">
        <v>352</v>
      </c>
      <c r="E1145" s="1" t="s">
        <v>695</v>
      </c>
      <c r="F1145" s="1" t="s">
        <v>803</v>
      </c>
      <c r="G1145" s="1" t="s">
        <v>807</v>
      </c>
      <c r="H1145" s="1" t="s">
        <v>808</v>
      </c>
      <c r="I1145" s="1" t="s">
        <v>814</v>
      </c>
      <c r="J1145" s="1" t="s">
        <v>819</v>
      </c>
      <c r="K1145" s="1" t="s">
        <v>821</v>
      </c>
      <c r="L1145" s="1" t="s">
        <v>826</v>
      </c>
      <c r="M1145" s="1">
        <v>4.34</v>
      </c>
      <c r="N1145" s="1">
        <v>2686.71</v>
      </c>
      <c r="O1145" s="1">
        <v>14256.07</v>
      </c>
      <c r="P1145" s="1">
        <v>0</v>
      </c>
      <c r="Q1145" s="1">
        <v>17720.8</v>
      </c>
      <c r="R1145" s="1">
        <v>13902.64</v>
      </c>
      <c r="S1145" s="1">
        <f t="shared" si="35"/>
        <v>3818.16</v>
      </c>
      <c r="T1145" s="1" t="s">
        <v>876</v>
      </c>
      <c r="U1145" s="1" t="s">
        <v>881</v>
      </c>
      <c r="V1145" s="5" t="s">
        <v>884</v>
      </c>
    </row>
    <row r="1146" spans="1:22" x14ac:dyDescent="0.3">
      <c r="A1146" s="4" t="s">
        <v>255</v>
      </c>
      <c r="B1146" s="3">
        <v>45564</v>
      </c>
      <c r="C1146" s="1" t="str">
        <f t="shared" si="34"/>
        <v>September</v>
      </c>
      <c r="D1146" s="1" t="s">
        <v>472</v>
      </c>
      <c r="E1146" s="1" t="s">
        <v>738</v>
      </c>
      <c r="F1146" s="1" t="s">
        <v>801</v>
      </c>
      <c r="G1146" s="1" t="s">
        <v>807</v>
      </c>
      <c r="H1146" s="1" t="s">
        <v>810</v>
      </c>
      <c r="I1146" s="1" t="s">
        <v>813</v>
      </c>
      <c r="J1146" s="1" t="s">
        <v>818</v>
      </c>
      <c r="K1146" s="1" t="s">
        <v>821</v>
      </c>
      <c r="L1146" s="1" t="s">
        <v>861</v>
      </c>
      <c r="M1146" s="1">
        <v>7.12</v>
      </c>
      <c r="N1146" s="1">
        <v>3097.02</v>
      </c>
      <c r="O1146" s="1">
        <v>19741.29</v>
      </c>
      <c r="P1146" s="1">
        <v>0.12</v>
      </c>
      <c r="Q1146" s="1">
        <v>24229.79</v>
      </c>
      <c r="R1146" s="1">
        <v>10535.55</v>
      </c>
      <c r="S1146" s="1">
        <f t="shared" si="35"/>
        <v>13694.240000000002</v>
      </c>
      <c r="T1146" s="1" t="s">
        <v>873</v>
      </c>
      <c r="U1146" s="1" t="s">
        <v>878</v>
      </c>
      <c r="V1146" s="5" t="s">
        <v>882</v>
      </c>
    </row>
    <row r="1147" spans="1:22" x14ac:dyDescent="0.3">
      <c r="A1147" s="4" t="s">
        <v>148</v>
      </c>
      <c r="B1147" s="3">
        <v>45453</v>
      </c>
      <c r="C1147" s="1" t="str">
        <f t="shared" si="34"/>
        <v>June</v>
      </c>
      <c r="D1147" s="1" t="s">
        <v>395</v>
      </c>
      <c r="E1147" s="1" t="s">
        <v>633</v>
      </c>
      <c r="F1147" s="1" t="s">
        <v>802</v>
      </c>
      <c r="G1147" s="1" t="s">
        <v>805</v>
      </c>
      <c r="H1147" s="1" t="s">
        <v>808</v>
      </c>
      <c r="I1147" s="1" t="s">
        <v>814</v>
      </c>
      <c r="J1147" s="1" t="s">
        <v>817</v>
      </c>
      <c r="K1147" s="1" t="s">
        <v>822</v>
      </c>
      <c r="L1147" s="1" t="s">
        <v>857</v>
      </c>
      <c r="M1147" s="1">
        <v>1</v>
      </c>
      <c r="N1147" s="1">
        <v>1469.26</v>
      </c>
      <c r="O1147" s="1">
        <v>1469.26</v>
      </c>
      <c r="P1147" s="1">
        <v>0</v>
      </c>
      <c r="Q1147" s="1">
        <v>1469.26</v>
      </c>
      <c r="R1147" s="1">
        <v>916.11</v>
      </c>
      <c r="S1147" s="1">
        <f t="shared" si="35"/>
        <v>553.15</v>
      </c>
      <c r="T1147" s="1" t="s">
        <v>874</v>
      </c>
      <c r="U1147" s="1" t="s">
        <v>878</v>
      </c>
      <c r="V1147" s="5" t="s">
        <v>882</v>
      </c>
    </row>
    <row r="1148" spans="1:22" x14ac:dyDescent="0.3">
      <c r="A1148" s="4" t="s">
        <v>237</v>
      </c>
      <c r="B1148" s="3">
        <v>45546</v>
      </c>
      <c r="C1148" s="1" t="str">
        <f t="shared" si="34"/>
        <v>September</v>
      </c>
      <c r="D1148" s="1" t="s">
        <v>350</v>
      </c>
      <c r="E1148" s="1" t="s">
        <v>720</v>
      </c>
      <c r="F1148" s="1" t="s">
        <v>802</v>
      </c>
      <c r="G1148" s="1" t="s">
        <v>806</v>
      </c>
      <c r="H1148" s="1" t="s">
        <v>809</v>
      </c>
      <c r="I1148" s="1" t="s">
        <v>815</v>
      </c>
      <c r="J1148" s="1" t="s">
        <v>819</v>
      </c>
      <c r="K1148" s="1" t="s">
        <v>820</v>
      </c>
      <c r="L1148" s="1" t="s">
        <v>847</v>
      </c>
      <c r="M1148" s="1">
        <v>6.2</v>
      </c>
      <c r="N1148" s="1">
        <v>3118.17</v>
      </c>
      <c r="O1148" s="1">
        <v>18424.79</v>
      </c>
      <c r="P1148" s="1">
        <v>0.05</v>
      </c>
      <c r="Q1148" s="1">
        <v>19088.36</v>
      </c>
      <c r="R1148" s="1">
        <v>16621.59</v>
      </c>
      <c r="S1148" s="1">
        <f t="shared" si="35"/>
        <v>2466.7700000000004</v>
      </c>
      <c r="T1148" s="1" t="s">
        <v>875</v>
      </c>
      <c r="U1148" s="1" t="s">
        <v>881</v>
      </c>
      <c r="V1148" s="5" t="s">
        <v>882</v>
      </c>
    </row>
    <row r="1149" spans="1:22" x14ac:dyDescent="0.3">
      <c r="A1149" s="4" t="s">
        <v>71</v>
      </c>
      <c r="B1149" s="3">
        <v>45420</v>
      </c>
      <c r="C1149" s="1" t="str">
        <f t="shared" si="34"/>
        <v>May</v>
      </c>
      <c r="D1149" s="1" t="s">
        <v>358</v>
      </c>
      <c r="E1149" s="1" t="s">
        <v>556</v>
      </c>
      <c r="F1149" s="1" t="s">
        <v>802</v>
      </c>
      <c r="G1149" s="1" t="s">
        <v>806</v>
      </c>
      <c r="H1149" s="1" t="s">
        <v>811</v>
      </c>
      <c r="I1149" s="1" t="s">
        <v>815</v>
      </c>
      <c r="J1149" s="1" t="s">
        <v>817</v>
      </c>
      <c r="K1149" s="1" t="s">
        <v>821</v>
      </c>
      <c r="L1149" s="1" t="s">
        <v>851</v>
      </c>
      <c r="M1149" s="1">
        <v>10.88</v>
      </c>
      <c r="N1149" s="1">
        <v>1683.29</v>
      </c>
      <c r="O1149" s="1">
        <v>19291.96</v>
      </c>
      <c r="P1149" s="1">
        <v>0</v>
      </c>
      <c r="Q1149" s="1">
        <v>16416</v>
      </c>
      <c r="R1149" s="1">
        <v>11910.78</v>
      </c>
      <c r="S1149" s="1">
        <f t="shared" si="35"/>
        <v>4505.2199999999993</v>
      </c>
      <c r="T1149" s="1" t="s">
        <v>876</v>
      </c>
      <c r="U1149" s="1" t="s">
        <v>881</v>
      </c>
      <c r="V1149" s="5" t="s">
        <v>884</v>
      </c>
    </row>
    <row r="1150" spans="1:22" x14ac:dyDescent="0.3">
      <c r="A1150" s="4" t="s">
        <v>106</v>
      </c>
      <c r="B1150" s="3">
        <v>45536</v>
      </c>
      <c r="C1150" s="1" t="str">
        <f t="shared" si="34"/>
        <v>September</v>
      </c>
      <c r="D1150" s="1" t="s">
        <v>341</v>
      </c>
      <c r="E1150" s="1" t="s">
        <v>591</v>
      </c>
      <c r="F1150" s="1" t="s">
        <v>803</v>
      </c>
      <c r="G1150" s="1" t="s">
        <v>805</v>
      </c>
      <c r="H1150" s="1" t="s">
        <v>810</v>
      </c>
      <c r="I1150" s="1" t="s">
        <v>813</v>
      </c>
      <c r="J1150" s="1" t="s">
        <v>817</v>
      </c>
      <c r="K1150" s="1" t="s">
        <v>822</v>
      </c>
      <c r="L1150" s="1" t="s">
        <v>830</v>
      </c>
      <c r="M1150" s="1">
        <v>9.3000000000000007</v>
      </c>
      <c r="N1150" s="1">
        <v>513.45000000000005</v>
      </c>
      <c r="O1150" s="1">
        <v>3477.25</v>
      </c>
      <c r="P1150" s="1">
        <v>0.15</v>
      </c>
      <c r="Q1150" s="1">
        <v>3441.37</v>
      </c>
      <c r="R1150" s="1">
        <v>2610.88</v>
      </c>
      <c r="S1150" s="1">
        <f t="shared" si="35"/>
        <v>830.48999999999978</v>
      </c>
      <c r="T1150" s="1" t="s">
        <v>876</v>
      </c>
      <c r="U1150" s="1" t="s">
        <v>877</v>
      </c>
      <c r="V1150" s="5" t="s">
        <v>884</v>
      </c>
    </row>
    <row r="1151" spans="1:22" x14ac:dyDescent="0.3">
      <c r="A1151" s="4" t="s">
        <v>278</v>
      </c>
      <c r="B1151" s="3">
        <v>45505</v>
      </c>
      <c r="C1151" s="1" t="str">
        <f t="shared" si="34"/>
        <v>August</v>
      </c>
      <c r="D1151" s="1" t="s">
        <v>480</v>
      </c>
      <c r="E1151" s="1" t="s">
        <v>761</v>
      </c>
      <c r="F1151" s="1" t="s">
        <v>801</v>
      </c>
      <c r="G1151" s="1" t="s">
        <v>807</v>
      </c>
      <c r="H1151" s="1" t="s">
        <v>811</v>
      </c>
      <c r="I1151" s="1" t="s">
        <v>814</v>
      </c>
      <c r="J1151" s="1" t="s">
        <v>818</v>
      </c>
      <c r="K1151" s="1" t="s">
        <v>820</v>
      </c>
      <c r="L1151" s="1" t="s">
        <v>848</v>
      </c>
      <c r="M1151" s="1">
        <v>9.57</v>
      </c>
      <c r="N1151" s="1">
        <v>2419.4</v>
      </c>
      <c r="O1151" s="1">
        <v>21234.7</v>
      </c>
      <c r="P1151" s="1">
        <v>0.14000000000000001</v>
      </c>
      <c r="Q1151" s="1">
        <v>17286.07</v>
      </c>
      <c r="R1151" s="1">
        <v>11331.33</v>
      </c>
      <c r="S1151" s="1">
        <f t="shared" si="35"/>
        <v>5954.74</v>
      </c>
      <c r="T1151" s="1" t="s">
        <v>873</v>
      </c>
      <c r="U1151" s="1" t="s">
        <v>878</v>
      </c>
      <c r="V1151" s="5" t="s">
        <v>884</v>
      </c>
    </row>
    <row r="1152" spans="1:22" x14ac:dyDescent="0.3">
      <c r="A1152" s="4" t="s">
        <v>151</v>
      </c>
      <c r="B1152" s="3">
        <v>45366</v>
      </c>
      <c r="C1152" s="1" t="str">
        <f t="shared" si="34"/>
        <v>March</v>
      </c>
      <c r="D1152" s="1" t="s">
        <v>324</v>
      </c>
      <c r="E1152" s="1" t="s">
        <v>636</v>
      </c>
      <c r="F1152" s="1" t="s">
        <v>802</v>
      </c>
      <c r="G1152" s="1" t="s">
        <v>804</v>
      </c>
      <c r="H1152" s="1" t="s">
        <v>811</v>
      </c>
      <c r="I1152" s="1" t="s">
        <v>815</v>
      </c>
      <c r="J1152" s="1" t="s">
        <v>819</v>
      </c>
      <c r="K1152" s="1" t="s">
        <v>822</v>
      </c>
      <c r="L1152" s="1" t="s">
        <v>867</v>
      </c>
      <c r="M1152" s="1">
        <v>1.01</v>
      </c>
      <c r="N1152" s="1">
        <v>3266.42</v>
      </c>
      <c r="O1152" s="1">
        <v>3288.62</v>
      </c>
      <c r="P1152" s="1">
        <v>0.09</v>
      </c>
      <c r="Q1152" s="1">
        <v>2980.94</v>
      </c>
      <c r="R1152" s="1">
        <v>2301.6799999999998</v>
      </c>
      <c r="S1152" s="1">
        <f t="shared" si="35"/>
        <v>679.26000000000022</v>
      </c>
      <c r="T1152" s="1" t="s">
        <v>876</v>
      </c>
      <c r="U1152" s="1" t="s">
        <v>879</v>
      </c>
      <c r="V1152" s="5" t="s">
        <v>884</v>
      </c>
    </row>
    <row r="1153" spans="1:22" x14ac:dyDescent="0.3">
      <c r="A1153" s="4" t="s">
        <v>211</v>
      </c>
      <c r="B1153" s="3">
        <v>45482</v>
      </c>
      <c r="C1153" s="1" t="str">
        <f t="shared" si="34"/>
        <v>July</v>
      </c>
      <c r="D1153" s="1" t="s">
        <v>484</v>
      </c>
      <c r="E1153" s="1" t="s">
        <v>694</v>
      </c>
      <c r="F1153" s="1" t="s">
        <v>802</v>
      </c>
      <c r="G1153" s="1" t="s">
        <v>806</v>
      </c>
      <c r="H1153" s="1" t="s">
        <v>811</v>
      </c>
      <c r="I1153" s="1" t="s">
        <v>809</v>
      </c>
      <c r="J1153" s="1" t="s">
        <v>818</v>
      </c>
      <c r="K1153" s="1" t="s">
        <v>820</v>
      </c>
      <c r="L1153" s="1" t="s">
        <v>860</v>
      </c>
      <c r="M1153" s="1">
        <v>0.99</v>
      </c>
      <c r="N1153" s="1">
        <v>2398.23</v>
      </c>
      <c r="O1153" s="1">
        <v>2344.42</v>
      </c>
      <c r="P1153" s="1">
        <v>0.05</v>
      </c>
      <c r="Q1153" s="1">
        <v>2417.9</v>
      </c>
      <c r="R1153" s="1">
        <v>1736.54</v>
      </c>
      <c r="S1153" s="1">
        <f t="shared" si="35"/>
        <v>681.36000000000013</v>
      </c>
      <c r="T1153" s="1" t="s">
        <v>876</v>
      </c>
      <c r="U1153" s="1" t="s">
        <v>879</v>
      </c>
      <c r="V1153" s="5" t="s">
        <v>882</v>
      </c>
    </row>
    <row r="1154" spans="1:22" x14ac:dyDescent="0.3">
      <c r="A1154" s="4" t="s">
        <v>99</v>
      </c>
      <c r="B1154" s="3">
        <v>45427</v>
      </c>
      <c r="C1154" s="1" t="str">
        <f t="shared" ref="C1154" si="36">TEXT(B1154,"MMMM")</f>
        <v>May</v>
      </c>
      <c r="D1154" s="1" t="s">
        <v>458</v>
      </c>
      <c r="E1154" s="1" t="s">
        <v>584</v>
      </c>
      <c r="F1154" s="1" t="s">
        <v>802</v>
      </c>
      <c r="G1154" s="1" t="s">
        <v>804</v>
      </c>
      <c r="H1154" s="1" t="s">
        <v>812</v>
      </c>
      <c r="I1154" s="1" t="s">
        <v>814</v>
      </c>
      <c r="J1154" s="1" t="s">
        <v>818</v>
      </c>
      <c r="K1154" s="1" t="s">
        <v>822</v>
      </c>
      <c r="L1154" s="1" t="s">
        <v>855</v>
      </c>
      <c r="M1154" s="1">
        <v>9</v>
      </c>
      <c r="N1154" s="1">
        <v>550.57000000000005</v>
      </c>
      <c r="O1154" s="1">
        <v>4955.13</v>
      </c>
      <c r="P1154" s="1">
        <v>0.1</v>
      </c>
      <c r="Q1154" s="1">
        <v>4459.62</v>
      </c>
      <c r="R1154" s="1">
        <v>3752.94</v>
      </c>
      <c r="S1154" s="1">
        <f t="shared" ref="S1154:S1165" si="37">Q1154-R1154</f>
        <v>706.67999999999984</v>
      </c>
      <c r="T1154" s="1" t="s">
        <v>874</v>
      </c>
      <c r="U1154" s="1" t="s">
        <v>879</v>
      </c>
      <c r="V1154" s="5" t="s">
        <v>884</v>
      </c>
    </row>
    <row r="1155" spans="1:22" x14ac:dyDescent="0.3">
      <c r="A1155" s="4" t="s">
        <v>84</v>
      </c>
      <c r="B1155" s="3">
        <v>45425</v>
      </c>
      <c r="C1155" s="1" t="str">
        <f t="shared" ref="C1155:C1165" si="38">TEXT(B1155,"MMMM")</f>
        <v>May</v>
      </c>
      <c r="D1155" s="1" t="s">
        <v>367</v>
      </c>
      <c r="E1155" s="1" t="s">
        <v>569</v>
      </c>
      <c r="F1155" s="1" t="s">
        <v>802</v>
      </c>
      <c r="G1155" s="1" t="s">
        <v>806</v>
      </c>
      <c r="H1155" s="1" t="s">
        <v>812</v>
      </c>
      <c r="I1155" s="1" t="s">
        <v>809</v>
      </c>
      <c r="J1155" s="1" t="s">
        <v>819</v>
      </c>
      <c r="K1155" s="1" t="s">
        <v>822</v>
      </c>
      <c r="L1155" s="1" t="s">
        <v>829</v>
      </c>
      <c r="M1155" s="1">
        <v>8</v>
      </c>
      <c r="N1155" s="1">
        <v>1167.03</v>
      </c>
      <c r="O1155" s="1">
        <v>9336.24</v>
      </c>
      <c r="P1155" s="1">
        <v>0.05</v>
      </c>
      <c r="Q1155" s="1">
        <v>8869.43</v>
      </c>
      <c r="R1155" s="1">
        <v>5843.85</v>
      </c>
      <c r="S1155" s="1">
        <f t="shared" si="37"/>
        <v>3025.58</v>
      </c>
      <c r="T1155" s="1" t="s">
        <v>875</v>
      </c>
      <c r="U1155" s="1" t="s">
        <v>877</v>
      </c>
      <c r="V1155" s="5" t="s">
        <v>883</v>
      </c>
    </row>
    <row r="1156" spans="1:22" x14ac:dyDescent="0.3">
      <c r="A1156" s="4" t="s">
        <v>117</v>
      </c>
      <c r="B1156" s="3">
        <v>45413</v>
      </c>
      <c r="C1156" s="1" t="str">
        <f t="shared" si="38"/>
        <v>May</v>
      </c>
      <c r="D1156" s="1" t="s">
        <v>464</v>
      </c>
      <c r="E1156" s="1" t="s">
        <v>602</v>
      </c>
      <c r="F1156" s="1" t="s">
        <v>802</v>
      </c>
      <c r="G1156" s="1" t="s">
        <v>807</v>
      </c>
      <c r="H1156" s="1" t="s">
        <v>808</v>
      </c>
      <c r="I1156" s="1" t="s">
        <v>814</v>
      </c>
      <c r="J1156" s="1" t="s">
        <v>819</v>
      </c>
      <c r="K1156" s="1" t="s">
        <v>820</v>
      </c>
      <c r="L1156" s="1" t="s">
        <v>829</v>
      </c>
      <c r="M1156" s="1">
        <v>3.17</v>
      </c>
      <c r="N1156" s="1">
        <v>1325.6</v>
      </c>
      <c r="O1156" s="1">
        <v>4457.9399999999996</v>
      </c>
      <c r="P1156" s="1">
        <v>0.05</v>
      </c>
      <c r="Q1156" s="1">
        <v>5189.8100000000004</v>
      </c>
      <c r="R1156" s="1">
        <v>3603.59</v>
      </c>
      <c r="S1156" s="1">
        <f t="shared" si="37"/>
        <v>1586.2200000000003</v>
      </c>
      <c r="T1156" s="1" t="s">
        <v>874</v>
      </c>
      <c r="U1156" s="1" t="s">
        <v>880</v>
      </c>
      <c r="V1156" s="5" t="s">
        <v>884</v>
      </c>
    </row>
    <row r="1157" spans="1:22" x14ac:dyDescent="0.3">
      <c r="A1157" s="4" t="s">
        <v>276</v>
      </c>
      <c r="B1157" s="3">
        <v>45491</v>
      </c>
      <c r="C1157" s="1" t="str">
        <f t="shared" si="38"/>
        <v>July</v>
      </c>
      <c r="D1157" s="1" t="s">
        <v>329</v>
      </c>
      <c r="E1157" s="1" t="s">
        <v>759</v>
      </c>
      <c r="F1157" s="1" t="s">
        <v>802</v>
      </c>
      <c r="G1157" s="1" t="s">
        <v>805</v>
      </c>
      <c r="H1157" s="1" t="s">
        <v>812</v>
      </c>
      <c r="I1157" s="1" t="s">
        <v>816</v>
      </c>
      <c r="J1157" s="1" t="s">
        <v>819</v>
      </c>
      <c r="K1157" s="1" t="s">
        <v>821</v>
      </c>
      <c r="L1157" s="1" t="s">
        <v>854</v>
      </c>
      <c r="M1157" s="1">
        <v>6.08</v>
      </c>
      <c r="N1157" s="1">
        <v>3426.36</v>
      </c>
      <c r="O1157" s="1">
        <v>20079.27</v>
      </c>
      <c r="P1157" s="1">
        <v>0.1</v>
      </c>
      <c r="Q1157" s="1">
        <v>17226.439999999999</v>
      </c>
      <c r="R1157" s="1">
        <v>12163.05</v>
      </c>
      <c r="S1157" s="1">
        <f t="shared" si="37"/>
        <v>5063.3899999999994</v>
      </c>
      <c r="T1157" s="1" t="s">
        <v>875</v>
      </c>
      <c r="U1157" s="1" t="s">
        <v>880</v>
      </c>
      <c r="V1157" s="5" t="s">
        <v>884</v>
      </c>
    </row>
    <row r="1158" spans="1:22" x14ac:dyDescent="0.3">
      <c r="A1158" s="4" t="s">
        <v>286</v>
      </c>
      <c r="B1158" s="3">
        <v>45376</v>
      </c>
      <c r="C1158" s="1" t="str">
        <f t="shared" si="38"/>
        <v>March</v>
      </c>
      <c r="D1158" s="1" t="s">
        <v>499</v>
      </c>
      <c r="E1158" s="1" t="s">
        <v>769</v>
      </c>
      <c r="F1158" s="1" t="s">
        <v>802</v>
      </c>
      <c r="G1158" s="1" t="s">
        <v>807</v>
      </c>
      <c r="H1158" s="1" t="s">
        <v>811</v>
      </c>
      <c r="I1158" s="1" t="s">
        <v>816</v>
      </c>
      <c r="J1158" s="1" t="s">
        <v>819</v>
      </c>
      <c r="K1158" s="1" t="s">
        <v>822</v>
      </c>
      <c r="L1158" s="1" t="s">
        <v>836</v>
      </c>
      <c r="M1158" s="1">
        <v>3.4</v>
      </c>
      <c r="N1158" s="1">
        <v>3462.45</v>
      </c>
      <c r="O1158" s="1">
        <v>9004.01</v>
      </c>
      <c r="P1158" s="1">
        <v>0</v>
      </c>
      <c r="Q1158" s="1">
        <v>11168.03</v>
      </c>
      <c r="R1158" s="1">
        <v>8464.26</v>
      </c>
      <c r="S1158" s="1">
        <f t="shared" si="37"/>
        <v>2703.7700000000004</v>
      </c>
      <c r="T1158" s="1" t="s">
        <v>875</v>
      </c>
      <c r="U1158" s="1" t="s">
        <v>880</v>
      </c>
      <c r="V1158" s="5" t="s">
        <v>883</v>
      </c>
    </row>
    <row r="1159" spans="1:22" x14ac:dyDescent="0.3">
      <c r="A1159" s="4" t="s">
        <v>56</v>
      </c>
      <c r="B1159" s="3">
        <v>45484</v>
      </c>
      <c r="C1159" s="1" t="str">
        <f t="shared" si="38"/>
        <v>July</v>
      </c>
      <c r="D1159" s="1" t="s">
        <v>376</v>
      </c>
      <c r="E1159" s="1" t="s">
        <v>541</v>
      </c>
      <c r="F1159" s="1" t="s">
        <v>801</v>
      </c>
      <c r="G1159" s="1" t="s">
        <v>807</v>
      </c>
      <c r="H1159" s="1" t="s">
        <v>809</v>
      </c>
      <c r="I1159" s="1" t="s">
        <v>816</v>
      </c>
      <c r="J1159" s="1" t="s">
        <v>817</v>
      </c>
      <c r="K1159" s="1" t="s">
        <v>821</v>
      </c>
      <c r="L1159" s="1" t="s">
        <v>842</v>
      </c>
      <c r="M1159" s="1">
        <v>8.44</v>
      </c>
      <c r="N1159" s="1">
        <v>1971.38</v>
      </c>
      <c r="O1159" s="1">
        <v>16553.759999999998</v>
      </c>
      <c r="P1159" s="1">
        <v>0</v>
      </c>
      <c r="Q1159" s="1">
        <v>17773.3</v>
      </c>
      <c r="R1159" s="1">
        <v>12397.56</v>
      </c>
      <c r="S1159" s="1">
        <f t="shared" si="37"/>
        <v>5375.74</v>
      </c>
      <c r="T1159" s="1" t="s">
        <v>876</v>
      </c>
      <c r="U1159" s="1" t="s">
        <v>881</v>
      </c>
      <c r="V1159" s="5" t="s">
        <v>882</v>
      </c>
    </row>
    <row r="1160" spans="1:22" x14ac:dyDescent="0.3">
      <c r="A1160" s="4" t="s">
        <v>159</v>
      </c>
      <c r="B1160" s="3">
        <v>45558</v>
      </c>
      <c r="C1160" s="1" t="str">
        <f t="shared" si="38"/>
        <v>September</v>
      </c>
      <c r="D1160" s="1" t="s">
        <v>406</v>
      </c>
      <c r="E1160" s="1" t="s">
        <v>644</v>
      </c>
      <c r="F1160" s="1" t="s">
        <v>803</v>
      </c>
      <c r="G1160" s="1" t="s">
        <v>804</v>
      </c>
      <c r="H1160" s="1" t="s">
        <v>811</v>
      </c>
      <c r="I1160" s="1" t="s">
        <v>816</v>
      </c>
      <c r="J1160" s="1" t="s">
        <v>817</v>
      </c>
      <c r="K1160" s="1" t="s">
        <v>821</v>
      </c>
      <c r="L1160" s="1" t="s">
        <v>849</v>
      </c>
      <c r="M1160" s="1">
        <v>13.01</v>
      </c>
      <c r="N1160" s="1">
        <v>2972.31</v>
      </c>
      <c r="O1160" s="1">
        <v>35456.86</v>
      </c>
      <c r="P1160" s="1">
        <v>0.1</v>
      </c>
      <c r="Q1160" s="1">
        <v>36759.72</v>
      </c>
      <c r="R1160" s="1">
        <v>25110.94</v>
      </c>
      <c r="S1160" s="1">
        <f t="shared" si="37"/>
        <v>11648.780000000002</v>
      </c>
      <c r="T1160" s="1" t="s">
        <v>875</v>
      </c>
      <c r="U1160" s="1" t="s">
        <v>880</v>
      </c>
      <c r="V1160" s="5" t="s">
        <v>883</v>
      </c>
    </row>
    <row r="1161" spans="1:22" x14ac:dyDescent="0.3">
      <c r="A1161" s="4" t="s">
        <v>250</v>
      </c>
      <c r="B1161" s="3">
        <v>45543</v>
      </c>
      <c r="C1161" s="1" t="str">
        <f t="shared" si="38"/>
        <v>September</v>
      </c>
      <c r="D1161" s="1" t="s">
        <v>351</v>
      </c>
      <c r="E1161" s="1" t="s">
        <v>733</v>
      </c>
      <c r="F1161" s="1" t="s">
        <v>801</v>
      </c>
      <c r="G1161" s="1" t="s">
        <v>804</v>
      </c>
      <c r="H1161" s="1" t="s">
        <v>812</v>
      </c>
      <c r="I1161" s="1" t="s">
        <v>814</v>
      </c>
      <c r="J1161" s="1" t="s">
        <v>819</v>
      </c>
      <c r="K1161" s="1" t="s">
        <v>822</v>
      </c>
      <c r="L1161" s="1" t="s">
        <v>857</v>
      </c>
      <c r="M1161" s="1">
        <v>9</v>
      </c>
      <c r="N1161" s="1">
        <v>2733.68</v>
      </c>
      <c r="O1161" s="1">
        <v>24603.119999999999</v>
      </c>
      <c r="P1161" s="1">
        <v>0</v>
      </c>
      <c r="Q1161" s="1">
        <v>24603.119999999999</v>
      </c>
      <c r="R1161" s="1">
        <v>18885.240000000002</v>
      </c>
      <c r="S1161" s="1">
        <f t="shared" si="37"/>
        <v>5717.8799999999974</v>
      </c>
      <c r="T1161" s="1" t="s">
        <v>873</v>
      </c>
      <c r="U1161" s="1" t="s">
        <v>877</v>
      </c>
      <c r="V1161" s="5" t="s">
        <v>882</v>
      </c>
    </row>
    <row r="1162" spans="1:22" x14ac:dyDescent="0.3">
      <c r="A1162" s="4" t="s">
        <v>144</v>
      </c>
      <c r="B1162" s="3">
        <v>45523</v>
      </c>
      <c r="C1162" s="1" t="str">
        <f t="shared" si="38"/>
        <v>August</v>
      </c>
      <c r="D1162" s="1" t="s">
        <v>386</v>
      </c>
      <c r="E1162" s="1" t="s">
        <v>629</v>
      </c>
      <c r="F1162" s="1" t="s">
        <v>802</v>
      </c>
      <c r="G1162" s="1" t="s">
        <v>804</v>
      </c>
      <c r="H1162" s="1" t="s">
        <v>812</v>
      </c>
      <c r="I1162" s="1" t="s">
        <v>813</v>
      </c>
      <c r="J1162" s="1" t="s">
        <v>818</v>
      </c>
      <c r="K1162" s="1" t="s">
        <v>820</v>
      </c>
      <c r="L1162" s="1" t="s">
        <v>849</v>
      </c>
      <c r="M1162" s="1">
        <v>11.14</v>
      </c>
      <c r="N1162" s="1">
        <v>395.13</v>
      </c>
      <c r="O1162" s="1">
        <v>4716.57</v>
      </c>
      <c r="P1162" s="1">
        <v>0.11</v>
      </c>
      <c r="Q1162" s="1">
        <v>4752.43</v>
      </c>
      <c r="R1162" s="1">
        <v>3237.85</v>
      </c>
      <c r="S1162" s="1">
        <f t="shared" si="37"/>
        <v>1514.5800000000004</v>
      </c>
      <c r="T1162" s="1" t="s">
        <v>873</v>
      </c>
      <c r="U1162" s="1" t="s">
        <v>879</v>
      </c>
      <c r="V1162" s="5" t="s">
        <v>883</v>
      </c>
    </row>
    <row r="1163" spans="1:22" x14ac:dyDescent="0.3">
      <c r="A1163" s="4" t="s">
        <v>91</v>
      </c>
      <c r="B1163" s="3">
        <v>45366</v>
      </c>
      <c r="C1163" s="1" t="str">
        <f t="shared" si="38"/>
        <v>March</v>
      </c>
      <c r="D1163" s="1" t="s">
        <v>324</v>
      </c>
      <c r="E1163" s="1" t="s">
        <v>576</v>
      </c>
      <c r="F1163" s="1" t="s">
        <v>801</v>
      </c>
      <c r="G1163" s="1" t="s">
        <v>805</v>
      </c>
      <c r="H1163" s="1" t="s">
        <v>810</v>
      </c>
      <c r="I1163" s="1" t="s">
        <v>815</v>
      </c>
      <c r="J1163" s="1" t="s">
        <v>817</v>
      </c>
      <c r="K1163" s="1" t="s">
        <v>820</v>
      </c>
      <c r="L1163" s="1" t="s">
        <v>841</v>
      </c>
      <c r="M1163" s="1">
        <v>5</v>
      </c>
      <c r="N1163" s="1">
        <v>901.63</v>
      </c>
      <c r="O1163" s="1">
        <v>4508.1499999999996</v>
      </c>
      <c r="P1163" s="1">
        <v>0.05</v>
      </c>
      <c r="Q1163" s="1">
        <v>4282.74</v>
      </c>
      <c r="R1163" s="1">
        <v>3560.56</v>
      </c>
      <c r="S1163" s="1">
        <f t="shared" si="37"/>
        <v>722.17999999999984</v>
      </c>
      <c r="T1163" s="1" t="s">
        <v>874</v>
      </c>
      <c r="U1163" s="1" t="s">
        <v>877</v>
      </c>
      <c r="V1163" s="5" t="s">
        <v>883</v>
      </c>
    </row>
    <row r="1164" spans="1:22" x14ac:dyDescent="0.3">
      <c r="A1164" s="4" t="s">
        <v>131</v>
      </c>
      <c r="B1164" s="3">
        <v>45376</v>
      </c>
      <c r="C1164" s="1" t="str">
        <f t="shared" si="38"/>
        <v>March</v>
      </c>
      <c r="D1164" s="1" t="s">
        <v>431</v>
      </c>
      <c r="E1164" s="1" t="s">
        <v>616</v>
      </c>
      <c r="F1164" s="1" t="s">
        <v>801</v>
      </c>
      <c r="G1164" s="1" t="s">
        <v>805</v>
      </c>
      <c r="H1164" s="1" t="s">
        <v>812</v>
      </c>
      <c r="I1164" s="1" t="s">
        <v>816</v>
      </c>
      <c r="J1164" s="1" t="s">
        <v>819</v>
      </c>
      <c r="K1164" s="1" t="s">
        <v>822</v>
      </c>
      <c r="L1164" s="1" t="s">
        <v>858</v>
      </c>
      <c r="M1164" s="1">
        <v>9.35</v>
      </c>
      <c r="N1164" s="1">
        <v>3264.46</v>
      </c>
      <c r="O1164" s="1">
        <v>31782.51</v>
      </c>
      <c r="P1164" s="1">
        <v>0</v>
      </c>
      <c r="Q1164" s="1">
        <v>29407.33</v>
      </c>
      <c r="R1164" s="1">
        <v>18610.2</v>
      </c>
      <c r="S1164" s="1">
        <f t="shared" si="37"/>
        <v>10797.130000000001</v>
      </c>
      <c r="T1164" s="1" t="s">
        <v>876</v>
      </c>
      <c r="U1164" s="1" t="s">
        <v>880</v>
      </c>
      <c r="V1164" s="5" t="s">
        <v>883</v>
      </c>
    </row>
    <row r="1165" spans="1:22" x14ac:dyDescent="0.3">
      <c r="A1165" s="6" t="s">
        <v>62</v>
      </c>
      <c r="B1165" s="7">
        <v>45453</v>
      </c>
      <c r="C1165" s="8" t="str">
        <f t="shared" si="38"/>
        <v>June</v>
      </c>
      <c r="D1165" s="8" t="s">
        <v>449</v>
      </c>
      <c r="E1165" s="8" t="s">
        <v>547</v>
      </c>
      <c r="F1165" s="8" t="s">
        <v>803</v>
      </c>
      <c r="G1165" s="8" t="s">
        <v>804</v>
      </c>
      <c r="H1165" s="8" t="s">
        <v>812</v>
      </c>
      <c r="I1165" s="8" t="s">
        <v>815</v>
      </c>
      <c r="J1165" s="8" t="s">
        <v>819</v>
      </c>
      <c r="K1165" s="8" t="s">
        <v>820</v>
      </c>
      <c r="L1165" s="8" t="s">
        <v>832</v>
      </c>
      <c r="M1165" s="8">
        <v>6.38</v>
      </c>
      <c r="N1165" s="8">
        <v>352.97</v>
      </c>
      <c r="O1165" s="8">
        <v>2189.7199999999998</v>
      </c>
      <c r="P1165" s="8">
        <v>0.1</v>
      </c>
      <c r="Q1165" s="8">
        <v>2319.23</v>
      </c>
      <c r="R1165" s="8">
        <v>1676.89</v>
      </c>
      <c r="S1165" s="8">
        <f t="shared" si="37"/>
        <v>642.33999999999992</v>
      </c>
      <c r="T1165" s="8" t="s">
        <v>873</v>
      </c>
      <c r="U1165" s="8" t="s">
        <v>881</v>
      </c>
      <c r="V1165" s="9" t="s">
        <v>882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AE9F-5D41-4C75-ABF2-313CE7E1B9DF}">
  <dimension ref="A3:L18"/>
  <sheetViews>
    <sheetView topLeftCell="A2" workbookViewId="0">
      <selection activeCell="F29" sqref="F29"/>
    </sheetView>
  </sheetViews>
  <sheetFormatPr defaultRowHeight="14.4" x14ac:dyDescent="0.3"/>
  <cols>
    <col min="1" max="1" width="19.109375" bestFit="1" customWidth="1"/>
    <col min="2" max="2" width="15.21875" bestFit="1" customWidth="1"/>
    <col min="3" max="4" width="19.109375" bestFit="1" customWidth="1"/>
    <col min="5" max="5" width="10.77734375" bestFit="1" customWidth="1"/>
    <col min="6" max="7" width="15.21875" bestFit="1" customWidth="1"/>
    <col min="8" max="8" width="15.88671875" bestFit="1" customWidth="1"/>
    <col min="9" max="9" width="12.88671875" bestFit="1" customWidth="1"/>
    <col min="10" max="10" width="16.21875" customWidth="1"/>
    <col min="11" max="11" width="10.77734375" bestFit="1" customWidth="1"/>
    <col min="12" max="13" width="16.21875" bestFit="1" customWidth="1"/>
  </cols>
  <sheetData>
    <row r="3" spans="1:12" x14ac:dyDescent="0.3">
      <c r="A3" s="13" t="s">
        <v>888</v>
      </c>
      <c r="B3" t="s">
        <v>887</v>
      </c>
      <c r="C3" s="13" t="s">
        <v>888</v>
      </c>
      <c r="D3" t="s">
        <v>887</v>
      </c>
      <c r="E3" s="13" t="s">
        <v>900</v>
      </c>
      <c r="F3" t="s">
        <v>887</v>
      </c>
      <c r="H3" s="13" t="s">
        <v>5</v>
      </c>
      <c r="I3" t="s">
        <v>887</v>
      </c>
      <c r="K3" s="13" t="s">
        <v>900</v>
      </c>
      <c r="L3" t="s">
        <v>901</v>
      </c>
    </row>
    <row r="4" spans="1:12" x14ac:dyDescent="0.3">
      <c r="A4" s="14" t="s">
        <v>803</v>
      </c>
      <c r="B4" s="16">
        <v>4328177.570000004</v>
      </c>
      <c r="C4" s="14" t="s">
        <v>803</v>
      </c>
      <c r="D4" s="16">
        <v>4328177.570000004</v>
      </c>
      <c r="E4" s="14" t="s">
        <v>889</v>
      </c>
      <c r="F4" s="16">
        <v>385642.66999999993</v>
      </c>
      <c r="H4" s="14" t="s">
        <v>807</v>
      </c>
      <c r="I4" s="16">
        <v>3685501.7799999993</v>
      </c>
      <c r="K4" s="14" t="s">
        <v>889</v>
      </c>
      <c r="L4" s="15"/>
    </row>
    <row r="5" spans="1:12" x14ac:dyDescent="0.3">
      <c r="A5" s="14" t="s">
        <v>801</v>
      </c>
      <c r="B5" s="16">
        <v>4960905.8000000035</v>
      </c>
      <c r="C5" s="14" t="s">
        <v>801</v>
      </c>
      <c r="D5" s="16">
        <v>4960905.8000000035</v>
      </c>
      <c r="E5" s="14" t="s">
        <v>890</v>
      </c>
      <c r="F5" s="16">
        <v>1473255.8399999994</v>
      </c>
      <c r="H5" s="14" t="s">
        <v>804</v>
      </c>
      <c r="I5" s="16">
        <v>2726575.9300000011</v>
      </c>
      <c r="K5" s="14" t="s">
        <v>890</v>
      </c>
      <c r="L5" s="15">
        <v>2.8202614871430063</v>
      </c>
    </row>
    <row r="6" spans="1:12" x14ac:dyDescent="0.3">
      <c r="A6" s="14" t="s">
        <v>802</v>
      </c>
      <c r="B6" s="16">
        <v>4049159.2099999981</v>
      </c>
      <c r="C6" s="14" t="s">
        <v>802</v>
      </c>
      <c r="D6" s="16">
        <v>4049159.2099999981</v>
      </c>
      <c r="E6" s="14" t="s">
        <v>891</v>
      </c>
      <c r="F6" s="16">
        <v>1564755.7000000007</v>
      </c>
      <c r="H6" s="14" t="s">
        <v>806</v>
      </c>
      <c r="I6" s="16">
        <v>3857349.6899999985</v>
      </c>
      <c r="K6" s="14" t="s">
        <v>891</v>
      </c>
      <c r="L6" s="15">
        <v>6.2107244047986468E-2</v>
      </c>
    </row>
    <row r="7" spans="1:12" x14ac:dyDescent="0.3">
      <c r="A7" s="14" t="s">
        <v>886</v>
      </c>
      <c r="B7" s="16">
        <v>13338242.580000006</v>
      </c>
      <c r="C7" s="14" t="s">
        <v>886</v>
      </c>
      <c r="D7" s="16">
        <v>13338242.580000006</v>
      </c>
      <c r="E7" s="14" t="s">
        <v>892</v>
      </c>
      <c r="F7" s="16">
        <v>599461.2100000002</v>
      </c>
      <c r="H7" s="14" t="s">
        <v>805</v>
      </c>
      <c r="I7" s="16">
        <v>3068815.18</v>
      </c>
      <c r="K7" s="14" t="s">
        <v>892</v>
      </c>
      <c r="L7" s="15">
        <v>-0.61689789019461638</v>
      </c>
    </row>
    <row r="8" spans="1:12" x14ac:dyDescent="0.3">
      <c r="E8" s="14" t="s">
        <v>893</v>
      </c>
      <c r="F8" s="16">
        <v>1319577.0900000008</v>
      </c>
      <c r="H8" s="14" t="s">
        <v>886</v>
      </c>
      <c r="I8" s="16">
        <v>13338242.579999998</v>
      </c>
      <c r="K8" s="14" t="s">
        <v>893</v>
      </c>
      <c r="L8" s="15">
        <v>1.2012718554383199</v>
      </c>
    </row>
    <row r="9" spans="1:12" x14ac:dyDescent="0.3">
      <c r="A9" s="13" t="s">
        <v>9</v>
      </c>
      <c r="B9" t="s">
        <v>887</v>
      </c>
      <c r="E9" s="14" t="s">
        <v>894</v>
      </c>
      <c r="F9" s="16">
        <v>568496.12000000011</v>
      </c>
      <c r="K9" s="14" t="s">
        <v>894</v>
      </c>
      <c r="L9" s="15">
        <v>-0.56918309335000672</v>
      </c>
    </row>
    <row r="10" spans="1:12" x14ac:dyDescent="0.3">
      <c r="A10" s="14" t="s">
        <v>820</v>
      </c>
      <c r="B10" s="16">
        <v>4216627.7300000023</v>
      </c>
      <c r="E10" s="14" t="s">
        <v>895</v>
      </c>
      <c r="F10" s="16">
        <v>1613884.79</v>
      </c>
      <c r="G10" t="s">
        <v>887</v>
      </c>
      <c r="H10" t="s">
        <v>902</v>
      </c>
      <c r="K10" s="14" t="s">
        <v>895</v>
      </c>
      <c r="L10" s="15">
        <v>1.838866851017382</v>
      </c>
    </row>
    <row r="11" spans="1:12" x14ac:dyDescent="0.3">
      <c r="A11" s="14" t="s">
        <v>822</v>
      </c>
      <c r="B11" s="16">
        <v>3956510.7300000004</v>
      </c>
      <c r="E11" s="14" t="s">
        <v>896</v>
      </c>
      <c r="F11" s="16">
        <v>1435128.5200000003</v>
      </c>
      <c r="G11" s="16">
        <v>13338242.579999991</v>
      </c>
      <c r="H11" s="17">
        <v>7337.1800000000021</v>
      </c>
      <c r="K11" s="14" t="s">
        <v>896</v>
      </c>
      <c r="L11" s="15">
        <v>-0.11076148130747288</v>
      </c>
    </row>
    <row r="12" spans="1:12" x14ac:dyDescent="0.3">
      <c r="A12" s="14" t="s">
        <v>821</v>
      </c>
      <c r="B12" s="16">
        <v>5165104.1200000029</v>
      </c>
      <c r="E12" s="14" t="s">
        <v>897</v>
      </c>
      <c r="F12" s="16">
        <v>1879173.9400000004</v>
      </c>
      <c r="K12" s="14" t="s">
        <v>897</v>
      </c>
      <c r="L12" s="15">
        <v>0.3094116058678843</v>
      </c>
    </row>
    <row r="13" spans="1:12" x14ac:dyDescent="0.3">
      <c r="A13" s="14" t="s">
        <v>886</v>
      </c>
      <c r="B13" s="16">
        <v>13338242.580000006</v>
      </c>
      <c r="E13" s="14" t="s">
        <v>898</v>
      </c>
      <c r="F13" s="16">
        <v>1493200.4899999998</v>
      </c>
      <c r="K13" s="14" t="s">
        <v>898</v>
      </c>
      <c r="L13" s="15">
        <v>-0.20539527596897209</v>
      </c>
    </row>
    <row r="14" spans="1:12" x14ac:dyDescent="0.3">
      <c r="E14" s="14" t="s">
        <v>899</v>
      </c>
      <c r="F14" s="16">
        <v>1005666.2099999997</v>
      </c>
      <c r="G14" t="s">
        <v>903</v>
      </c>
      <c r="H14" t="s">
        <v>887</v>
      </c>
      <c r="I14" t="s">
        <v>903</v>
      </c>
      <c r="J14" s="19" t="s">
        <v>904</v>
      </c>
      <c r="K14" s="14" t="s">
        <v>899</v>
      </c>
      <c r="L14" s="15">
        <v>-0.32650289312455294</v>
      </c>
    </row>
    <row r="15" spans="1:12" x14ac:dyDescent="0.3">
      <c r="E15" s="14" t="s">
        <v>886</v>
      </c>
      <c r="F15" s="16">
        <v>13338242.580000002</v>
      </c>
      <c r="G15" s="16">
        <v>3743394.3400000022</v>
      </c>
      <c r="H15" s="16">
        <v>13338242.579999991</v>
      </c>
      <c r="I15" s="16">
        <v>3743394.3400000022</v>
      </c>
      <c r="J15" s="18">
        <f>I15/H15</f>
        <v>0.28065124153709947</v>
      </c>
      <c r="K15" s="14" t="s">
        <v>886</v>
      </c>
      <c r="L15" s="15"/>
    </row>
    <row r="17" spans="7:9" x14ac:dyDescent="0.3">
      <c r="G17" t="s">
        <v>887</v>
      </c>
      <c r="H17" t="s">
        <v>906</v>
      </c>
      <c r="I17" s="19" t="s">
        <v>905</v>
      </c>
    </row>
    <row r="18" spans="7:9" x14ac:dyDescent="0.3">
      <c r="G18" s="16">
        <v>13338242.579999991</v>
      </c>
      <c r="H18" s="17">
        <v>1164</v>
      </c>
      <c r="I18" s="16">
        <f>G18/H18</f>
        <v>11458.971288659786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3DC1-AE3A-4829-A2EF-EFBFF4207962}">
  <dimension ref="K5:Y8"/>
  <sheetViews>
    <sheetView showGridLines="0" tabSelected="1" zoomScale="83" workbookViewId="0">
      <selection activeCell="M45" sqref="M45"/>
    </sheetView>
  </sheetViews>
  <sheetFormatPr defaultRowHeight="14.4" x14ac:dyDescent="0.3"/>
  <cols>
    <col min="9" max="9" width="11" bestFit="1" customWidth="1"/>
  </cols>
  <sheetData>
    <row r="5" spans="11:25" ht="14.4" customHeight="1" x14ac:dyDescent="0.3"/>
    <row r="6" spans="11:25" ht="14.4" customHeight="1" x14ac:dyDescent="0.3">
      <c r="K6" s="20">
        <f>Calculations!G11</f>
        <v>13338242.579999991</v>
      </c>
      <c r="L6" s="20"/>
      <c r="M6" s="20"/>
      <c r="O6" s="20">
        <f>Calculations!G15</f>
        <v>3743394.3400000022</v>
      </c>
      <c r="P6" s="20"/>
      <c r="Q6" s="20"/>
      <c r="S6" s="21">
        <f>Calculations!J15</f>
        <v>0.28065124153709947</v>
      </c>
      <c r="T6" s="22"/>
      <c r="U6" s="22"/>
      <c r="W6" s="20">
        <f>Calculations!I18</f>
        <v>11458.971288659786</v>
      </c>
      <c r="X6" s="20"/>
      <c r="Y6" s="20"/>
    </row>
    <row r="7" spans="11:25" ht="14.4" customHeight="1" x14ac:dyDescent="0.3">
      <c r="K7" s="20"/>
      <c r="L7" s="20"/>
      <c r="M7" s="20"/>
      <c r="O7" s="20"/>
      <c r="P7" s="20"/>
      <c r="Q7" s="20"/>
      <c r="S7" s="22"/>
      <c r="T7" s="22"/>
      <c r="U7" s="22"/>
      <c r="W7" s="20"/>
      <c r="X7" s="20"/>
      <c r="Y7" s="20"/>
    </row>
    <row r="8" spans="11:25" x14ac:dyDescent="0.3">
      <c r="K8" s="20"/>
      <c r="L8" s="20"/>
      <c r="M8" s="20"/>
      <c r="O8" s="20"/>
      <c r="P8" s="20"/>
      <c r="Q8" s="20"/>
      <c r="S8" s="22"/>
      <c r="T8" s="22"/>
      <c r="U8" s="22"/>
      <c r="W8" s="20"/>
      <c r="X8" s="20"/>
      <c r="Y8" s="20"/>
    </row>
  </sheetData>
  <mergeCells count="4">
    <mergeCell ref="K6:M8"/>
    <mergeCell ref="O6:Q8"/>
    <mergeCell ref="S6:U8"/>
    <mergeCell ref="W6:Y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Calculations</vt:lpstr>
      <vt:lpstr>Sales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c:creator>
  <cp:lastModifiedBy>Neha Pharswan</cp:lastModifiedBy>
  <dcterms:created xsi:type="dcterms:W3CDTF">2026-02-17T13:44:31Z</dcterms:created>
  <dcterms:modified xsi:type="dcterms:W3CDTF">2026-04-05T07:04:47Z</dcterms:modified>
</cp:coreProperties>
</file>